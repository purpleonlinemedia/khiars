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60" windowWidth="16605" windowHeight="7950" firstSheet="1" activeTab="1"/>
  </bookViews>
  <sheets>
    <sheet name="Dropdowns" sheetId="2" state="hidden" r:id="rId1"/>
    <sheet name="CommissionDD" sheetId="4" r:id="rId2"/>
    <sheet name="Comms" sheetId="5" state="hidden" r:id="rId3"/>
    <sheet name="TransLog" sheetId="9" state="hidden" r:id="rId4"/>
    <sheet name="Rships" sheetId="14" r:id="rId5"/>
    <sheet name="Failed Transactions" sheetId="15" r:id="rId6"/>
    <sheet name="Cus" sheetId="1" r:id="rId7"/>
    <sheet name="Acc" sheetId="3" r:id="rId8"/>
    <sheet name="SummaryCommissionStatement" sheetId="8" r:id="rId9"/>
    <sheet name="CommissionStatement" sheetId="17" r:id="rId10"/>
    <sheet name="HierarchyStatement" sheetId="16" r:id="rId11"/>
    <sheet name="DetailedCommissionStatement" sheetId="10" state="hidden" r:id="rId12"/>
  </sheets>
  <functionGroups/>
  <externalReferences>
    <externalReference r:id="rId13"/>
    <externalReference r:id="rId14"/>
  </externalReferences>
  <definedNames>
    <definedName name="_xlnm.Print_Area" localSheetId="9">CommissionStatement!$A$1:$L$86</definedName>
    <definedName name="_xlnm.Print_Area" localSheetId="10">HierarchyStatement!$A$1:$J$59</definedName>
    <definedName name="_xlnm.Print_Area" localSheetId="8">SummaryCommissionStatement!$A$1:$J$53</definedName>
  </definedNames>
  <calcPr calcId="125725"/>
</workbook>
</file>

<file path=xl/calcChain.xml><?xml version="1.0" encoding="utf-8"?>
<calcChain xmlns="http://schemas.openxmlformats.org/spreadsheetml/2006/main">
  <c r="E1003" i="1"/>
  <c r="A28" i="14"/>
  <c r="A13"/>
  <c r="A16"/>
  <c r="A57"/>
  <c r="A600" i="3"/>
  <c r="A601"/>
  <c r="A43" i="14"/>
  <c r="AH600" i="1"/>
  <c r="AG600"/>
  <c r="AF600"/>
  <c r="AE600"/>
  <c r="AD600"/>
  <c r="AC600"/>
  <c r="AB600"/>
  <c r="Y600"/>
  <c r="A2" i="16"/>
  <c r="A2" i="8"/>
  <c r="A2" i="17"/>
  <c r="J60"/>
  <c r="J54"/>
  <c r="J48"/>
  <c r="J42"/>
  <c r="J36"/>
  <c r="J30"/>
  <c r="J22"/>
  <c r="B67" s="1"/>
  <c r="L67" s="1"/>
  <c r="L60"/>
  <c r="I60"/>
  <c r="H60"/>
  <c r="B60"/>
  <c r="L54"/>
  <c r="I54"/>
  <c r="H54"/>
  <c r="B54"/>
  <c r="L48"/>
  <c r="I48"/>
  <c r="H48"/>
  <c r="B48"/>
  <c r="L42"/>
  <c r="I42"/>
  <c r="H42"/>
  <c r="B42"/>
  <c r="B36"/>
  <c r="L36"/>
  <c r="I36"/>
  <c r="H36"/>
  <c r="E700" i="3"/>
  <c r="E699"/>
  <c r="E698"/>
  <c r="E697"/>
  <c r="E696"/>
  <c r="E695"/>
  <c r="E694"/>
  <c r="E693"/>
  <c r="E692"/>
  <c r="E691"/>
  <c r="E690"/>
  <c r="E689"/>
  <c r="E688"/>
  <c r="E687"/>
  <c r="E686"/>
  <c r="E685"/>
  <c r="E684"/>
  <c r="E683"/>
  <c r="E682"/>
  <c r="E681"/>
  <c r="E680"/>
  <c r="E679"/>
  <c r="E678"/>
  <c r="E677"/>
  <c r="E676"/>
  <c r="E675"/>
  <c r="E674"/>
  <c r="E673"/>
  <c r="E672"/>
  <c r="E671"/>
  <c r="E670"/>
  <c r="E669"/>
  <c r="E668"/>
  <c r="E667"/>
  <c r="E666"/>
  <c r="E665"/>
  <c r="E664"/>
  <c r="E663"/>
  <c r="E662"/>
  <c r="E661"/>
  <c r="E660"/>
  <c r="E659"/>
  <c r="E658"/>
  <c r="E657"/>
  <c r="E656"/>
  <c r="E655"/>
  <c r="E654"/>
  <c r="E653"/>
  <c r="E652"/>
  <c r="E651"/>
  <c r="E650"/>
  <c r="E649"/>
  <c r="E648"/>
  <c r="E647"/>
  <c r="E646"/>
  <c r="E645"/>
  <c r="E644"/>
  <c r="E643"/>
  <c r="E642"/>
  <c r="E641"/>
  <c r="E640"/>
  <c r="E639"/>
  <c r="E638"/>
  <c r="E637"/>
  <c r="E636"/>
  <c r="E635"/>
  <c r="E634"/>
  <c r="E633"/>
  <c r="E632"/>
  <c r="E631"/>
  <c r="E630"/>
  <c r="E629"/>
  <c r="E628"/>
  <c r="E627"/>
  <c r="E626"/>
  <c r="E625"/>
  <c r="E624"/>
  <c r="E623"/>
  <c r="E622"/>
  <c r="E621"/>
  <c r="E620"/>
  <c r="E619"/>
  <c r="E618"/>
  <c r="E617"/>
  <c r="E616"/>
  <c r="E615"/>
  <c r="E614"/>
  <c r="E613"/>
  <c r="E612"/>
  <c r="E611"/>
  <c r="E610"/>
  <c r="E609"/>
  <c r="E608"/>
  <c r="E607"/>
  <c r="E606"/>
  <c r="E605"/>
  <c r="E604"/>
  <c r="E603"/>
  <c r="E602"/>
  <c r="E601"/>
  <c r="E600"/>
  <c r="E599"/>
  <c r="E598"/>
  <c r="E597"/>
  <c r="E596"/>
  <c r="E595"/>
  <c r="E594"/>
  <c r="E593"/>
  <c r="E592"/>
  <c r="E591"/>
  <c r="E590"/>
  <c r="E589"/>
  <c r="E588"/>
  <c r="E587"/>
  <c r="E586"/>
  <c r="E585"/>
  <c r="E584"/>
  <c r="E583"/>
  <c r="E582"/>
  <c r="E581"/>
  <c r="E580"/>
  <c r="E579"/>
  <c r="E578"/>
  <c r="E577"/>
  <c r="E576"/>
  <c r="E575"/>
  <c r="E574"/>
  <c r="E573"/>
  <c r="E572"/>
  <c r="E571"/>
  <c r="E570"/>
  <c r="E569"/>
  <c r="E568"/>
  <c r="E567"/>
  <c r="E566"/>
  <c r="E565"/>
  <c r="E564"/>
  <c r="E563"/>
  <c r="E562"/>
  <c r="E561"/>
  <c r="E560"/>
  <c r="E559"/>
  <c r="E558"/>
  <c r="E557"/>
  <c r="E556"/>
  <c r="E555"/>
  <c r="E554"/>
  <c r="E553"/>
  <c r="E552"/>
  <c r="E551"/>
  <c r="E550"/>
  <c r="E549"/>
  <c r="E548"/>
  <c r="E547"/>
  <c r="E546"/>
  <c r="E545"/>
  <c r="E544"/>
  <c r="E543"/>
  <c r="E542"/>
  <c r="E541"/>
  <c r="E540"/>
  <c r="E539"/>
  <c r="E538"/>
  <c r="E537"/>
  <c r="E536"/>
  <c r="E535"/>
  <c r="E534"/>
  <c r="E533"/>
  <c r="E532"/>
  <c r="E531"/>
  <c r="E530"/>
  <c r="E529"/>
  <c r="E528"/>
  <c r="E527"/>
  <c r="E526"/>
  <c r="E525"/>
  <c r="E524"/>
  <c r="E523"/>
  <c r="E522"/>
  <c r="E521"/>
  <c r="E520"/>
  <c r="E519"/>
  <c r="E518"/>
  <c r="E517"/>
  <c r="E516"/>
  <c r="E515"/>
  <c r="E514"/>
  <c r="E513"/>
  <c r="E512"/>
  <c r="E511"/>
  <c r="E510"/>
  <c r="E509"/>
  <c r="E508"/>
  <c r="E507"/>
  <c r="E506"/>
  <c r="E505"/>
  <c r="E504"/>
  <c r="E503"/>
  <c r="E502"/>
  <c r="E501"/>
  <c r="E500"/>
  <c r="E499"/>
  <c r="E498"/>
  <c r="E497"/>
  <c r="E496"/>
  <c r="E495"/>
  <c r="E494"/>
  <c r="E493"/>
  <c r="E492"/>
  <c r="E491"/>
  <c r="E490"/>
  <c r="E489"/>
  <c r="E488"/>
  <c r="E487"/>
  <c r="E486"/>
  <c r="E485"/>
  <c r="E484"/>
  <c r="E483"/>
  <c r="E482"/>
  <c r="E481"/>
  <c r="E480"/>
  <c r="E479"/>
  <c r="E478"/>
  <c r="E477"/>
  <c r="E476"/>
  <c r="E475"/>
  <c r="E474"/>
  <c r="E473"/>
  <c r="E472"/>
  <c r="E471"/>
  <c r="E470"/>
  <c r="E469"/>
  <c r="E468"/>
  <c r="E467"/>
  <c r="E466"/>
  <c r="E465"/>
  <c r="E464"/>
  <c r="E463"/>
  <c r="E462"/>
  <c r="E461"/>
  <c r="E460"/>
  <c r="E459"/>
  <c r="E458"/>
  <c r="E457"/>
  <c r="E456"/>
  <c r="E455"/>
  <c r="E454"/>
  <c r="E453"/>
  <c r="E452"/>
  <c r="E451"/>
  <c r="E450"/>
  <c r="E449"/>
  <c r="E448"/>
  <c r="E447"/>
  <c r="E446"/>
  <c r="E445"/>
  <c r="E444"/>
  <c r="E443"/>
  <c r="E442"/>
  <c r="E441"/>
  <c r="E440"/>
  <c r="E439"/>
  <c r="E438"/>
  <c r="E437"/>
  <c r="E436"/>
  <c r="E435"/>
  <c r="E434"/>
  <c r="E433"/>
  <c r="E432"/>
  <c r="E431"/>
  <c r="E430"/>
  <c r="E429"/>
  <c r="E428"/>
  <c r="E427"/>
  <c r="E426"/>
  <c r="E425"/>
  <c r="E424"/>
  <c r="E423"/>
  <c r="E422"/>
  <c r="E421"/>
  <c r="E420"/>
  <c r="E419"/>
  <c r="E418"/>
  <c r="E417"/>
  <c r="E416"/>
  <c r="E415"/>
  <c r="E414"/>
  <c r="E413"/>
  <c r="E412"/>
  <c r="E411"/>
  <c r="E410"/>
  <c r="E409"/>
  <c r="E408"/>
  <c r="E407"/>
  <c r="E406"/>
  <c r="E405"/>
  <c r="E404"/>
  <c r="E403"/>
  <c r="E402"/>
  <c r="E401"/>
  <c r="E400"/>
  <c r="E399"/>
  <c r="E398"/>
  <c r="E397"/>
  <c r="E396"/>
  <c r="E395"/>
  <c r="E394"/>
  <c r="E393"/>
  <c r="E392"/>
  <c r="E391"/>
  <c r="E390"/>
  <c r="E389"/>
  <c r="E388"/>
  <c r="E387"/>
  <c r="E386"/>
  <c r="E385"/>
  <c r="E384"/>
  <c r="E383"/>
  <c r="E382"/>
  <c r="E381"/>
  <c r="E380"/>
  <c r="E379"/>
  <c r="E378"/>
  <c r="E377"/>
  <c r="E376"/>
  <c r="E375"/>
  <c r="E374"/>
  <c r="E373"/>
  <c r="E372"/>
  <c r="E371"/>
  <c r="E370"/>
  <c r="E369"/>
  <c r="E368"/>
  <c r="E367"/>
  <c r="E366"/>
  <c r="E365"/>
  <c r="E364"/>
  <c r="E363"/>
  <c r="E362"/>
  <c r="E361"/>
  <c r="E360"/>
  <c r="E359"/>
  <c r="E358"/>
  <c r="E357"/>
  <c r="E356"/>
  <c r="E355"/>
  <c r="E354"/>
  <c r="E353"/>
  <c r="E352"/>
  <c r="E351"/>
  <c r="E350"/>
  <c r="E349"/>
  <c r="E348"/>
  <c r="E347"/>
  <c r="E346"/>
  <c r="E345"/>
  <c r="E344"/>
  <c r="E343"/>
  <c r="E342"/>
  <c r="E341"/>
  <c r="E340"/>
  <c r="E339"/>
  <c r="E338"/>
  <c r="E337"/>
  <c r="E336"/>
  <c r="E335"/>
  <c r="E334"/>
  <c r="E333"/>
  <c r="E332"/>
  <c r="E331"/>
  <c r="E330"/>
  <c r="E329"/>
  <c r="E328"/>
  <c r="E327"/>
  <c r="E326"/>
  <c r="E325"/>
  <c r="E324"/>
  <c r="E323"/>
  <c r="E322"/>
  <c r="E321"/>
  <c r="E320"/>
  <c r="E319"/>
  <c r="E318"/>
  <c r="E317"/>
  <c r="E316"/>
  <c r="E315"/>
  <c r="E314"/>
  <c r="E313"/>
  <c r="E312"/>
  <c r="E311"/>
  <c r="E310"/>
  <c r="E309"/>
  <c r="E308"/>
  <c r="E307"/>
  <c r="E306"/>
  <c r="E305"/>
  <c r="E304"/>
  <c r="E303"/>
  <c r="E302"/>
  <c r="E301"/>
  <c r="E300"/>
  <c r="E299"/>
  <c r="E298"/>
  <c r="E297"/>
  <c r="E296"/>
  <c r="E295"/>
  <c r="E294"/>
  <c r="E293"/>
  <c r="E291"/>
  <c r="E290"/>
  <c r="E288"/>
  <c r="E287"/>
  <c r="E286"/>
  <c r="E285"/>
  <c r="E284"/>
  <c r="E283"/>
  <c r="E282"/>
  <c r="E281"/>
  <c r="E280"/>
  <c r="E279"/>
  <c r="E278"/>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5"/>
  <c r="E194"/>
  <c r="E193"/>
  <c r="E192"/>
  <c r="E191"/>
  <c r="E190"/>
  <c r="E189"/>
  <c r="E188"/>
  <c r="E187"/>
  <c r="E186"/>
  <c r="E185"/>
  <c r="E184"/>
  <c r="E183"/>
  <c r="E182"/>
  <c r="E181"/>
  <c r="E180"/>
  <c r="E179"/>
  <c r="E178"/>
  <c r="E177"/>
  <c r="E176"/>
  <c r="E175"/>
  <c r="E174"/>
  <c r="E173"/>
  <c r="E172"/>
  <c r="E171"/>
  <c r="E170"/>
  <c r="E169"/>
  <c r="E168"/>
  <c r="E167"/>
  <c r="E166"/>
  <c r="E165"/>
  <c r="E164"/>
  <c r="E163"/>
  <c r="E162"/>
  <c r="E161"/>
  <c r="E160"/>
  <c r="E159"/>
  <c r="E158"/>
  <c r="E157"/>
  <c r="E156"/>
  <c r="E155"/>
  <c r="E154"/>
  <c r="E153"/>
  <c r="E152"/>
  <c r="E151"/>
  <c r="E150"/>
  <c r="E149"/>
  <c r="E148"/>
  <c r="E147"/>
  <c r="E146"/>
  <c r="E145"/>
  <c r="E144"/>
  <c r="E143"/>
  <c r="E142"/>
  <c r="E141"/>
  <c r="E140"/>
  <c r="E139"/>
  <c r="E138"/>
  <c r="E137"/>
  <c r="E136"/>
  <c r="E135"/>
  <c r="E134"/>
  <c r="E133"/>
  <c r="E132"/>
  <c r="E131"/>
  <c r="E130"/>
  <c r="E129"/>
  <c r="E128"/>
  <c r="E127"/>
  <c r="E126"/>
  <c r="E125"/>
  <c r="E124"/>
  <c r="E123"/>
  <c r="E122"/>
  <c r="E121"/>
  <c r="E120"/>
  <c r="E119"/>
  <c r="E118"/>
  <c r="E117"/>
  <c r="E116"/>
  <c r="E115"/>
  <c r="E114"/>
  <c r="E113"/>
  <c r="E112"/>
  <c r="E111"/>
  <c r="E110"/>
  <c r="E109"/>
  <c r="E108"/>
  <c r="E107"/>
  <c r="E106"/>
  <c r="E105"/>
  <c r="E104"/>
  <c r="E103"/>
  <c r="E102"/>
  <c r="E101"/>
  <c r="E100"/>
  <c r="E99"/>
  <c r="E98"/>
  <c r="E97"/>
  <c r="E96"/>
  <c r="E95"/>
  <c r="E94"/>
  <c r="E93"/>
  <c r="E92"/>
  <c r="E91"/>
  <c r="E90"/>
  <c r="E89"/>
  <c r="E88"/>
  <c r="E87"/>
  <c r="E86"/>
  <c r="E85"/>
  <c r="E84"/>
  <c r="E83"/>
  <c r="E82"/>
  <c r="E81"/>
  <c r="E80"/>
  <c r="E79"/>
  <c r="E78"/>
  <c r="E77"/>
  <c r="E76"/>
  <c r="E75"/>
  <c r="E74"/>
  <c r="E73"/>
  <c r="E72"/>
  <c r="E71"/>
  <c r="E70"/>
  <c r="E69"/>
  <c r="E68"/>
  <c r="E67"/>
  <c r="E66"/>
  <c r="E65"/>
  <c r="E64"/>
  <c r="E63"/>
  <c r="E62"/>
  <c r="E61"/>
  <c r="E60"/>
  <c r="E59"/>
  <c r="E58"/>
  <c r="E57"/>
  <c r="E56"/>
  <c r="E55"/>
  <c r="E54"/>
  <c r="E53"/>
  <c r="E52"/>
  <c r="E51"/>
  <c r="E50"/>
  <c r="E49"/>
  <c r="E48"/>
  <c r="E47"/>
  <c r="E46"/>
  <c r="E45"/>
  <c r="E44"/>
  <c r="E43"/>
  <c r="E42"/>
  <c r="E41"/>
  <c r="E40"/>
  <c r="E39"/>
  <c r="E38"/>
  <c r="E37"/>
  <c r="E36"/>
  <c r="E35"/>
  <c r="E34"/>
  <c r="E33"/>
  <c r="E32"/>
  <c r="E31"/>
  <c r="E30"/>
  <c r="E29"/>
  <c r="E28"/>
  <c r="E27"/>
  <c r="E26"/>
  <c r="E25"/>
  <c r="E24"/>
  <c r="E23"/>
  <c r="E22"/>
  <c r="E21"/>
  <c r="E20"/>
  <c r="E19"/>
  <c r="E18"/>
  <c r="E17"/>
  <c r="E16"/>
  <c r="E15"/>
  <c r="E14"/>
  <c r="E13"/>
  <c r="E12"/>
  <c r="E11"/>
  <c r="E10"/>
  <c r="E9"/>
  <c r="E8"/>
  <c r="E7"/>
  <c r="E6"/>
  <c r="E5"/>
  <c r="E4"/>
  <c r="E3"/>
  <c r="E2"/>
  <c r="G28" i="17"/>
  <c r="F28"/>
  <c r="E28"/>
  <c r="C28"/>
  <c r="B28"/>
  <c r="B30" s="1"/>
  <c r="G20"/>
  <c r="D20"/>
  <c r="E20" s="1"/>
  <c r="C20"/>
  <c r="B20"/>
  <c r="G19"/>
  <c r="D19"/>
  <c r="E19" s="1"/>
  <c r="C19"/>
  <c r="B19"/>
  <c r="B15"/>
  <c r="B14"/>
  <c r="B13"/>
  <c r="B12"/>
  <c r="E2"/>
  <c r="C2"/>
  <c r="H32" i="4"/>
  <c r="H31"/>
  <c r="H30"/>
  <c r="F26" i="16"/>
  <c r="E26"/>
  <c r="C26"/>
  <c r="B26"/>
  <c r="B28" s="1"/>
  <c r="C20"/>
  <c r="C19"/>
  <c r="B20"/>
  <c r="B19"/>
  <c r="G26"/>
  <c r="H26" s="1"/>
  <c r="G20"/>
  <c r="H20" s="1"/>
  <c r="D20"/>
  <c r="E20" s="1"/>
  <c r="G19"/>
  <c r="H19" s="1"/>
  <c r="D19"/>
  <c r="E19" s="1"/>
  <c r="B15"/>
  <c r="B13"/>
  <c r="B14"/>
  <c r="B12"/>
  <c r="E2"/>
  <c r="C2"/>
  <c r="B64" i="17" l="1"/>
  <c r="L64" s="1"/>
  <c r="B71"/>
  <c r="L71" s="1"/>
  <c r="K60"/>
  <c r="B75"/>
  <c r="L75" s="1"/>
  <c r="K48"/>
  <c r="F19"/>
  <c r="K36"/>
  <c r="F20" i="16"/>
  <c r="F19"/>
  <c r="AA600" i="1"/>
  <c r="K54" i="17"/>
  <c r="B74"/>
  <c r="L74" s="1"/>
  <c r="J86"/>
  <c r="B68"/>
  <c r="L68" s="1"/>
  <c r="B70"/>
  <c r="L70" s="1"/>
  <c r="B73"/>
  <c r="L73" s="1"/>
  <c r="B66"/>
  <c r="L66" s="1"/>
  <c r="B65"/>
  <c r="L65" s="1"/>
  <c r="K42"/>
  <c r="B69"/>
  <c r="L69" s="1"/>
  <c r="B72"/>
  <c r="L72" s="1"/>
  <c r="L24"/>
  <c r="F20"/>
  <c r="B22"/>
  <c r="B86" s="1"/>
  <c r="B22" i="16"/>
  <c r="L77" i="17" l="1"/>
  <c r="F200" i="15" l="1"/>
  <c r="F199"/>
  <c r="F198"/>
  <c r="F197"/>
  <c r="F196"/>
  <c r="F195"/>
  <c r="F194"/>
  <c r="F193"/>
  <c r="F192"/>
  <c r="F191"/>
  <c r="F190"/>
  <c r="F189"/>
  <c r="F188"/>
  <c r="F187"/>
  <c r="F186"/>
  <c r="F185"/>
  <c r="F184"/>
  <c r="F183"/>
  <c r="F182"/>
  <c r="F181"/>
  <c r="F180"/>
  <c r="F179"/>
  <c r="F178"/>
  <c r="F177"/>
  <c r="F176"/>
  <c r="F175"/>
  <c r="F174"/>
  <c r="F173"/>
  <c r="F172"/>
  <c r="F171"/>
  <c r="F170"/>
  <c r="F169"/>
  <c r="F168"/>
  <c r="F167"/>
  <c r="F166"/>
  <c r="F165"/>
  <c r="F164"/>
  <c r="F163"/>
  <c r="F162"/>
  <c r="F161"/>
  <c r="F160"/>
  <c r="F159"/>
  <c r="F158"/>
  <c r="F157"/>
  <c r="F156"/>
  <c r="F155"/>
  <c r="F154"/>
  <c r="F153"/>
  <c r="F152"/>
  <c r="F151"/>
  <c r="F150"/>
  <c r="F149"/>
  <c r="F148"/>
  <c r="F147"/>
  <c r="F146"/>
  <c r="F145"/>
  <c r="F144"/>
  <c r="F143"/>
  <c r="F142"/>
  <c r="F141"/>
  <c r="F140"/>
  <c r="F139"/>
  <c r="F138"/>
  <c r="F137"/>
  <c r="F136"/>
  <c r="F135"/>
  <c r="F134"/>
  <c r="F133"/>
  <c r="F132"/>
  <c r="F131"/>
  <c r="F130"/>
  <c r="F129"/>
  <c r="F128"/>
  <c r="F127"/>
  <c r="F126"/>
  <c r="F125"/>
  <c r="F124"/>
  <c r="F123"/>
  <c r="F122"/>
  <c r="F121"/>
  <c r="F120"/>
  <c r="F119"/>
  <c r="F118"/>
  <c r="F117"/>
  <c r="F116"/>
  <c r="F115"/>
  <c r="F114"/>
  <c r="F113"/>
  <c r="F112"/>
  <c r="F111"/>
  <c r="F110"/>
  <c r="F109"/>
  <c r="F108"/>
  <c r="F107"/>
  <c r="F106"/>
  <c r="F105"/>
  <c r="F104"/>
  <c r="F103"/>
  <c r="F102"/>
  <c r="F101"/>
  <c r="F100"/>
  <c r="F99"/>
  <c r="F98"/>
  <c r="F97"/>
  <c r="F96"/>
  <c r="F95"/>
  <c r="F94"/>
  <c r="F93"/>
  <c r="F92"/>
  <c r="F91"/>
  <c r="F90"/>
  <c r="F89"/>
  <c r="F88"/>
  <c r="F87"/>
  <c r="F86"/>
  <c r="F85"/>
  <c r="F84"/>
  <c r="F83"/>
  <c r="F82"/>
  <c r="F81"/>
  <c r="F80"/>
  <c r="F79"/>
  <c r="F78"/>
  <c r="F77"/>
  <c r="F76"/>
  <c r="F75"/>
  <c r="F74"/>
  <c r="F73"/>
  <c r="F72"/>
  <c r="F71"/>
  <c r="F70"/>
  <c r="F69"/>
  <c r="F68"/>
  <c r="F67"/>
  <c r="F66"/>
  <c r="F65"/>
  <c r="F64"/>
  <c r="F63"/>
  <c r="F62"/>
  <c r="F61"/>
  <c r="F60"/>
  <c r="F59"/>
  <c r="F58"/>
  <c r="F57"/>
  <c r="F56"/>
  <c r="F55"/>
  <c r="F54"/>
  <c r="F53"/>
  <c r="F52"/>
  <c r="F51"/>
  <c r="F50"/>
  <c r="F49"/>
  <c r="F48"/>
  <c r="F47"/>
  <c r="F46"/>
  <c r="F45"/>
  <c r="F44"/>
  <c r="F43"/>
  <c r="F42"/>
  <c r="F41"/>
  <c r="F40"/>
  <c r="F39"/>
  <c r="F38"/>
  <c r="F37"/>
  <c r="F36"/>
  <c r="F35"/>
  <c r="F34"/>
  <c r="F33"/>
  <c r="F32"/>
  <c r="F31"/>
  <c r="F30"/>
  <c r="F29"/>
  <c r="F28"/>
  <c r="F27"/>
  <c r="F26"/>
  <c r="F25"/>
  <c r="F24"/>
  <c r="F23"/>
  <c r="F22"/>
  <c r="F21"/>
  <c r="F20"/>
  <c r="F19"/>
  <c r="F18"/>
  <c r="F17"/>
  <c r="F16"/>
  <c r="F15"/>
  <c r="F14"/>
  <c r="F13"/>
  <c r="F12"/>
  <c r="F11"/>
  <c r="F10"/>
  <c r="F7"/>
  <c r="F6"/>
  <c r="F5"/>
  <c r="F4"/>
  <c r="F3"/>
  <c r="F2"/>
  <c r="A8"/>
  <c r="A7"/>
  <c r="A2"/>
  <c r="A5"/>
  <c r="A4"/>
  <c r="A3"/>
  <c r="A6"/>
  <c r="A183"/>
  <c r="A200"/>
  <c r="A199"/>
  <c r="A198"/>
  <c r="A197"/>
  <c r="A196"/>
  <c r="A195"/>
  <c r="A194"/>
  <c r="A193"/>
  <c r="A192"/>
  <c r="A191"/>
  <c r="A190"/>
  <c r="A189"/>
  <c r="A188"/>
  <c r="A187"/>
  <c r="A186"/>
  <c r="A185"/>
  <c r="A184"/>
  <c r="A182"/>
  <c r="A181"/>
  <c r="A180"/>
  <c r="A179"/>
  <c r="A178"/>
  <c r="A177"/>
  <c r="A176"/>
  <c r="A175"/>
  <c r="A174"/>
  <c r="A173"/>
  <c r="A172"/>
  <c r="A171"/>
  <c r="A170"/>
  <c r="A169"/>
  <c r="A168"/>
  <c r="A167"/>
  <c r="A166"/>
  <c r="A165"/>
  <c r="A164"/>
  <c r="A163"/>
  <c r="A162"/>
  <c r="A161"/>
  <c r="A160"/>
  <c r="A159"/>
  <c r="A158"/>
  <c r="A157"/>
  <c r="A156"/>
  <c r="A155"/>
  <c r="A154"/>
  <c r="A153"/>
  <c r="A152"/>
  <c r="A151"/>
  <c r="A150"/>
  <c r="A149"/>
  <c r="A148"/>
  <c r="A147"/>
  <c r="A146"/>
  <c r="A145"/>
  <c r="A144"/>
  <c r="A143"/>
  <c r="A142"/>
  <c r="A141"/>
  <c r="A140"/>
  <c r="A139"/>
  <c r="A138"/>
  <c r="A137"/>
  <c r="A136"/>
  <c r="A135"/>
  <c r="A134"/>
  <c r="A133"/>
  <c r="A132"/>
  <c r="A131"/>
  <c r="A130"/>
  <c r="A129"/>
  <c r="A128"/>
  <c r="A127"/>
  <c r="A126"/>
  <c r="A125"/>
  <c r="A124"/>
  <c r="A123"/>
  <c r="A122"/>
  <c r="A121"/>
  <c r="A120"/>
  <c r="A119"/>
  <c r="A118"/>
  <c r="A117"/>
  <c r="A116"/>
  <c r="A115"/>
  <c r="A114"/>
  <c r="A113"/>
  <c r="A112"/>
  <c r="A111"/>
  <c r="A110"/>
  <c r="A109"/>
  <c r="A108"/>
  <c r="A107"/>
  <c r="A106"/>
  <c r="A105"/>
  <c r="A104"/>
  <c r="A103"/>
  <c r="A102"/>
  <c r="A101"/>
  <c r="A100"/>
  <c r="A99"/>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H694" i="1"/>
  <c r="AG694"/>
  <c r="AF694"/>
  <c r="AE694"/>
  <c r="AD694"/>
  <c r="AC694"/>
  <c r="AB694"/>
  <c r="Y694"/>
  <c r="AA694" l="1"/>
  <c r="A589" i="14" l="1"/>
  <c r="A588"/>
  <c r="A587"/>
  <c r="A586"/>
  <c r="A585"/>
  <c r="A584"/>
  <c r="A583"/>
  <c r="A582"/>
  <c r="A581"/>
  <c r="A580"/>
  <c r="A579"/>
  <c r="A578"/>
  <c r="A577"/>
  <c r="A576"/>
  <c r="A575"/>
  <c r="A574"/>
  <c r="A573"/>
  <c r="A572"/>
  <c r="A571"/>
  <c r="A570"/>
  <c r="A569"/>
  <c r="A568"/>
  <c r="A567"/>
  <c r="A566"/>
  <c r="A565"/>
  <c r="A564"/>
  <c r="A563"/>
  <c r="A562"/>
  <c r="A561"/>
  <c r="A560"/>
  <c r="A559"/>
  <c r="A558"/>
  <c r="A557"/>
  <c r="A556"/>
  <c r="A555"/>
  <c r="A554"/>
  <c r="A553"/>
  <c r="A552"/>
  <c r="A551"/>
  <c r="A550"/>
  <c r="A549"/>
  <c r="A548"/>
  <c r="A547"/>
  <c r="A546"/>
  <c r="A545"/>
  <c r="A544"/>
  <c r="A543"/>
  <c r="A542"/>
  <c r="A541"/>
  <c r="A540"/>
  <c r="A539"/>
  <c r="A538"/>
  <c r="A537"/>
  <c r="A536"/>
  <c r="A535"/>
  <c r="A534"/>
  <c r="A533"/>
  <c r="A532"/>
  <c r="A531"/>
  <c r="A530"/>
  <c r="A529"/>
  <c r="A528"/>
  <c r="A527"/>
  <c r="A526"/>
  <c r="A525"/>
  <c r="A524"/>
  <c r="A523"/>
  <c r="A522"/>
  <c r="A521"/>
  <c r="A520"/>
  <c r="A519"/>
  <c r="A518"/>
  <c r="A517"/>
  <c r="A516"/>
  <c r="A515"/>
  <c r="A514"/>
  <c r="A513"/>
  <c r="A512"/>
  <c r="A511"/>
  <c r="A510"/>
  <c r="A509"/>
  <c r="A508"/>
  <c r="A507"/>
  <c r="A506"/>
  <c r="A505"/>
  <c r="A504"/>
  <c r="A503"/>
  <c r="A502"/>
  <c r="A501"/>
  <c r="A500"/>
  <c r="A499"/>
  <c r="A498"/>
  <c r="A497"/>
  <c r="A496"/>
  <c r="A495"/>
  <c r="A494"/>
  <c r="A493"/>
  <c r="A492"/>
  <c r="A491"/>
  <c r="A490"/>
  <c r="A489"/>
  <c r="A488"/>
  <c r="A487"/>
  <c r="A486"/>
  <c r="A485"/>
  <c r="A484"/>
  <c r="A483"/>
  <c r="A482"/>
  <c r="A481"/>
  <c r="A480"/>
  <c r="A479"/>
  <c r="A478"/>
  <c r="A477"/>
  <c r="A476"/>
  <c r="A475"/>
  <c r="A474"/>
  <c r="A473"/>
  <c r="A472"/>
  <c r="A471"/>
  <c r="A470"/>
  <c r="A469"/>
  <c r="A468"/>
  <c r="A467"/>
  <c r="A466"/>
  <c r="A465"/>
  <c r="A464"/>
  <c r="A463"/>
  <c r="A462"/>
  <c r="A461"/>
  <c r="A460"/>
  <c r="A459"/>
  <c r="A458"/>
  <c r="A457"/>
  <c r="A456"/>
  <c r="A455"/>
  <c r="A454"/>
  <c r="A453"/>
  <c r="A452"/>
  <c r="A451"/>
  <c r="A450"/>
  <c r="A449"/>
  <c r="A448"/>
  <c r="A447"/>
  <c r="A446"/>
  <c r="A445"/>
  <c r="A444"/>
  <c r="A443"/>
  <c r="A442"/>
  <c r="A441"/>
  <c r="A440"/>
  <c r="A439"/>
  <c r="A438"/>
  <c r="A437"/>
  <c r="A436"/>
  <c r="A435"/>
  <c r="A434"/>
  <c r="A433"/>
  <c r="A432"/>
  <c r="A431"/>
  <c r="A430"/>
  <c r="A429"/>
  <c r="A428"/>
  <c r="A427"/>
  <c r="A426"/>
  <c r="A425"/>
  <c r="A424"/>
  <c r="A423"/>
  <c r="A422"/>
  <c r="A421"/>
  <c r="A420"/>
  <c r="A419"/>
  <c r="A418"/>
  <c r="A417"/>
  <c r="A416"/>
  <c r="A415"/>
  <c r="A414"/>
  <c r="A413"/>
  <c r="A412"/>
  <c r="A411"/>
  <c r="A410"/>
  <c r="A409"/>
  <c r="A408"/>
  <c r="A407"/>
  <c r="A406"/>
  <c r="A405"/>
  <c r="A404"/>
  <c r="A403"/>
  <c r="A402"/>
  <c r="A401"/>
  <c r="A400"/>
  <c r="A399"/>
  <c r="A398"/>
  <c r="A397"/>
  <c r="A396"/>
  <c r="A395"/>
  <c r="A394"/>
  <c r="A393"/>
  <c r="A392"/>
  <c r="A391"/>
  <c r="A390"/>
  <c r="A389"/>
  <c r="A388"/>
  <c r="A387"/>
  <c r="A386"/>
  <c r="A385"/>
  <c r="A384"/>
  <c r="A383"/>
  <c r="A382"/>
  <c r="A381"/>
  <c r="A380"/>
  <c r="A379"/>
  <c r="A378"/>
  <c r="A377"/>
  <c r="A376"/>
  <c r="A375"/>
  <c r="A374"/>
  <c r="A373"/>
  <c r="A372"/>
  <c r="A371"/>
  <c r="A370"/>
  <c r="A369"/>
  <c r="A368"/>
  <c r="A367"/>
  <c r="A366"/>
  <c r="A365"/>
  <c r="A364"/>
  <c r="A363"/>
  <c r="A362"/>
  <c r="A361"/>
  <c r="A360"/>
  <c r="A359"/>
  <c r="A358"/>
  <c r="A357"/>
  <c r="A356"/>
  <c r="A355"/>
  <c r="A354"/>
  <c r="A353"/>
  <c r="A352"/>
  <c r="A351"/>
  <c r="A350"/>
  <c r="A349"/>
  <c r="A348"/>
  <c r="A347"/>
  <c r="A346"/>
  <c r="A345"/>
  <c r="A344"/>
  <c r="A343"/>
  <c r="A342"/>
  <c r="A341"/>
  <c r="A340"/>
  <c r="A339"/>
  <c r="A338"/>
  <c r="A337"/>
  <c r="A336"/>
  <c r="A335"/>
  <c r="A334"/>
  <c r="A333"/>
  <c r="A332"/>
  <c r="A331"/>
  <c r="A330"/>
  <c r="A329"/>
  <c r="A328"/>
  <c r="A327"/>
  <c r="A326"/>
  <c r="A325"/>
  <c r="A324"/>
  <c r="A323"/>
  <c r="A322"/>
  <c r="A321"/>
  <c r="A320"/>
  <c r="A319"/>
  <c r="A318"/>
  <c r="A317"/>
  <c r="A316"/>
  <c r="A315"/>
  <c r="A314"/>
  <c r="A313"/>
  <c r="A312"/>
  <c r="A311"/>
  <c r="A310"/>
  <c r="A309"/>
  <c r="A308"/>
  <c r="A307"/>
  <c r="A306"/>
  <c r="A305"/>
  <c r="A304"/>
  <c r="A303"/>
  <c r="A302"/>
  <c r="A301"/>
  <c r="A300"/>
  <c r="A299"/>
  <c r="A298"/>
  <c r="A297"/>
  <c r="A296"/>
  <c r="A295"/>
  <c r="A294"/>
  <c r="A293"/>
  <c r="A292"/>
  <c r="A291"/>
  <c r="A290"/>
  <c r="A289"/>
  <c r="A288"/>
  <c r="A287"/>
  <c r="A286"/>
  <c r="A285"/>
  <c r="A284"/>
  <c r="A283"/>
  <c r="A282"/>
  <c r="A281"/>
  <c r="A280"/>
  <c r="A279"/>
  <c r="A278"/>
  <c r="A277"/>
  <c r="A276"/>
  <c r="A275"/>
  <c r="A274"/>
  <c r="A273"/>
  <c r="A272"/>
  <c r="A271"/>
  <c r="A270"/>
  <c r="A269"/>
  <c r="A268"/>
  <c r="A267"/>
  <c r="A266"/>
  <c r="A265"/>
  <c r="A264"/>
  <c r="A263"/>
  <c r="A262"/>
  <c r="A261"/>
  <c r="A260"/>
  <c r="A259"/>
  <c r="A258"/>
  <c r="A257"/>
  <c r="A256"/>
  <c r="A255"/>
  <c r="A254"/>
  <c r="A253"/>
  <c r="A252"/>
  <c r="A251"/>
  <c r="A250"/>
  <c r="A249"/>
  <c r="A248"/>
  <c r="A247"/>
  <c r="A246"/>
  <c r="A245"/>
  <c r="A244"/>
  <c r="A243"/>
  <c r="A242"/>
  <c r="A241"/>
  <c r="A240"/>
  <c r="A239"/>
  <c r="A238"/>
  <c r="A237"/>
  <c r="A236"/>
  <c r="A235"/>
  <c r="A234"/>
  <c r="A233"/>
  <c r="A232"/>
  <c r="A231"/>
  <c r="A230"/>
  <c r="A229"/>
  <c r="A228"/>
  <c r="A227"/>
  <c r="A226"/>
  <c r="A225"/>
  <c r="A224"/>
  <c r="A223"/>
  <c r="A222"/>
  <c r="A221"/>
  <c r="A220"/>
  <c r="A219"/>
  <c r="A218"/>
  <c r="A217"/>
  <c r="A216"/>
  <c r="A215"/>
  <c r="A214"/>
  <c r="A213"/>
  <c r="A212"/>
  <c r="A211"/>
  <c r="A210"/>
  <c r="A209"/>
  <c r="A208"/>
  <c r="A207"/>
  <c r="A206"/>
  <c r="A205"/>
  <c r="A204"/>
  <c r="A203"/>
  <c r="A202"/>
  <c r="A201"/>
  <c r="A200"/>
  <c r="A199"/>
  <c r="A198"/>
  <c r="A197"/>
  <c r="A196"/>
  <c r="A195"/>
  <c r="A194"/>
  <c r="A193"/>
  <c r="A192"/>
  <c r="A191"/>
  <c r="A190"/>
  <c r="A189"/>
  <c r="A188"/>
  <c r="A187"/>
  <c r="A186"/>
  <c r="A185"/>
  <c r="A184"/>
  <c r="A183"/>
  <c r="A182"/>
  <c r="A181"/>
  <c r="A180"/>
  <c r="A179"/>
  <c r="A178"/>
  <c r="A177"/>
  <c r="A176"/>
  <c r="A175"/>
  <c r="A174"/>
  <c r="A173"/>
  <c r="A172"/>
  <c r="A171"/>
  <c r="A170"/>
  <c r="A169"/>
  <c r="A168"/>
  <c r="A167"/>
  <c r="A166"/>
  <c r="A165"/>
  <c r="A164"/>
  <c r="A163"/>
  <c r="A162"/>
  <c r="A161"/>
  <c r="A160"/>
  <c r="A159"/>
  <c r="A158"/>
  <c r="A157"/>
  <c r="A156"/>
  <c r="A155"/>
  <c r="A154"/>
  <c r="A153"/>
  <c r="A152"/>
  <c r="A151"/>
  <c r="A150"/>
  <c r="A149"/>
  <c r="A148"/>
  <c r="A147"/>
  <c r="A146"/>
  <c r="A145"/>
  <c r="A144"/>
  <c r="A143"/>
  <c r="A142"/>
  <c r="A141"/>
  <c r="A140"/>
  <c r="A139"/>
  <c r="A138"/>
  <c r="A137"/>
  <c r="A136"/>
  <c r="A135"/>
  <c r="A134"/>
  <c r="A133"/>
  <c r="A132"/>
  <c r="A131"/>
  <c r="A130"/>
  <c r="A129"/>
  <c r="A128"/>
  <c r="A127"/>
  <c r="A126"/>
  <c r="A125"/>
  <c r="A124"/>
  <c r="A123"/>
  <c r="A122"/>
  <c r="A121"/>
  <c r="A120"/>
  <c r="A119"/>
  <c r="A118"/>
  <c r="A117"/>
  <c r="A116"/>
  <c r="A115"/>
  <c r="A114"/>
  <c r="A113"/>
  <c r="A112"/>
  <c r="A111"/>
  <c r="A110"/>
  <c r="A109"/>
  <c r="A108"/>
  <c r="A107"/>
  <c r="A106"/>
  <c r="A105"/>
  <c r="A104"/>
  <c r="A103"/>
  <c r="A102"/>
  <c r="A101"/>
  <c r="A100"/>
  <c r="A99"/>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6"/>
  <c r="A55"/>
  <c r="A54"/>
  <c r="A53"/>
  <c r="A52"/>
  <c r="A51"/>
  <c r="A50"/>
  <c r="A49"/>
  <c r="A48"/>
  <c r="A47"/>
  <c r="A46"/>
  <c r="A45"/>
  <c r="A44"/>
  <c r="A42"/>
  <c r="A41"/>
  <c r="A40"/>
  <c r="A39"/>
  <c r="A38"/>
  <c r="A37"/>
  <c r="A36"/>
  <c r="AH1001" i="1"/>
  <c r="AG1001"/>
  <c r="AF1001"/>
  <c r="AE1001"/>
  <c r="AD1001"/>
  <c r="AC1001"/>
  <c r="AB1001"/>
  <c r="AH1000"/>
  <c r="AG1000"/>
  <c r="AF1000"/>
  <c r="AE1000"/>
  <c r="AD1000"/>
  <c r="AC1000"/>
  <c r="AB1000"/>
  <c r="AH999"/>
  <c r="AG999"/>
  <c r="AF999"/>
  <c r="AE999"/>
  <c r="AD999"/>
  <c r="AC999"/>
  <c r="AB999"/>
  <c r="AH998"/>
  <c r="AG998"/>
  <c r="AF998"/>
  <c r="AE998"/>
  <c r="AD998"/>
  <c r="AC998"/>
  <c r="AB998"/>
  <c r="AH997"/>
  <c r="AG997"/>
  <c r="AF997"/>
  <c r="AE997"/>
  <c r="AD997"/>
  <c r="AC997"/>
  <c r="AB997"/>
  <c r="AH996"/>
  <c r="AG996"/>
  <c r="AF996"/>
  <c r="AE996"/>
  <c r="AD996"/>
  <c r="AC996"/>
  <c r="AB996"/>
  <c r="AH995"/>
  <c r="AG995"/>
  <c r="AF995"/>
  <c r="AE995"/>
  <c r="AD995"/>
  <c r="AC995"/>
  <c r="AB995"/>
  <c r="AH994"/>
  <c r="AG994"/>
  <c r="AF994"/>
  <c r="AE994"/>
  <c r="AD994"/>
  <c r="AC994"/>
  <c r="AB994"/>
  <c r="AH993"/>
  <c r="AG993"/>
  <c r="AF993"/>
  <c r="AE993"/>
  <c r="AD993"/>
  <c r="AC993"/>
  <c r="AB993"/>
  <c r="AH992"/>
  <c r="AG992"/>
  <c r="AF992"/>
  <c r="AE992"/>
  <c r="AD992"/>
  <c r="AC992"/>
  <c r="AB992"/>
  <c r="AH991"/>
  <c r="AG991"/>
  <c r="AF991"/>
  <c r="AE991"/>
  <c r="AD991"/>
  <c r="AC991"/>
  <c r="AB991"/>
  <c r="AH990"/>
  <c r="AG990"/>
  <c r="AF990"/>
  <c r="AE990"/>
  <c r="AD990"/>
  <c r="AC990"/>
  <c r="AB990"/>
  <c r="AH989"/>
  <c r="AG989"/>
  <c r="AF989"/>
  <c r="AE989"/>
  <c r="AD989"/>
  <c r="AC989"/>
  <c r="AB989"/>
  <c r="AH988"/>
  <c r="AG988"/>
  <c r="AF988"/>
  <c r="AE988"/>
  <c r="AD988"/>
  <c r="AC988"/>
  <c r="AB988"/>
  <c r="AH987"/>
  <c r="AG987"/>
  <c r="AF987"/>
  <c r="AE987"/>
  <c r="AD987"/>
  <c r="AC987"/>
  <c r="AB987"/>
  <c r="AH986"/>
  <c r="AG986"/>
  <c r="AF986"/>
  <c r="AE986"/>
  <c r="AD986"/>
  <c r="AC986"/>
  <c r="AB986"/>
  <c r="AH985"/>
  <c r="AG985"/>
  <c r="AF985"/>
  <c r="AE985"/>
  <c r="AD985"/>
  <c r="AC985"/>
  <c r="AB985"/>
  <c r="AH984"/>
  <c r="AG984"/>
  <c r="AF984"/>
  <c r="AE984"/>
  <c r="AD984"/>
  <c r="AC984"/>
  <c r="AB984"/>
  <c r="AH983"/>
  <c r="AG983"/>
  <c r="AF983"/>
  <c r="AE983"/>
  <c r="AD983"/>
  <c r="AC983"/>
  <c r="AB983"/>
  <c r="AH982"/>
  <c r="AG982"/>
  <c r="AF982"/>
  <c r="AE982"/>
  <c r="AD982"/>
  <c r="AC982"/>
  <c r="AB982"/>
  <c r="AH981"/>
  <c r="AG981"/>
  <c r="AF981"/>
  <c r="AE981"/>
  <c r="AD981"/>
  <c r="AC981"/>
  <c r="AB981"/>
  <c r="AH980"/>
  <c r="AG980"/>
  <c r="AF980"/>
  <c r="AE980"/>
  <c r="AD980"/>
  <c r="AC980"/>
  <c r="AB980"/>
  <c r="AH979"/>
  <c r="AG979"/>
  <c r="AF979"/>
  <c r="AE979"/>
  <c r="AD979"/>
  <c r="AC979"/>
  <c r="AB979"/>
  <c r="AH978"/>
  <c r="AG978"/>
  <c r="AF978"/>
  <c r="AE978"/>
  <c r="AD978"/>
  <c r="AC978"/>
  <c r="AB978"/>
  <c r="AH977"/>
  <c r="AG977"/>
  <c r="AF977"/>
  <c r="AE977"/>
  <c r="AD977"/>
  <c r="AC977"/>
  <c r="AB977"/>
  <c r="AH976"/>
  <c r="AG976"/>
  <c r="AF976"/>
  <c r="AE976"/>
  <c r="AD976"/>
  <c r="AC976"/>
  <c r="AB976"/>
  <c r="AH975"/>
  <c r="AG975"/>
  <c r="AF975"/>
  <c r="AE975"/>
  <c r="AD975"/>
  <c r="AC975"/>
  <c r="AB975"/>
  <c r="AH974"/>
  <c r="AG974"/>
  <c r="AF974"/>
  <c r="AE974"/>
  <c r="AD974"/>
  <c r="AC974"/>
  <c r="AB974"/>
  <c r="AH973"/>
  <c r="AG973"/>
  <c r="AF973"/>
  <c r="AE973"/>
  <c r="AD973"/>
  <c r="AC973"/>
  <c r="AB973"/>
  <c r="AH972"/>
  <c r="AG972"/>
  <c r="AF972"/>
  <c r="AE972"/>
  <c r="AD972"/>
  <c r="AC972"/>
  <c r="AB972"/>
  <c r="AH971"/>
  <c r="AG971"/>
  <c r="AF971"/>
  <c r="AE971"/>
  <c r="AD971"/>
  <c r="AC971"/>
  <c r="AB971"/>
  <c r="AH970"/>
  <c r="AG970"/>
  <c r="AF970"/>
  <c r="AE970"/>
  <c r="AD970"/>
  <c r="AC970"/>
  <c r="AB970"/>
  <c r="AH969"/>
  <c r="AG969"/>
  <c r="AF969"/>
  <c r="AE969"/>
  <c r="AD969"/>
  <c r="AC969"/>
  <c r="AB969"/>
  <c r="AH968"/>
  <c r="AG968"/>
  <c r="AF968"/>
  <c r="AE968"/>
  <c r="AD968"/>
  <c r="AC968"/>
  <c r="AB968"/>
  <c r="AH967"/>
  <c r="AG967"/>
  <c r="AF967"/>
  <c r="AE967"/>
  <c r="AD967"/>
  <c r="AC967"/>
  <c r="AB967"/>
  <c r="AH966"/>
  <c r="AG966"/>
  <c r="AF966"/>
  <c r="AE966"/>
  <c r="AD966"/>
  <c r="AC966"/>
  <c r="AB966"/>
  <c r="AH965"/>
  <c r="AG965"/>
  <c r="AF965"/>
  <c r="AE965"/>
  <c r="AD965"/>
  <c r="AC965"/>
  <c r="AB965"/>
  <c r="AH964"/>
  <c r="AG964"/>
  <c r="AF964"/>
  <c r="AE964"/>
  <c r="AD964"/>
  <c r="AC964"/>
  <c r="AB964"/>
  <c r="AH963"/>
  <c r="AG963"/>
  <c r="AF963"/>
  <c r="AE963"/>
  <c r="AD963"/>
  <c r="AC963"/>
  <c r="AB963"/>
  <c r="AH962"/>
  <c r="AG962"/>
  <c r="AF962"/>
  <c r="AE962"/>
  <c r="AD962"/>
  <c r="AC962"/>
  <c r="AB962"/>
  <c r="AH961"/>
  <c r="AG961"/>
  <c r="AF961"/>
  <c r="AE961"/>
  <c r="AD961"/>
  <c r="AC961"/>
  <c r="AB961"/>
  <c r="AH960"/>
  <c r="AG960"/>
  <c r="AF960"/>
  <c r="AE960"/>
  <c r="AD960"/>
  <c r="AC960"/>
  <c r="AB960"/>
  <c r="AH959"/>
  <c r="AG959"/>
  <c r="AF959"/>
  <c r="AE959"/>
  <c r="AD959"/>
  <c r="AC959"/>
  <c r="AB959"/>
  <c r="AH958"/>
  <c r="AG958"/>
  <c r="AF958"/>
  <c r="AE958"/>
  <c r="AD958"/>
  <c r="AC958"/>
  <c r="AB958"/>
  <c r="AH957"/>
  <c r="AG957"/>
  <c r="AF957"/>
  <c r="AE957"/>
  <c r="AD957"/>
  <c r="AC957"/>
  <c r="AB957"/>
  <c r="AH956"/>
  <c r="AG956"/>
  <c r="AF956"/>
  <c r="AE956"/>
  <c r="AD956"/>
  <c r="AC956"/>
  <c r="AB956"/>
  <c r="AH955"/>
  <c r="AG955"/>
  <c r="AF955"/>
  <c r="AE955"/>
  <c r="AD955"/>
  <c r="AC955"/>
  <c r="AB955"/>
  <c r="AH954"/>
  <c r="AG954"/>
  <c r="AF954"/>
  <c r="AE954"/>
  <c r="AD954"/>
  <c r="AC954"/>
  <c r="AB954"/>
  <c r="AH953"/>
  <c r="AG953"/>
  <c r="AF953"/>
  <c r="AE953"/>
  <c r="AD953"/>
  <c r="AC953"/>
  <c r="AB953"/>
  <c r="AH952"/>
  <c r="AG952"/>
  <c r="AF952"/>
  <c r="AE952"/>
  <c r="AD952"/>
  <c r="AC952"/>
  <c r="AB952"/>
  <c r="AH951"/>
  <c r="AG951"/>
  <c r="AF951"/>
  <c r="AE951"/>
  <c r="AD951"/>
  <c r="AC951"/>
  <c r="AB951"/>
  <c r="AH950"/>
  <c r="AG950"/>
  <c r="AF950"/>
  <c r="AE950"/>
  <c r="AD950"/>
  <c r="AC950"/>
  <c r="AB950"/>
  <c r="AH949"/>
  <c r="AG949"/>
  <c r="AF949"/>
  <c r="AE949"/>
  <c r="AD949"/>
  <c r="AC949"/>
  <c r="AB949"/>
  <c r="AH948"/>
  <c r="AG948"/>
  <c r="AF948"/>
  <c r="AE948"/>
  <c r="AD948"/>
  <c r="AC948"/>
  <c r="AB948"/>
  <c r="AH947"/>
  <c r="AG947"/>
  <c r="AF947"/>
  <c r="AE947"/>
  <c r="AD947"/>
  <c r="AC947"/>
  <c r="AB947"/>
  <c r="AH946"/>
  <c r="AG946"/>
  <c r="AF946"/>
  <c r="AE946"/>
  <c r="AD946"/>
  <c r="AC946"/>
  <c r="AB946"/>
  <c r="AH945"/>
  <c r="AG945"/>
  <c r="AF945"/>
  <c r="AE945"/>
  <c r="AD945"/>
  <c r="AC945"/>
  <c r="AB945"/>
  <c r="AH944"/>
  <c r="AG944"/>
  <c r="AF944"/>
  <c r="AE944"/>
  <c r="AD944"/>
  <c r="AC944"/>
  <c r="AB944"/>
  <c r="AH943"/>
  <c r="AG943"/>
  <c r="AF943"/>
  <c r="AE943"/>
  <c r="AD943"/>
  <c r="AC943"/>
  <c r="AB943"/>
  <c r="AH942"/>
  <c r="AG942"/>
  <c r="AF942"/>
  <c r="AE942"/>
  <c r="AD942"/>
  <c r="AC942"/>
  <c r="AB942"/>
  <c r="AH941"/>
  <c r="AG941"/>
  <c r="AF941"/>
  <c r="AE941"/>
  <c r="AD941"/>
  <c r="AC941"/>
  <c r="AB941"/>
  <c r="AH940"/>
  <c r="AG940"/>
  <c r="AF940"/>
  <c r="AE940"/>
  <c r="AD940"/>
  <c r="AC940"/>
  <c r="AB940"/>
  <c r="AH939"/>
  <c r="AG939"/>
  <c r="AF939"/>
  <c r="AE939"/>
  <c r="AD939"/>
  <c r="AC939"/>
  <c r="AB939"/>
  <c r="AH938"/>
  <c r="AG938"/>
  <c r="AF938"/>
  <c r="AE938"/>
  <c r="AD938"/>
  <c r="AC938"/>
  <c r="AB938"/>
  <c r="AH937"/>
  <c r="AG937"/>
  <c r="AF937"/>
  <c r="AE937"/>
  <c r="AD937"/>
  <c r="AC937"/>
  <c r="AB937"/>
  <c r="AH936"/>
  <c r="AG936"/>
  <c r="AF936"/>
  <c r="AE936"/>
  <c r="AD936"/>
  <c r="AC936"/>
  <c r="AB936"/>
  <c r="AH935"/>
  <c r="AG935"/>
  <c r="AF935"/>
  <c r="AE935"/>
  <c r="AD935"/>
  <c r="AC935"/>
  <c r="AB935"/>
  <c r="AH934"/>
  <c r="AG934"/>
  <c r="AF934"/>
  <c r="AE934"/>
  <c r="AD934"/>
  <c r="AC934"/>
  <c r="AB934"/>
  <c r="AH933"/>
  <c r="AG933"/>
  <c r="AF933"/>
  <c r="AE933"/>
  <c r="AD933"/>
  <c r="AC933"/>
  <c r="AB933"/>
  <c r="AH932"/>
  <c r="AG932"/>
  <c r="AF932"/>
  <c r="AE932"/>
  <c r="AD932"/>
  <c r="AC932"/>
  <c r="AB932"/>
  <c r="AH931"/>
  <c r="AG931"/>
  <c r="AF931"/>
  <c r="AE931"/>
  <c r="AD931"/>
  <c r="AC931"/>
  <c r="AB931"/>
  <c r="AH930"/>
  <c r="AG930"/>
  <c r="AF930"/>
  <c r="AE930"/>
  <c r="AD930"/>
  <c r="AC930"/>
  <c r="AB930"/>
  <c r="AH929"/>
  <c r="AG929"/>
  <c r="AF929"/>
  <c r="AE929"/>
  <c r="AD929"/>
  <c r="AC929"/>
  <c r="AB929"/>
  <c r="AH928"/>
  <c r="AG928"/>
  <c r="AF928"/>
  <c r="AE928"/>
  <c r="AD928"/>
  <c r="AC928"/>
  <c r="AB928"/>
  <c r="AH927"/>
  <c r="AG927"/>
  <c r="AF927"/>
  <c r="AE927"/>
  <c r="AD927"/>
  <c r="AC927"/>
  <c r="AB927"/>
  <c r="AH926"/>
  <c r="AG926"/>
  <c r="AF926"/>
  <c r="AE926"/>
  <c r="AD926"/>
  <c r="AC926"/>
  <c r="AB926"/>
  <c r="AH925"/>
  <c r="AG925"/>
  <c r="AF925"/>
  <c r="AE925"/>
  <c r="AD925"/>
  <c r="AC925"/>
  <c r="AB925"/>
  <c r="AH924"/>
  <c r="AG924"/>
  <c r="AF924"/>
  <c r="AE924"/>
  <c r="AD924"/>
  <c r="AC924"/>
  <c r="AB924"/>
  <c r="AH923"/>
  <c r="AG923"/>
  <c r="AF923"/>
  <c r="AE923"/>
  <c r="AD923"/>
  <c r="AC923"/>
  <c r="AB923"/>
  <c r="AH922"/>
  <c r="AG922"/>
  <c r="AF922"/>
  <c r="AE922"/>
  <c r="AD922"/>
  <c r="AC922"/>
  <c r="AB922"/>
  <c r="AH921"/>
  <c r="AG921"/>
  <c r="AF921"/>
  <c r="AE921"/>
  <c r="AD921"/>
  <c r="AC921"/>
  <c r="AB921"/>
  <c r="AH920"/>
  <c r="AG920"/>
  <c r="AF920"/>
  <c r="AE920"/>
  <c r="AD920"/>
  <c r="AC920"/>
  <c r="AB920"/>
  <c r="AH919"/>
  <c r="AG919"/>
  <c r="AF919"/>
  <c r="AE919"/>
  <c r="AD919"/>
  <c r="AC919"/>
  <c r="AB919"/>
  <c r="AH918"/>
  <c r="AG918"/>
  <c r="AF918"/>
  <c r="AE918"/>
  <c r="AD918"/>
  <c r="AC918"/>
  <c r="AB918"/>
  <c r="AH917"/>
  <c r="AG917"/>
  <c r="AF917"/>
  <c r="AE917"/>
  <c r="AD917"/>
  <c r="AC917"/>
  <c r="AB917"/>
  <c r="AH916"/>
  <c r="AG916"/>
  <c r="AF916"/>
  <c r="AE916"/>
  <c r="AD916"/>
  <c r="AC916"/>
  <c r="AB916"/>
  <c r="AH915"/>
  <c r="AG915"/>
  <c r="AF915"/>
  <c r="AE915"/>
  <c r="AD915"/>
  <c r="AC915"/>
  <c r="AB915"/>
  <c r="AH914"/>
  <c r="AG914"/>
  <c r="AF914"/>
  <c r="AE914"/>
  <c r="AD914"/>
  <c r="AC914"/>
  <c r="AB914"/>
  <c r="AH913"/>
  <c r="AG913"/>
  <c r="AF913"/>
  <c r="AE913"/>
  <c r="AD913"/>
  <c r="AC913"/>
  <c r="AB913"/>
  <c r="AH912"/>
  <c r="AG912"/>
  <c r="AF912"/>
  <c r="AE912"/>
  <c r="AD912"/>
  <c r="AC912"/>
  <c r="AB912"/>
  <c r="AH911"/>
  <c r="AG911"/>
  <c r="AF911"/>
  <c r="AE911"/>
  <c r="AD911"/>
  <c r="AC911"/>
  <c r="AB911"/>
  <c r="AH910"/>
  <c r="AG910"/>
  <c r="AF910"/>
  <c r="AE910"/>
  <c r="AD910"/>
  <c r="AC910"/>
  <c r="AB910"/>
  <c r="AH909"/>
  <c r="AG909"/>
  <c r="AF909"/>
  <c r="AE909"/>
  <c r="AD909"/>
  <c r="AC909"/>
  <c r="AB909"/>
  <c r="AH908"/>
  <c r="AG908"/>
  <c r="AF908"/>
  <c r="AE908"/>
  <c r="AD908"/>
  <c r="AC908"/>
  <c r="AB908"/>
  <c r="AH907"/>
  <c r="AG907"/>
  <c r="AF907"/>
  <c r="AE907"/>
  <c r="AD907"/>
  <c r="AC907"/>
  <c r="AB907"/>
  <c r="AH906"/>
  <c r="AG906"/>
  <c r="AF906"/>
  <c r="AE906"/>
  <c r="AD906"/>
  <c r="AC906"/>
  <c r="AB906"/>
  <c r="AH905"/>
  <c r="AG905"/>
  <c r="AF905"/>
  <c r="AE905"/>
  <c r="AD905"/>
  <c r="AC905"/>
  <c r="AB905"/>
  <c r="AH904"/>
  <c r="AG904"/>
  <c r="AF904"/>
  <c r="AE904"/>
  <c r="AD904"/>
  <c r="AC904"/>
  <c r="AB904"/>
  <c r="AH903"/>
  <c r="AG903"/>
  <c r="AF903"/>
  <c r="AE903"/>
  <c r="AD903"/>
  <c r="AC903"/>
  <c r="AB903"/>
  <c r="AH902"/>
  <c r="AG902"/>
  <c r="AF902"/>
  <c r="AE902"/>
  <c r="AD902"/>
  <c r="AC902"/>
  <c r="AB902"/>
  <c r="AH901"/>
  <c r="AG901"/>
  <c r="AF901"/>
  <c r="AE901"/>
  <c r="AD901"/>
  <c r="AC901"/>
  <c r="AB901"/>
  <c r="AH900"/>
  <c r="AG900"/>
  <c r="AF900"/>
  <c r="AE900"/>
  <c r="AD900"/>
  <c r="AC900"/>
  <c r="AB900"/>
  <c r="AH899"/>
  <c r="AG899"/>
  <c r="AF899"/>
  <c r="AE899"/>
  <c r="AD899"/>
  <c r="AC899"/>
  <c r="AB899"/>
  <c r="AH898"/>
  <c r="AG898"/>
  <c r="AF898"/>
  <c r="AE898"/>
  <c r="AD898"/>
  <c r="AC898"/>
  <c r="AB898"/>
  <c r="AH897"/>
  <c r="AG897"/>
  <c r="AF897"/>
  <c r="AE897"/>
  <c r="AD897"/>
  <c r="AC897"/>
  <c r="AB897"/>
  <c r="AH896"/>
  <c r="AG896"/>
  <c r="AF896"/>
  <c r="AE896"/>
  <c r="AD896"/>
  <c r="AC896"/>
  <c r="AB896"/>
  <c r="AH895"/>
  <c r="AG895"/>
  <c r="AF895"/>
  <c r="AE895"/>
  <c r="AD895"/>
  <c r="AC895"/>
  <c r="AB895"/>
  <c r="AH894"/>
  <c r="AG894"/>
  <c r="AF894"/>
  <c r="AE894"/>
  <c r="AD894"/>
  <c r="AC894"/>
  <c r="AB894"/>
  <c r="AH893"/>
  <c r="AG893"/>
  <c r="AF893"/>
  <c r="AE893"/>
  <c r="AD893"/>
  <c r="AC893"/>
  <c r="AB893"/>
  <c r="AH892"/>
  <c r="AG892"/>
  <c r="AF892"/>
  <c r="AE892"/>
  <c r="AD892"/>
  <c r="AC892"/>
  <c r="AB892"/>
  <c r="AH891"/>
  <c r="AG891"/>
  <c r="AF891"/>
  <c r="AE891"/>
  <c r="AD891"/>
  <c r="AC891"/>
  <c r="AB891"/>
  <c r="AH890"/>
  <c r="AG890"/>
  <c r="AF890"/>
  <c r="AE890"/>
  <c r="AD890"/>
  <c r="AC890"/>
  <c r="AB890"/>
  <c r="AH889"/>
  <c r="AG889"/>
  <c r="AF889"/>
  <c r="AE889"/>
  <c r="AD889"/>
  <c r="AC889"/>
  <c r="AB889"/>
  <c r="AH888"/>
  <c r="AG888"/>
  <c r="AF888"/>
  <c r="AE888"/>
  <c r="AD888"/>
  <c r="AC888"/>
  <c r="AB888"/>
  <c r="AH887"/>
  <c r="AG887"/>
  <c r="AF887"/>
  <c r="AE887"/>
  <c r="AD887"/>
  <c r="AC887"/>
  <c r="AB887"/>
  <c r="AH886"/>
  <c r="AG886"/>
  <c r="AF886"/>
  <c r="AE886"/>
  <c r="AD886"/>
  <c r="AC886"/>
  <c r="AB886"/>
  <c r="AH885"/>
  <c r="AG885"/>
  <c r="AF885"/>
  <c r="AE885"/>
  <c r="AD885"/>
  <c r="AC885"/>
  <c r="AB885"/>
  <c r="AH884"/>
  <c r="AG884"/>
  <c r="AF884"/>
  <c r="AE884"/>
  <c r="AD884"/>
  <c r="AC884"/>
  <c r="AB884"/>
  <c r="AH883"/>
  <c r="AG883"/>
  <c r="AF883"/>
  <c r="AE883"/>
  <c r="AD883"/>
  <c r="AC883"/>
  <c r="AB883"/>
  <c r="AH882"/>
  <c r="AG882"/>
  <c r="AF882"/>
  <c r="AE882"/>
  <c r="AD882"/>
  <c r="AC882"/>
  <c r="AB882"/>
  <c r="AH881"/>
  <c r="AG881"/>
  <c r="AF881"/>
  <c r="AE881"/>
  <c r="AD881"/>
  <c r="AC881"/>
  <c r="AB881"/>
  <c r="AH880"/>
  <c r="AG880"/>
  <c r="AF880"/>
  <c r="AE880"/>
  <c r="AD880"/>
  <c r="AC880"/>
  <c r="AB880"/>
  <c r="AH879"/>
  <c r="AG879"/>
  <c r="AF879"/>
  <c r="AE879"/>
  <c r="AD879"/>
  <c r="AC879"/>
  <c r="AB879"/>
  <c r="AH878"/>
  <c r="AG878"/>
  <c r="AF878"/>
  <c r="AE878"/>
  <c r="AD878"/>
  <c r="AC878"/>
  <c r="AB878"/>
  <c r="AH877"/>
  <c r="AG877"/>
  <c r="AF877"/>
  <c r="AE877"/>
  <c r="AD877"/>
  <c r="AC877"/>
  <c r="AB877"/>
  <c r="AH876"/>
  <c r="AG876"/>
  <c r="AF876"/>
  <c r="AE876"/>
  <c r="AD876"/>
  <c r="AC876"/>
  <c r="AB876"/>
  <c r="AH875"/>
  <c r="AG875"/>
  <c r="AF875"/>
  <c r="AE875"/>
  <c r="AD875"/>
  <c r="AC875"/>
  <c r="AB875"/>
  <c r="AH874"/>
  <c r="AG874"/>
  <c r="AF874"/>
  <c r="AE874"/>
  <c r="AD874"/>
  <c r="AC874"/>
  <c r="AB874"/>
  <c r="AH873"/>
  <c r="AG873"/>
  <c r="AF873"/>
  <c r="AE873"/>
  <c r="AD873"/>
  <c r="AC873"/>
  <c r="AB873"/>
  <c r="AH872"/>
  <c r="AG872"/>
  <c r="AF872"/>
  <c r="AE872"/>
  <c r="AD872"/>
  <c r="AC872"/>
  <c r="AB872"/>
  <c r="AH871"/>
  <c r="AG871"/>
  <c r="AF871"/>
  <c r="AE871"/>
  <c r="AD871"/>
  <c r="AC871"/>
  <c r="AB871"/>
  <c r="AH870"/>
  <c r="AG870"/>
  <c r="AF870"/>
  <c r="AE870"/>
  <c r="AD870"/>
  <c r="AC870"/>
  <c r="AB870"/>
  <c r="AH869"/>
  <c r="AG869"/>
  <c r="AF869"/>
  <c r="AE869"/>
  <c r="AD869"/>
  <c r="AC869"/>
  <c r="AB869"/>
  <c r="AH868"/>
  <c r="AG868"/>
  <c r="AF868"/>
  <c r="AE868"/>
  <c r="AD868"/>
  <c r="AC868"/>
  <c r="AB868"/>
  <c r="AH867"/>
  <c r="AG867"/>
  <c r="AF867"/>
  <c r="AE867"/>
  <c r="AD867"/>
  <c r="AC867"/>
  <c r="AB867"/>
  <c r="AH866"/>
  <c r="AG866"/>
  <c r="AF866"/>
  <c r="AE866"/>
  <c r="AD866"/>
  <c r="AC866"/>
  <c r="AB866"/>
  <c r="AH865"/>
  <c r="AG865"/>
  <c r="AF865"/>
  <c r="AE865"/>
  <c r="AD865"/>
  <c r="AC865"/>
  <c r="AB865"/>
  <c r="AH864"/>
  <c r="AG864"/>
  <c r="AF864"/>
  <c r="AE864"/>
  <c r="AD864"/>
  <c r="AC864"/>
  <c r="AB864"/>
  <c r="AH863"/>
  <c r="AG863"/>
  <c r="AF863"/>
  <c r="AE863"/>
  <c r="AD863"/>
  <c r="AC863"/>
  <c r="AB863"/>
  <c r="AH862"/>
  <c r="AG862"/>
  <c r="AF862"/>
  <c r="AE862"/>
  <c r="AD862"/>
  <c r="AC862"/>
  <c r="AB862"/>
  <c r="AH861"/>
  <c r="AG861"/>
  <c r="AF861"/>
  <c r="AE861"/>
  <c r="AD861"/>
  <c r="AC861"/>
  <c r="AB861"/>
  <c r="AH860"/>
  <c r="AG860"/>
  <c r="AF860"/>
  <c r="AE860"/>
  <c r="AD860"/>
  <c r="AC860"/>
  <c r="AB860"/>
  <c r="AH859"/>
  <c r="AG859"/>
  <c r="AF859"/>
  <c r="AE859"/>
  <c r="AD859"/>
  <c r="AC859"/>
  <c r="AB859"/>
  <c r="AH858"/>
  <c r="AG858"/>
  <c r="AF858"/>
  <c r="AE858"/>
  <c r="AD858"/>
  <c r="AC858"/>
  <c r="AB858"/>
  <c r="AH857"/>
  <c r="AG857"/>
  <c r="AF857"/>
  <c r="AE857"/>
  <c r="AD857"/>
  <c r="AC857"/>
  <c r="AB857"/>
  <c r="AH856"/>
  <c r="AG856"/>
  <c r="AF856"/>
  <c r="AE856"/>
  <c r="AD856"/>
  <c r="AC856"/>
  <c r="AB856"/>
  <c r="AH855"/>
  <c r="AG855"/>
  <c r="AF855"/>
  <c r="AE855"/>
  <c r="AD855"/>
  <c r="AC855"/>
  <c r="AB855"/>
  <c r="AH854"/>
  <c r="AG854"/>
  <c r="AF854"/>
  <c r="AE854"/>
  <c r="AD854"/>
  <c r="AC854"/>
  <c r="AB854"/>
  <c r="AH853"/>
  <c r="AG853"/>
  <c r="AF853"/>
  <c r="AE853"/>
  <c r="AD853"/>
  <c r="AC853"/>
  <c r="AB853"/>
  <c r="AH852"/>
  <c r="AG852"/>
  <c r="AF852"/>
  <c r="AE852"/>
  <c r="AD852"/>
  <c r="AC852"/>
  <c r="AB852"/>
  <c r="AH851"/>
  <c r="AG851"/>
  <c r="AF851"/>
  <c r="AE851"/>
  <c r="AD851"/>
  <c r="AC851"/>
  <c r="AB851"/>
  <c r="AH850"/>
  <c r="AG850"/>
  <c r="AF850"/>
  <c r="AE850"/>
  <c r="AD850"/>
  <c r="AC850"/>
  <c r="AB850"/>
  <c r="AH849"/>
  <c r="AG849"/>
  <c r="AF849"/>
  <c r="AE849"/>
  <c r="AD849"/>
  <c r="AC849"/>
  <c r="AB849"/>
  <c r="AH848"/>
  <c r="AG848"/>
  <c r="AF848"/>
  <c r="AE848"/>
  <c r="AD848"/>
  <c r="AC848"/>
  <c r="AB848"/>
  <c r="AH847"/>
  <c r="AG847"/>
  <c r="AF847"/>
  <c r="AE847"/>
  <c r="AD847"/>
  <c r="AC847"/>
  <c r="AB847"/>
  <c r="AH846"/>
  <c r="AG846"/>
  <c r="AF846"/>
  <c r="AE846"/>
  <c r="AD846"/>
  <c r="AC846"/>
  <c r="AB846"/>
  <c r="AH845"/>
  <c r="AG845"/>
  <c r="AF845"/>
  <c r="AE845"/>
  <c r="AD845"/>
  <c r="AC845"/>
  <c r="AB845"/>
  <c r="AH844"/>
  <c r="AG844"/>
  <c r="AF844"/>
  <c r="AE844"/>
  <c r="AD844"/>
  <c r="AC844"/>
  <c r="AB844"/>
  <c r="AH843"/>
  <c r="AG843"/>
  <c r="AF843"/>
  <c r="AE843"/>
  <c r="AD843"/>
  <c r="AC843"/>
  <c r="AB843"/>
  <c r="AH842"/>
  <c r="AG842"/>
  <c r="AF842"/>
  <c r="AE842"/>
  <c r="AD842"/>
  <c r="AC842"/>
  <c r="AB842"/>
  <c r="AH841"/>
  <c r="AG841"/>
  <c r="AF841"/>
  <c r="AE841"/>
  <c r="AD841"/>
  <c r="AC841"/>
  <c r="AB841"/>
  <c r="AH840"/>
  <c r="AG840"/>
  <c r="AF840"/>
  <c r="AE840"/>
  <c r="AD840"/>
  <c r="AC840"/>
  <c r="AB840"/>
  <c r="AH839"/>
  <c r="AG839"/>
  <c r="AF839"/>
  <c r="AE839"/>
  <c r="AD839"/>
  <c r="AC839"/>
  <c r="AB839"/>
  <c r="AH838"/>
  <c r="AG838"/>
  <c r="AF838"/>
  <c r="AE838"/>
  <c r="AD838"/>
  <c r="AC838"/>
  <c r="AB838"/>
  <c r="AH837"/>
  <c r="AG837"/>
  <c r="AF837"/>
  <c r="AE837"/>
  <c r="AD837"/>
  <c r="AC837"/>
  <c r="AB837"/>
  <c r="AH836"/>
  <c r="AG836"/>
  <c r="AF836"/>
  <c r="AE836"/>
  <c r="AD836"/>
  <c r="AC836"/>
  <c r="AB836"/>
  <c r="AH835"/>
  <c r="AG835"/>
  <c r="AF835"/>
  <c r="AE835"/>
  <c r="AD835"/>
  <c r="AC835"/>
  <c r="AB835"/>
  <c r="AH834"/>
  <c r="AG834"/>
  <c r="AF834"/>
  <c r="AE834"/>
  <c r="AD834"/>
  <c r="AC834"/>
  <c r="AB834"/>
  <c r="AH833"/>
  <c r="AG833"/>
  <c r="AF833"/>
  <c r="AE833"/>
  <c r="AD833"/>
  <c r="AC833"/>
  <c r="AB833"/>
  <c r="AH832"/>
  <c r="AG832"/>
  <c r="AF832"/>
  <c r="AE832"/>
  <c r="AD832"/>
  <c r="AC832"/>
  <c r="AB832"/>
  <c r="AH831"/>
  <c r="AG831"/>
  <c r="AF831"/>
  <c r="AE831"/>
  <c r="AD831"/>
  <c r="AC831"/>
  <c r="AB831"/>
  <c r="AH830"/>
  <c r="AG830"/>
  <c r="AF830"/>
  <c r="AE830"/>
  <c r="AD830"/>
  <c r="AC830"/>
  <c r="AB830"/>
  <c r="AH829"/>
  <c r="AG829"/>
  <c r="AF829"/>
  <c r="AE829"/>
  <c r="AD829"/>
  <c r="AC829"/>
  <c r="AB829"/>
  <c r="AH828"/>
  <c r="AG828"/>
  <c r="AF828"/>
  <c r="AE828"/>
  <c r="AD828"/>
  <c r="AC828"/>
  <c r="AB828"/>
  <c r="AH827"/>
  <c r="AG827"/>
  <c r="AF827"/>
  <c r="AE827"/>
  <c r="AD827"/>
  <c r="AC827"/>
  <c r="AB827"/>
  <c r="AH826"/>
  <c r="AG826"/>
  <c r="AF826"/>
  <c r="AE826"/>
  <c r="AD826"/>
  <c r="AC826"/>
  <c r="AB826"/>
  <c r="AH825"/>
  <c r="AG825"/>
  <c r="AF825"/>
  <c r="AE825"/>
  <c r="AD825"/>
  <c r="AC825"/>
  <c r="AB825"/>
  <c r="AH824"/>
  <c r="AG824"/>
  <c r="AF824"/>
  <c r="AE824"/>
  <c r="AD824"/>
  <c r="AC824"/>
  <c r="AB824"/>
  <c r="AH823"/>
  <c r="AG823"/>
  <c r="AF823"/>
  <c r="AE823"/>
  <c r="AD823"/>
  <c r="AC823"/>
  <c r="AB823"/>
  <c r="AH822"/>
  <c r="AG822"/>
  <c r="AF822"/>
  <c r="AE822"/>
  <c r="AD822"/>
  <c r="AC822"/>
  <c r="AB822"/>
  <c r="AH821"/>
  <c r="AG821"/>
  <c r="AF821"/>
  <c r="AE821"/>
  <c r="AD821"/>
  <c r="AC821"/>
  <c r="AB821"/>
  <c r="AH820"/>
  <c r="AG820"/>
  <c r="AF820"/>
  <c r="AE820"/>
  <c r="AD820"/>
  <c r="AC820"/>
  <c r="AB820"/>
  <c r="AH819"/>
  <c r="AG819"/>
  <c r="AF819"/>
  <c r="AE819"/>
  <c r="AD819"/>
  <c r="AC819"/>
  <c r="AB819"/>
  <c r="AH818"/>
  <c r="AG818"/>
  <c r="AF818"/>
  <c r="AE818"/>
  <c r="AD818"/>
  <c r="AC818"/>
  <c r="AB818"/>
  <c r="AH817"/>
  <c r="AG817"/>
  <c r="AF817"/>
  <c r="AE817"/>
  <c r="AD817"/>
  <c r="AC817"/>
  <c r="AB817"/>
  <c r="AH816"/>
  <c r="AG816"/>
  <c r="AF816"/>
  <c r="AE816"/>
  <c r="AD816"/>
  <c r="AC816"/>
  <c r="AB816"/>
  <c r="AH815"/>
  <c r="AG815"/>
  <c r="AF815"/>
  <c r="AE815"/>
  <c r="AD815"/>
  <c r="AC815"/>
  <c r="AB815"/>
  <c r="AH814"/>
  <c r="AG814"/>
  <c r="AF814"/>
  <c r="AE814"/>
  <c r="AD814"/>
  <c r="AC814"/>
  <c r="AB814"/>
  <c r="AH813"/>
  <c r="AG813"/>
  <c r="AF813"/>
  <c r="AE813"/>
  <c r="AD813"/>
  <c r="AC813"/>
  <c r="AB813"/>
  <c r="AH812"/>
  <c r="AG812"/>
  <c r="AF812"/>
  <c r="AE812"/>
  <c r="AD812"/>
  <c r="AC812"/>
  <c r="AB812"/>
  <c r="AH811"/>
  <c r="AG811"/>
  <c r="AF811"/>
  <c r="AE811"/>
  <c r="AD811"/>
  <c r="AC811"/>
  <c r="AB811"/>
  <c r="AH810"/>
  <c r="AG810"/>
  <c r="AF810"/>
  <c r="AE810"/>
  <c r="AD810"/>
  <c r="AC810"/>
  <c r="AB810"/>
  <c r="AH809"/>
  <c r="AG809"/>
  <c r="AF809"/>
  <c r="AE809"/>
  <c r="AD809"/>
  <c r="AC809"/>
  <c r="AB809"/>
  <c r="AH808"/>
  <c r="AG808"/>
  <c r="AF808"/>
  <c r="AE808"/>
  <c r="AD808"/>
  <c r="AC808"/>
  <c r="AB808"/>
  <c r="AH807"/>
  <c r="AG807"/>
  <c r="AF807"/>
  <c r="AE807"/>
  <c r="AD807"/>
  <c r="AC807"/>
  <c r="AB807"/>
  <c r="AH806"/>
  <c r="AG806"/>
  <c r="AF806"/>
  <c r="AE806"/>
  <c r="AD806"/>
  <c r="AC806"/>
  <c r="AB806"/>
  <c r="AH805"/>
  <c r="AG805"/>
  <c r="AF805"/>
  <c r="AE805"/>
  <c r="AD805"/>
  <c r="AC805"/>
  <c r="AB805"/>
  <c r="AH804"/>
  <c r="AG804"/>
  <c r="AF804"/>
  <c r="AE804"/>
  <c r="AD804"/>
  <c r="AC804"/>
  <c r="AB804"/>
  <c r="AH803"/>
  <c r="AG803"/>
  <c r="AF803"/>
  <c r="AE803"/>
  <c r="AD803"/>
  <c r="AC803"/>
  <c r="AB803"/>
  <c r="AH802"/>
  <c r="AG802"/>
  <c r="AF802"/>
  <c r="AE802"/>
  <c r="AD802"/>
  <c r="AC802"/>
  <c r="AB802"/>
  <c r="AH801"/>
  <c r="AG801"/>
  <c r="AF801"/>
  <c r="AE801"/>
  <c r="AD801"/>
  <c r="AC801"/>
  <c r="AB801"/>
  <c r="AH800"/>
  <c r="AG800"/>
  <c r="AF800"/>
  <c r="AE800"/>
  <c r="AD800"/>
  <c r="AC800"/>
  <c r="AB800"/>
  <c r="AH799"/>
  <c r="AG799"/>
  <c r="AF799"/>
  <c r="AE799"/>
  <c r="AD799"/>
  <c r="AC799"/>
  <c r="AB799"/>
  <c r="AH798"/>
  <c r="AG798"/>
  <c r="AF798"/>
  <c r="AE798"/>
  <c r="AD798"/>
  <c r="AC798"/>
  <c r="AB798"/>
  <c r="AH797"/>
  <c r="AG797"/>
  <c r="AF797"/>
  <c r="AE797"/>
  <c r="AD797"/>
  <c r="AC797"/>
  <c r="AB797"/>
  <c r="AH796"/>
  <c r="AG796"/>
  <c r="AF796"/>
  <c r="AE796"/>
  <c r="AD796"/>
  <c r="AC796"/>
  <c r="AB796"/>
  <c r="AH795"/>
  <c r="AG795"/>
  <c r="AF795"/>
  <c r="AE795"/>
  <c r="AD795"/>
  <c r="AC795"/>
  <c r="AB795"/>
  <c r="AH794"/>
  <c r="AG794"/>
  <c r="AF794"/>
  <c r="AE794"/>
  <c r="AD794"/>
  <c r="AC794"/>
  <c r="AB794"/>
  <c r="AH793"/>
  <c r="AG793"/>
  <c r="AF793"/>
  <c r="AE793"/>
  <c r="AD793"/>
  <c r="AC793"/>
  <c r="AB793"/>
  <c r="AH792"/>
  <c r="AG792"/>
  <c r="AF792"/>
  <c r="AE792"/>
  <c r="AD792"/>
  <c r="AC792"/>
  <c r="AB792"/>
  <c r="AH791"/>
  <c r="AG791"/>
  <c r="AF791"/>
  <c r="AE791"/>
  <c r="AD791"/>
  <c r="AC791"/>
  <c r="AB791"/>
  <c r="AH790"/>
  <c r="AG790"/>
  <c r="AF790"/>
  <c r="AE790"/>
  <c r="AD790"/>
  <c r="AC790"/>
  <c r="AB790"/>
  <c r="AH789"/>
  <c r="AG789"/>
  <c r="AF789"/>
  <c r="AE789"/>
  <c r="AD789"/>
  <c r="AC789"/>
  <c r="AB789"/>
  <c r="AH788"/>
  <c r="AG788"/>
  <c r="AF788"/>
  <c r="AE788"/>
  <c r="AD788"/>
  <c r="AC788"/>
  <c r="AB788"/>
  <c r="AH787"/>
  <c r="AG787"/>
  <c r="AF787"/>
  <c r="AE787"/>
  <c r="AD787"/>
  <c r="AC787"/>
  <c r="AB787"/>
  <c r="AH786"/>
  <c r="AG786"/>
  <c r="AF786"/>
  <c r="AE786"/>
  <c r="AD786"/>
  <c r="AC786"/>
  <c r="AB786"/>
  <c r="AH785"/>
  <c r="AG785"/>
  <c r="AF785"/>
  <c r="AE785"/>
  <c r="AD785"/>
  <c r="AC785"/>
  <c r="AB785"/>
  <c r="AH784"/>
  <c r="AG784"/>
  <c r="AF784"/>
  <c r="AE784"/>
  <c r="AD784"/>
  <c r="AC784"/>
  <c r="AB784"/>
  <c r="AH783"/>
  <c r="AG783"/>
  <c r="AF783"/>
  <c r="AE783"/>
  <c r="AD783"/>
  <c r="AC783"/>
  <c r="AB783"/>
  <c r="AH782"/>
  <c r="AG782"/>
  <c r="AF782"/>
  <c r="AE782"/>
  <c r="AD782"/>
  <c r="AC782"/>
  <c r="AB782"/>
  <c r="AH781"/>
  <c r="AG781"/>
  <c r="AF781"/>
  <c r="AE781"/>
  <c r="AD781"/>
  <c r="AC781"/>
  <c r="AB781"/>
  <c r="AH780"/>
  <c r="AG780"/>
  <c r="AF780"/>
  <c r="AE780"/>
  <c r="AD780"/>
  <c r="AC780"/>
  <c r="AB780"/>
  <c r="AH779"/>
  <c r="AG779"/>
  <c r="AF779"/>
  <c r="AE779"/>
  <c r="AD779"/>
  <c r="AC779"/>
  <c r="AB779"/>
  <c r="AH778"/>
  <c r="AG778"/>
  <c r="AF778"/>
  <c r="AE778"/>
  <c r="AD778"/>
  <c r="AC778"/>
  <c r="AB778"/>
  <c r="AH777"/>
  <c r="AG777"/>
  <c r="AF777"/>
  <c r="AE777"/>
  <c r="AD777"/>
  <c r="AC777"/>
  <c r="AB777"/>
  <c r="AH776"/>
  <c r="AG776"/>
  <c r="AF776"/>
  <c r="AE776"/>
  <c r="AD776"/>
  <c r="AC776"/>
  <c r="AB776"/>
  <c r="AH775"/>
  <c r="AG775"/>
  <c r="AF775"/>
  <c r="AE775"/>
  <c r="AD775"/>
  <c r="AC775"/>
  <c r="AB775"/>
  <c r="AH774"/>
  <c r="AG774"/>
  <c r="AF774"/>
  <c r="AE774"/>
  <c r="AD774"/>
  <c r="AC774"/>
  <c r="AB774"/>
  <c r="AH773"/>
  <c r="AG773"/>
  <c r="AF773"/>
  <c r="AE773"/>
  <c r="AD773"/>
  <c r="AC773"/>
  <c r="AB773"/>
  <c r="AH772"/>
  <c r="AG772"/>
  <c r="AF772"/>
  <c r="AE772"/>
  <c r="AD772"/>
  <c r="AC772"/>
  <c r="AB772"/>
  <c r="AH771"/>
  <c r="AG771"/>
  <c r="AF771"/>
  <c r="AE771"/>
  <c r="AD771"/>
  <c r="AC771"/>
  <c r="AB771"/>
  <c r="AH770"/>
  <c r="AG770"/>
  <c r="AF770"/>
  <c r="AE770"/>
  <c r="AD770"/>
  <c r="AC770"/>
  <c r="AB770"/>
  <c r="AH769"/>
  <c r="AG769"/>
  <c r="AF769"/>
  <c r="AE769"/>
  <c r="AD769"/>
  <c r="AC769"/>
  <c r="AB769"/>
  <c r="AH768"/>
  <c r="AG768"/>
  <c r="AF768"/>
  <c r="AE768"/>
  <c r="AD768"/>
  <c r="AC768"/>
  <c r="AB768"/>
  <c r="AH767"/>
  <c r="AG767"/>
  <c r="AF767"/>
  <c r="AE767"/>
  <c r="AD767"/>
  <c r="AC767"/>
  <c r="AB767"/>
  <c r="AH766"/>
  <c r="AG766"/>
  <c r="AF766"/>
  <c r="AE766"/>
  <c r="AD766"/>
  <c r="AC766"/>
  <c r="AB766"/>
  <c r="AH765"/>
  <c r="AG765"/>
  <c r="AF765"/>
  <c r="AE765"/>
  <c r="AD765"/>
  <c r="AC765"/>
  <c r="AB765"/>
  <c r="AH764"/>
  <c r="AG764"/>
  <c r="AF764"/>
  <c r="AE764"/>
  <c r="AD764"/>
  <c r="AC764"/>
  <c r="AB764"/>
  <c r="AH763"/>
  <c r="AG763"/>
  <c r="AF763"/>
  <c r="AE763"/>
  <c r="AD763"/>
  <c r="AC763"/>
  <c r="AB763"/>
  <c r="AH762"/>
  <c r="AG762"/>
  <c r="AF762"/>
  <c r="AE762"/>
  <c r="AD762"/>
  <c r="AC762"/>
  <c r="AB762"/>
  <c r="AH761"/>
  <c r="AG761"/>
  <c r="AF761"/>
  <c r="AE761"/>
  <c r="AD761"/>
  <c r="AC761"/>
  <c r="AB761"/>
  <c r="AH760"/>
  <c r="AG760"/>
  <c r="AF760"/>
  <c r="AE760"/>
  <c r="AD760"/>
  <c r="AC760"/>
  <c r="AB760"/>
  <c r="AH759"/>
  <c r="AG759"/>
  <c r="AF759"/>
  <c r="AE759"/>
  <c r="AD759"/>
  <c r="AC759"/>
  <c r="AB759"/>
  <c r="AH758"/>
  <c r="AG758"/>
  <c r="AF758"/>
  <c r="AE758"/>
  <c r="AD758"/>
  <c r="AC758"/>
  <c r="AB758"/>
  <c r="AH757"/>
  <c r="AG757"/>
  <c r="AF757"/>
  <c r="AE757"/>
  <c r="AD757"/>
  <c r="AC757"/>
  <c r="AB757"/>
  <c r="AH756"/>
  <c r="AG756"/>
  <c r="AF756"/>
  <c r="AE756"/>
  <c r="AD756"/>
  <c r="AC756"/>
  <c r="AB756"/>
  <c r="AH755"/>
  <c r="AG755"/>
  <c r="AF755"/>
  <c r="AE755"/>
  <c r="AD755"/>
  <c r="AC755"/>
  <c r="AB755"/>
  <c r="AH754"/>
  <c r="AG754"/>
  <c r="AF754"/>
  <c r="AE754"/>
  <c r="AD754"/>
  <c r="AC754"/>
  <c r="AB754"/>
  <c r="AH753"/>
  <c r="AG753"/>
  <c r="AF753"/>
  <c r="AE753"/>
  <c r="AD753"/>
  <c r="AC753"/>
  <c r="AB753"/>
  <c r="AH752"/>
  <c r="AG752"/>
  <c r="AF752"/>
  <c r="AE752"/>
  <c r="AD752"/>
  <c r="AC752"/>
  <c r="AB752"/>
  <c r="AH751"/>
  <c r="AG751"/>
  <c r="AF751"/>
  <c r="AE751"/>
  <c r="AD751"/>
  <c r="AC751"/>
  <c r="AB751"/>
  <c r="AH750"/>
  <c r="AG750"/>
  <c r="AF750"/>
  <c r="AE750"/>
  <c r="AD750"/>
  <c r="AC750"/>
  <c r="AB750"/>
  <c r="AH749"/>
  <c r="AG749"/>
  <c r="AF749"/>
  <c r="AE749"/>
  <c r="AD749"/>
  <c r="AC749"/>
  <c r="AB749"/>
  <c r="AH748"/>
  <c r="AG748"/>
  <c r="AF748"/>
  <c r="AE748"/>
  <c r="AD748"/>
  <c r="AC748"/>
  <c r="AB748"/>
  <c r="AH747"/>
  <c r="AG747"/>
  <c r="AF747"/>
  <c r="AE747"/>
  <c r="AD747"/>
  <c r="AC747"/>
  <c r="AB747"/>
  <c r="AH746"/>
  <c r="AG746"/>
  <c r="AF746"/>
  <c r="AE746"/>
  <c r="AD746"/>
  <c r="AC746"/>
  <c r="AB746"/>
  <c r="AH745"/>
  <c r="AG745"/>
  <c r="AF745"/>
  <c r="AE745"/>
  <c r="AD745"/>
  <c r="AC745"/>
  <c r="AB745"/>
  <c r="AH744"/>
  <c r="AG744"/>
  <c r="AF744"/>
  <c r="AE744"/>
  <c r="AD744"/>
  <c r="AC744"/>
  <c r="AB744"/>
  <c r="AH743"/>
  <c r="AG743"/>
  <c r="AF743"/>
  <c r="AE743"/>
  <c r="AD743"/>
  <c r="AC743"/>
  <c r="AB743"/>
  <c r="AH742"/>
  <c r="AG742"/>
  <c r="AF742"/>
  <c r="AE742"/>
  <c r="AD742"/>
  <c r="AC742"/>
  <c r="AB742"/>
  <c r="AH741"/>
  <c r="AG741"/>
  <c r="AF741"/>
  <c r="AE741"/>
  <c r="AD741"/>
  <c r="AC741"/>
  <c r="AB741"/>
  <c r="AH740"/>
  <c r="AG740"/>
  <c r="AF740"/>
  <c r="AE740"/>
  <c r="AD740"/>
  <c r="AC740"/>
  <c r="AB740"/>
  <c r="AH739"/>
  <c r="AG739"/>
  <c r="AF739"/>
  <c r="AE739"/>
  <c r="AD739"/>
  <c r="AC739"/>
  <c r="AB739"/>
  <c r="AH738"/>
  <c r="AG738"/>
  <c r="AF738"/>
  <c r="AE738"/>
  <c r="AD738"/>
  <c r="AC738"/>
  <c r="AB738"/>
  <c r="AH737"/>
  <c r="AG737"/>
  <c r="AF737"/>
  <c r="AE737"/>
  <c r="AD737"/>
  <c r="AC737"/>
  <c r="AB737"/>
  <c r="AH736"/>
  <c r="AG736"/>
  <c r="AF736"/>
  <c r="AE736"/>
  <c r="AD736"/>
  <c r="AC736"/>
  <c r="AB736"/>
  <c r="AH735"/>
  <c r="AG735"/>
  <c r="AF735"/>
  <c r="AE735"/>
  <c r="AD735"/>
  <c r="AC735"/>
  <c r="AB735"/>
  <c r="AH734"/>
  <c r="AG734"/>
  <c r="AF734"/>
  <c r="AE734"/>
  <c r="AD734"/>
  <c r="AC734"/>
  <c r="AB734"/>
  <c r="AH733"/>
  <c r="AG733"/>
  <c r="AF733"/>
  <c r="AE733"/>
  <c r="AD733"/>
  <c r="AC733"/>
  <c r="AB733"/>
  <c r="AH732"/>
  <c r="AG732"/>
  <c r="AF732"/>
  <c r="AE732"/>
  <c r="AD732"/>
  <c r="AC732"/>
  <c r="AB732"/>
  <c r="AH731"/>
  <c r="AG731"/>
  <c r="AF731"/>
  <c r="AE731"/>
  <c r="AD731"/>
  <c r="AC731"/>
  <c r="AB731"/>
  <c r="AH730"/>
  <c r="AG730"/>
  <c r="AF730"/>
  <c r="AE730"/>
  <c r="AD730"/>
  <c r="AC730"/>
  <c r="AB730"/>
  <c r="AH729"/>
  <c r="AG729"/>
  <c r="AF729"/>
  <c r="AE729"/>
  <c r="AD729"/>
  <c r="AC729"/>
  <c r="AB729"/>
  <c r="AH728"/>
  <c r="AG728"/>
  <c r="AF728"/>
  <c r="AE728"/>
  <c r="AD728"/>
  <c r="AC728"/>
  <c r="AB728"/>
  <c r="AH727"/>
  <c r="AG727"/>
  <c r="AF727"/>
  <c r="AE727"/>
  <c r="AD727"/>
  <c r="AC727"/>
  <c r="AB727"/>
  <c r="AH726"/>
  <c r="AG726"/>
  <c r="AF726"/>
  <c r="AE726"/>
  <c r="AD726"/>
  <c r="AC726"/>
  <c r="AB726"/>
  <c r="AH725"/>
  <c r="AG725"/>
  <c r="AF725"/>
  <c r="AE725"/>
  <c r="AD725"/>
  <c r="AC725"/>
  <c r="AB725"/>
  <c r="AH724"/>
  <c r="AG724"/>
  <c r="AF724"/>
  <c r="AE724"/>
  <c r="AD724"/>
  <c r="AC724"/>
  <c r="AB724"/>
  <c r="AH723"/>
  <c r="AG723"/>
  <c r="AF723"/>
  <c r="AE723"/>
  <c r="AD723"/>
  <c r="AC723"/>
  <c r="AB723"/>
  <c r="AH722"/>
  <c r="AG722"/>
  <c r="AF722"/>
  <c r="AE722"/>
  <c r="AD722"/>
  <c r="AC722"/>
  <c r="AB722"/>
  <c r="AH721"/>
  <c r="AG721"/>
  <c r="AF721"/>
  <c r="AE721"/>
  <c r="AD721"/>
  <c r="AC721"/>
  <c r="AB721"/>
  <c r="AH720"/>
  <c r="AG720"/>
  <c r="AF720"/>
  <c r="AE720"/>
  <c r="AD720"/>
  <c r="AC720"/>
  <c r="AB720"/>
  <c r="AH719"/>
  <c r="AG719"/>
  <c r="AF719"/>
  <c r="AE719"/>
  <c r="AD719"/>
  <c r="AC719"/>
  <c r="AB719"/>
  <c r="AH718"/>
  <c r="AG718"/>
  <c r="AF718"/>
  <c r="AE718"/>
  <c r="AD718"/>
  <c r="AC718"/>
  <c r="AB718"/>
  <c r="AH717"/>
  <c r="AG717"/>
  <c r="AF717"/>
  <c r="AE717"/>
  <c r="AD717"/>
  <c r="AC717"/>
  <c r="AB717"/>
  <c r="AH716"/>
  <c r="AG716"/>
  <c r="AF716"/>
  <c r="AE716"/>
  <c r="AD716"/>
  <c r="AC716"/>
  <c r="AB716"/>
  <c r="AH715"/>
  <c r="AG715"/>
  <c r="AF715"/>
  <c r="AE715"/>
  <c r="AD715"/>
  <c r="AC715"/>
  <c r="AB715"/>
  <c r="AH714"/>
  <c r="AG714"/>
  <c r="AF714"/>
  <c r="AE714"/>
  <c r="AD714"/>
  <c r="AC714"/>
  <c r="AB714"/>
  <c r="AH713"/>
  <c r="AG713"/>
  <c r="AF713"/>
  <c r="AE713"/>
  <c r="AD713"/>
  <c r="AC713"/>
  <c r="AB713"/>
  <c r="AH712"/>
  <c r="AG712"/>
  <c r="AF712"/>
  <c r="AE712"/>
  <c r="AD712"/>
  <c r="AC712"/>
  <c r="AB712"/>
  <c r="AH711"/>
  <c r="AG711"/>
  <c r="AF711"/>
  <c r="AE711"/>
  <c r="AD711"/>
  <c r="AC711"/>
  <c r="AB711"/>
  <c r="AH710"/>
  <c r="AG710"/>
  <c r="AF710"/>
  <c r="AE710"/>
  <c r="AD710"/>
  <c r="AC710"/>
  <c r="AB710"/>
  <c r="AH709"/>
  <c r="AG709"/>
  <c r="AF709"/>
  <c r="AE709"/>
  <c r="AD709"/>
  <c r="AC709"/>
  <c r="AB709"/>
  <c r="AH708"/>
  <c r="AG708"/>
  <c r="AF708"/>
  <c r="AE708"/>
  <c r="AD708"/>
  <c r="AC708"/>
  <c r="AB708"/>
  <c r="AH707"/>
  <c r="AG707"/>
  <c r="AF707"/>
  <c r="AE707"/>
  <c r="AD707"/>
  <c r="AC707"/>
  <c r="AB707"/>
  <c r="AH706"/>
  <c r="AG706"/>
  <c r="AF706"/>
  <c r="AE706"/>
  <c r="AD706"/>
  <c r="AC706"/>
  <c r="AB706"/>
  <c r="AH705"/>
  <c r="AG705"/>
  <c r="AF705"/>
  <c r="AE705"/>
  <c r="AD705"/>
  <c r="AC705"/>
  <c r="AB705"/>
  <c r="AH704"/>
  <c r="AG704"/>
  <c r="AF704"/>
  <c r="AE704"/>
  <c r="AD704"/>
  <c r="AC704"/>
  <c r="AB704"/>
  <c r="AH703"/>
  <c r="AG703"/>
  <c r="AF703"/>
  <c r="AE703"/>
  <c r="AD703"/>
  <c r="AC703"/>
  <c r="AB703"/>
  <c r="AH702"/>
  <c r="AG702"/>
  <c r="AF702"/>
  <c r="AE702"/>
  <c r="AD702"/>
  <c r="AC702"/>
  <c r="AB702"/>
  <c r="AH701"/>
  <c r="AG701"/>
  <c r="AF701"/>
  <c r="AE701"/>
  <c r="AD701"/>
  <c r="AC701"/>
  <c r="AB701"/>
  <c r="AH700"/>
  <c r="AG700"/>
  <c r="AF700"/>
  <c r="AE700"/>
  <c r="AD700"/>
  <c r="AC700"/>
  <c r="AB700"/>
  <c r="AH699"/>
  <c r="AG699"/>
  <c r="AF699"/>
  <c r="AE699"/>
  <c r="AD699"/>
  <c r="AC699"/>
  <c r="AB699"/>
  <c r="AH698"/>
  <c r="AG698"/>
  <c r="AF698"/>
  <c r="AE698"/>
  <c r="AD698"/>
  <c r="AC698"/>
  <c r="AB698"/>
  <c r="AH697"/>
  <c r="AG697"/>
  <c r="AF697"/>
  <c r="AE697"/>
  <c r="AD697"/>
  <c r="AC697"/>
  <c r="AB697"/>
  <c r="AH696"/>
  <c r="AG696"/>
  <c r="AF696"/>
  <c r="AE696"/>
  <c r="AD696"/>
  <c r="AC696"/>
  <c r="AB696"/>
  <c r="AH695"/>
  <c r="AG695"/>
  <c r="AF695"/>
  <c r="AE695"/>
  <c r="AD695"/>
  <c r="AC695"/>
  <c r="AB695"/>
  <c r="AH693"/>
  <c r="AG693"/>
  <c r="AF693"/>
  <c r="AE693"/>
  <c r="AD693"/>
  <c r="AC693"/>
  <c r="AB693"/>
  <c r="AH692"/>
  <c r="AG692"/>
  <c r="AF692"/>
  <c r="AE692"/>
  <c r="AD692"/>
  <c r="AC692"/>
  <c r="AB692"/>
  <c r="AH691"/>
  <c r="AG691"/>
  <c r="AF691"/>
  <c r="AE691"/>
  <c r="AD691"/>
  <c r="AC691"/>
  <c r="AB691"/>
  <c r="AH690"/>
  <c r="AG690"/>
  <c r="AF690"/>
  <c r="AE690"/>
  <c r="AD690"/>
  <c r="AC690"/>
  <c r="AB690"/>
  <c r="AH689"/>
  <c r="AG689"/>
  <c r="AF689"/>
  <c r="AE689"/>
  <c r="AD689"/>
  <c r="AC689"/>
  <c r="AB689"/>
  <c r="AH688"/>
  <c r="AG688"/>
  <c r="AF688"/>
  <c r="AE688"/>
  <c r="AD688"/>
  <c r="AC688"/>
  <c r="AB688"/>
  <c r="AH687"/>
  <c r="AG687"/>
  <c r="AF687"/>
  <c r="AE687"/>
  <c r="AD687"/>
  <c r="AC687"/>
  <c r="AB687"/>
  <c r="AH686"/>
  <c r="AG686"/>
  <c r="AF686"/>
  <c r="AE686"/>
  <c r="AD686"/>
  <c r="AC686"/>
  <c r="AB686"/>
  <c r="AH685"/>
  <c r="AG685"/>
  <c r="AF685"/>
  <c r="AE685"/>
  <c r="AD685"/>
  <c r="AC685"/>
  <c r="AB685"/>
  <c r="AH684"/>
  <c r="AG684"/>
  <c r="AF684"/>
  <c r="AE684"/>
  <c r="AD684"/>
  <c r="AC684"/>
  <c r="AB684"/>
  <c r="AH683"/>
  <c r="AG683"/>
  <c r="AF683"/>
  <c r="AE683"/>
  <c r="AD683"/>
  <c r="AC683"/>
  <c r="AB683"/>
  <c r="AH682"/>
  <c r="AG682"/>
  <c r="AF682"/>
  <c r="AE682"/>
  <c r="AD682"/>
  <c r="AC682"/>
  <c r="AB682"/>
  <c r="AH681"/>
  <c r="AG681"/>
  <c r="AF681"/>
  <c r="AE681"/>
  <c r="AD681"/>
  <c r="AC681"/>
  <c r="AB681"/>
  <c r="AH680"/>
  <c r="AG680"/>
  <c r="AF680"/>
  <c r="AE680"/>
  <c r="AD680"/>
  <c r="AC680"/>
  <c r="AB680"/>
  <c r="AH679"/>
  <c r="AG679"/>
  <c r="AF679"/>
  <c r="AE679"/>
  <c r="AD679"/>
  <c r="AC679"/>
  <c r="AB679"/>
  <c r="AH678"/>
  <c r="AG678"/>
  <c r="AF678"/>
  <c r="AE678"/>
  <c r="AD678"/>
  <c r="AC678"/>
  <c r="AB678"/>
  <c r="AH677"/>
  <c r="AG677"/>
  <c r="AF677"/>
  <c r="AE677"/>
  <c r="AD677"/>
  <c r="AC677"/>
  <c r="AB677"/>
  <c r="AH676"/>
  <c r="AG676"/>
  <c r="AF676"/>
  <c r="AE676"/>
  <c r="AD676"/>
  <c r="AC676"/>
  <c r="AB676"/>
  <c r="AH675"/>
  <c r="AG675"/>
  <c r="AF675"/>
  <c r="AE675"/>
  <c r="AD675"/>
  <c r="AC675"/>
  <c r="AB675"/>
  <c r="AH674"/>
  <c r="AG674"/>
  <c r="AF674"/>
  <c r="AE674"/>
  <c r="AD674"/>
  <c r="AC674"/>
  <c r="AB674"/>
  <c r="AH673"/>
  <c r="AG673"/>
  <c r="AF673"/>
  <c r="AE673"/>
  <c r="AD673"/>
  <c r="AC673"/>
  <c r="AB673"/>
  <c r="AH672"/>
  <c r="AG672"/>
  <c r="AF672"/>
  <c r="AE672"/>
  <c r="AD672"/>
  <c r="AC672"/>
  <c r="AB672"/>
  <c r="AH671"/>
  <c r="AG671"/>
  <c r="AF671"/>
  <c r="AE671"/>
  <c r="AD671"/>
  <c r="AC671"/>
  <c r="AB671"/>
  <c r="AH670"/>
  <c r="AG670"/>
  <c r="AF670"/>
  <c r="AE670"/>
  <c r="AD670"/>
  <c r="AC670"/>
  <c r="AB670"/>
  <c r="AH669"/>
  <c r="AG669"/>
  <c r="AF669"/>
  <c r="AE669"/>
  <c r="AD669"/>
  <c r="AC669"/>
  <c r="AB669"/>
  <c r="AH668"/>
  <c r="AG668"/>
  <c r="AF668"/>
  <c r="AE668"/>
  <c r="AD668"/>
  <c r="AC668"/>
  <c r="AB668"/>
  <c r="AH667"/>
  <c r="AG667"/>
  <c r="AF667"/>
  <c r="AE667"/>
  <c r="AD667"/>
  <c r="AC667"/>
  <c r="AB667"/>
  <c r="AH666"/>
  <c r="AG666"/>
  <c r="AF666"/>
  <c r="AE666"/>
  <c r="AD666"/>
  <c r="AC666"/>
  <c r="AB666"/>
  <c r="AH665"/>
  <c r="AG665"/>
  <c r="AF665"/>
  <c r="AE665"/>
  <c r="AD665"/>
  <c r="AC665"/>
  <c r="AB665"/>
  <c r="AH664"/>
  <c r="AG664"/>
  <c r="AF664"/>
  <c r="AE664"/>
  <c r="AD664"/>
  <c r="AC664"/>
  <c r="AB664"/>
  <c r="AH663"/>
  <c r="AG663"/>
  <c r="AF663"/>
  <c r="AE663"/>
  <c r="AD663"/>
  <c r="AC663"/>
  <c r="AB663"/>
  <c r="AH662"/>
  <c r="AG662"/>
  <c r="AF662"/>
  <c r="AE662"/>
  <c r="AD662"/>
  <c r="AC662"/>
  <c r="AB662"/>
  <c r="AH661"/>
  <c r="AG661"/>
  <c r="AF661"/>
  <c r="AE661"/>
  <c r="AD661"/>
  <c r="AC661"/>
  <c r="AB661"/>
  <c r="AH660"/>
  <c r="AG660"/>
  <c r="AF660"/>
  <c r="AE660"/>
  <c r="AD660"/>
  <c r="AC660"/>
  <c r="AB660"/>
  <c r="AH659"/>
  <c r="AG659"/>
  <c r="AF659"/>
  <c r="AE659"/>
  <c r="AD659"/>
  <c r="AC659"/>
  <c r="AB659"/>
  <c r="AH658"/>
  <c r="AG658"/>
  <c r="AF658"/>
  <c r="AE658"/>
  <c r="AD658"/>
  <c r="AC658"/>
  <c r="AB658"/>
  <c r="AH657"/>
  <c r="AG657"/>
  <c r="AF657"/>
  <c r="AE657"/>
  <c r="AD657"/>
  <c r="AC657"/>
  <c r="AB657"/>
  <c r="AH656"/>
  <c r="AG656"/>
  <c r="AF656"/>
  <c r="AE656"/>
  <c r="AD656"/>
  <c r="AC656"/>
  <c r="AB656"/>
  <c r="AH655"/>
  <c r="AG655"/>
  <c r="AF655"/>
  <c r="AE655"/>
  <c r="AD655"/>
  <c r="AC655"/>
  <c r="AB655"/>
  <c r="AH654"/>
  <c r="AG654"/>
  <c r="AF654"/>
  <c r="AE654"/>
  <c r="AD654"/>
  <c r="AC654"/>
  <c r="AB654"/>
  <c r="AH653"/>
  <c r="AG653"/>
  <c r="AF653"/>
  <c r="AE653"/>
  <c r="AD653"/>
  <c r="AC653"/>
  <c r="AB653"/>
  <c r="AH652"/>
  <c r="AG652"/>
  <c r="AF652"/>
  <c r="AE652"/>
  <c r="AD652"/>
  <c r="AC652"/>
  <c r="AB652"/>
  <c r="AH651"/>
  <c r="AG651"/>
  <c r="AF651"/>
  <c r="AE651"/>
  <c r="AD651"/>
  <c r="AC651"/>
  <c r="AB651"/>
  <c r="AH650"/>
  <c r="AG650"/>
  <c r="AF650"/>
  <c r="AE650"/>
  <c r="AD650"/>
  <c r="AC650"/>
  <c r="AB650"/>
  <c r="AH649"/>
  <c r="AG649"/>
  <c r="AF649"/>
  <c r="AE649"/>
  <c r="AD649"/>
  <c r="AC649"/>
  <c r="AB649"/>
  <c r="AH648"/>
  <c r="AG648"/>
  <c r="AF648"/>
  <c r="AE648"/>
  <c r="AD648"/>
  <c r="AC648"/>
  <c r="AB648"/>
  <c r="AH647"/>
  <c r="AG647"/>
  <c r="AF647"/>
  <c r="AE647"/>
  <c r="AD647"/>
  <c r="AC647"/>
  <c r="AB647"/>
  <c r="AH646"/>
  <c r="AG646"/>
  <c r="AF646"/>
  <c r="AE646"/>
  <c r="AD646"/>
  <c r="AC646"/>
  <c r="AB646"/>
  <c r="AH645"/>
  <c r="AG645"/>
  <c r="AF645"/>
  <c r="AE645"/>
  <c r="AD645"/>
  <c r="AC645"/>
  <c r="AB645"/>
  <c r="AH644"/>
  <c r="AG644"/>
  <c r="AF644"/>
  <c r="AE644"/>
  <c r="AD644"/>
  <c r="AC644"/>
  <c r="AB644"/>
  <c r="AH643"/>
  <c r="AG643"/>
  <c r="AF643"/>
  <c r="AE643"/>
  <c r="AD643"/>
  <c r="AC643"/>
  <c r="AB643"/>
  <c r="AH642"/>
  <c r="AG642"/>
  <c r="AF642"/>
  <c r="AE642"/>
  <c r="AD642"/>
  <c r="AC642"/>
  <c r="AB642"/>
  <c r="AH641"/>
  <c r="AG641"/>
  <c r="AF641"/>
  <c r="AE641"/>
  <c r="AD641"/>
  <c r="AC641"/>
  <c r="AB641"/>
  <c r="AH640"/>
  <c r="AG640"/>
  <c r="AF640"/>
  <c r="AE640"/>
  <c r="AD640"/>
  <c r="AC640"/>
  <c r="AB640"/>
  <c r="AH639"/>
  <c r="AG639"/>
  <c r="AF639"/>
  <c r="AE639"/>
  <c r="AD639"/>
  <c r="AC639"/>
  <c r="AB639"/>
  <c r="AH638"/>
  <c r="AG638"/>
  <c r="AF638"/>
  <c r="AE638"/>
  <c r="AD638"/>
  <c r="AC638"/>
  <c r="AB638"/>
  <c r="AH637"/>
  <c r="AG637"/>
  <c r="AF637"/>
  <c r="AE637"/>
  <c r="AD637"/>
  <c r="AC637"/>
  <c r="AB637"/>
  <c r="AH636"/>
  <c r="AG636"/>
  <c r="AF636"/>
  <c r="AE636"/>
  <c r="AD636"/>
  <c r="AC636"/>
  <c r="AB636"/>
  <c r="AH635"/>
  <c r="AG635"/>
  <c r="AF635"/>
  <c r="AE635"/>
  <c r="AD635"/>
  <c r="AC635"/>
  <c r="AB635"/>
  <c r="AH634"/>
  <c r="AG634"/>
  <c r="AF634"/>
  <c r="AE634"/>
  <c r="AD634"/>
  <c r="AC634"/>
  <c r="AB634"/>
  <c r="AH633"/>
  <c r="AG633"/>
  <c r="AF633"/>
  <c r="AE633"/>
  <c r="AD633"/>
  <c r="AC633"/>
  <c r="AB633"/>
  <c r="AH632"/>
  <c r="AG632"/>
  <c r="AF632"/>
  <c r="AE632"/>
  <c r="AD632"/>
  <c r="AC632"/>
  <c r="AB632"/>
  <c r="AH631"/>
  <c r="AG631"/>
  <c r="AF631"/>
  <c r="AE631"/>
  <c r="AD631"/>
  <c r="AC631"/>
  <c r="AB631"/>
  <c r="AH630"/>
  <c r="AG630"/>
  <c r="AF630"/>
  <c r="AE630"/>
  <c r="AD630"/>
  <c r="AC630"/>
  <c r="AB630"/>
  <c r="AH629"/>
  <c r="AG629"/>
  <c r="AF629"/>
  <c r="AE629"/>
  <c r="AD629"/>
  <c r="AC629"/>
  <c r="AB629"/>
  <c r="AH628"/>
  <c r="AG628"/>
  <c r="AF628"/>
  <c r="AE628"/>
  <c r="AD628"/>
  <c r="AC628"/>
  <c r="AB628"/>
  <c r="AH627"/>
  <c r="AG627"/>
  <c r="AF627"/>
  <c r="AE627"/>
  <c r="AD627"/>
  <c r="AC627"/>
  <c r="AB627"/>
  <c r="AH626"/>
  <c r="AG626"/>
  <c r="AF626"/>
  <c r="AE626"/>
  <c r="AD626"/>
  <c r="AC626"/>
  <c r="AB626"/>
  <c r="AH625"/>
  <c r="AG625"/>
  <c r="AF625"/>
  <c r="AE625"/>
  <c r="AD625"/>
  <c r="AC625"/>
  <c r="AB625"/>
  <c r="AH624"/>
  <c r="AG624"/>
  <c r="AF624"/>
  <c r="AE624"/>
  <c r="AD624"/>
  <c r="AC624"/>
  <c r="AB624"/>
  <c r="AH623"/>
  <c r="AG623"/>
  <c r="AF623"/>
  <c r="AE623"/>
  <c r="AD623"/>
  <c r="AC623"/>
  <c r="AB623"/>
  <c r="AH622"/>
  <c r="AG622"/>
  <c r="AF622"/>
  <c r="AE622"/>
  <c r="AD622"/>
  <c r="AC622"/>
  <c r="AB622"/>
  <c r="AH621"/>
  <c r="AG621"/>
  <c r="AF621"/>
  <c r="AE621"/>
  <c r="AD621"/>
  <c r="AC621"/>
  <c r="AB621"/>
  <c r="AH620"/>
  <c r="AG620"/>
  <c r="AF620"/>
  <c r="AE620"/>
  <c r="AD620"/>
  <c r="AC620"/>
  <c r="AB620"/>
  <c r="AH619"/>
  <c r="AG619"/>
  <c r="AF619"/>
  <c r="AE619"/>
  <c r="AD619"/>
  <c r="AC619"/>
  <c r="AB619"/>
  <c r="AH618"/>
  <c r="AG618"/>
  <c r="AF618"/>
  <c r="AE618"/>
  <c r="AD618"/>
  <c r="AC618"/>
  <c r="AB618"/>
  <c r="AH617"/>
  <c r="AG617"/>
  <c r="AF617"/>
  <c r="AE617"/>
  <c r="AD617"/>
  <c r="AC617"/>
  <c r="AB617"/>
  <c r="AH616"/>
  <c r="AG616"/>
  <c r="AF616"/>
  <c r="AE616"/>
  <c r="AD616"/>
  <c r="AC616"/>
  <c r="AB616"/>
  <c r="AH615"/>
  <c r="AG615"/>
  <c r="AF615"/>
  <c r="AE615"/>
  <c r="AD615"/>
  <c r="AC615"/>
  <c r="AB615"/>
  <c r="AH614"/>
  <c r="AG614"/>
  <c r="AF614"/>
  <c r="AE614"/>
  <c r="AD614"/>
  <c r="AC614"/>
  <c r="AB614"/>
  <c r="AH613"/>
  <c r="AG613"/>
  <c r="AF613"/>
  <c r="AE613"/>
  <c r="AD613"/>
  <c r="AC613"/>
  <c r="AB613"/>
  <c r="AH612"/>
  <c r="AG612"/>
  <c r="AF612"/>
  <c r="AE612"/>
  <c r="AD612"/>
  <c r="AC612"/>
  <c r="AB612"/>
  <c r="AH611"/>
  <c r="AG611"/>
  <c r="AF611"/>
  <c r="AE611"/>
  <c r="AD611"/>
  <c r="AC611"/>
  <c r="AB611"/>
  <c r="AH610"/>
  <c r="AG610"/>
  <c r="AF610"/>
  <c r="AE610"/>
  <c r="AD610"/>
  <c r="AC610"/>
  <c r="AB610"/>
  <c r="AH609"/>
  <c r="AG609"/>
  <c r="AF609"/>
  <c r="AE609"/>
  <c r="AD609"/>
  <c r="AC609"/>
  <c r="AB609"/>
  <c r="AH608"/>
  <c r="AG608"/>
  <c r="AF608"/>
  <c r="AE608"/>
  <c r="AD608"/>
  <c r="AC608"/>
  <c r="AB608"/>
  <c r="AH607"/>
  <c r="AG607"/>
  <c r="AF607"/>
  <c r="AE607"/>
  <c r="AD607"/>
  <c r="AC607"/>
  <c r="AB607"/>
  <c r="AH606"/>
  <c r="AG606"/>
  <c r="AF606"/>
  <c r="AE606"/>
  <c r="AD606"/>
  <c r="AC606"/>
  <c r="AB606"/>
  <c r="AH605"/>
  <c r="AG605"/>
  <c r="AF605"/>
  <c r="AE605"/>
  <c r="AD605"/>
  <c r="AC605"/>
  <c r="AB605"/>
  <c r="AH604"/>
  <c r="AG604"/>
  <c r="AF604"/>
  <c r="AE604"/>
  <c r="AD604"/>
  <c r="AC604"/>
  <c r="AB604"/>
  <c r="AH603"/>
  <c r="AG603"/>
  <c r="AF603"/>
  <c r="AE603"/>
  <c r="AD603"/>
  <c r="AC603"/>
  <c r="AB603"/>
  <c r="AH602"/>
  <c r="AG602"/>
  <c r="AF602"/>
  <c r="AE602"/>
  <c r="AD602"/>
  <c r="AC602"/>
  <c r="AB602"/>
  <c r="AH601"/>
  <c r="AG601"/>
  <c r="AF601"/>
  <c r="AE601"/>
  <c r="AD601"/>
  <c r="AC601"/>
  <c r="AB601"/>
  <c r="AH599"/>
  <c r="AG599"/>
  <c r="AF599"/>
  <c r="AE599"/>
  <c r="AD599"/>
  <c r="AC599"/>
  <c r="AB599"/>
  <c r="AH598"/>
  <c r="AG598"/>
  <c r="AF598"/>
  <c r="AE598"/>
  <c r="AD598"/>
  <c r="AC598"/>
  <c r="AB598"/>
  <c r="AH597"/>
  <c r="AG597"/>
  <c r="AF597"/>
  <c r="AE597"/>
  <c r="AD597"/>
  <c r="AC597"/>
  <c r="AB597"/>
  <c r="AH596"/>
  <c r="AG596"/>
  <c r="AF596"/>
  <c r="AE596"/>
  <c r="AD596"/>
  <c r="AC596"/>
  <c r="AB596"/>
  <c r="AH595"/>
  <c r="AG595"/>
  <c r="AF595"/>
  <c r="AE595"/>
  <c r="AD595"/>
  <c r="AC595"/>
  <c r="AB595"/>
  <c r="AH594"/>
  <c r="AG594"/>
  <c r="AF594"/>
  <c r="AE594"/>
  <c r="AD594"/>
  <c r="AC594"/>
  <c r="AB594"/>
  <c r="AH593"/>
  <c r="AG593"/>
  <c r="AF593"/>
  <c r="AE593"/>
  <c r="AD593"/>
  <c r="AC593"/>
  <c r="AB593"/>
  <c r="AH592"/>
  <c r="AG592"/>
  <c r="AF592"/>
  <c r="AE592"/>
  <c r="AD592"/>
  <c r="AC592"/>
  <c r="AB592"/>
  <c r="AH591"/>
  <c r="AG591"/>
  <c r="AF591"/>
  <c r="AE591"/>
  <c r="AD591"/>
  <c r="AC591"/>
  <c r="AB591"/>
  <c r="AH590"/>
  <c r="AG590"/>
  <c r="AF590"/>
  <c r="AE590"/>
  <c r="AD590"/>
  <c r="AC590"/>
  <c r="AB590"/>
  <c r="AH589"/>
  <c r="AG589"/>
  <c r="AF589"/>
  <c r="AE589"/>
  <c r="AD589"/>
  <c r="AC589"/>
  <c r="AB589"/>
  <c r="AH588"/>
  <c r="AG588"/>
  <c r="AF588"/>
  <c r="AE588"/>
  <c r="AD588"/>
  <c r="AC588"/>
  <c r="AB588"/>
  <c r="AH587"/>
  <c r="AG587"/>
  <c r="AF587"/>
  <c r="AE587"/>
  <c r="AD587"/>
  <c r="AC587"/>
  <c r="AB587"/>
  <c r="AH586"/>
  <c r="AG586"/>
  <c r="AF586"/>
  <c r="AE586"/>
  <c r="AD586"/>
  <c r="AC586"/>
  <c r="AB586"/>
  <c r="AH585"/>
  <c r="AG585"/>
  <c r="AF585"/>
  <c r="AE585"/>
  <c r="AD585"/>
  <c r="AC585"/>
  <c r="AB585"/>
  <c r="AH584"/>
  <c r="AG584"/>
  <c r="AF584"/>
  <c r="AE584"/>
  <c r="AD584"/>
  <c r="AC584"/>
  <c r="AB584"/>
  <c r="AH583"/>
  <c r="AG583"/>
  <c r="AF583"/>
  <c r="AE583"/>
  <c r="AD583"/>
  <c r="AC583"/>
  <c r="AB583"/>
  <c r="AH582"/>
  <c r="AG582"/>
  <c r="AF582"/>
  <c r="AE582"/>
  <c r="AD582"/>
  <c r="AC582"/>
  <c r="AB582"/>
  <c r="AH581"/>
  <c r="AG581"/>
  <c r="AF581"/>
  <c r="AE581"/>
  <c r="AD581"/>
  <c r="AC581"/>
  <c r="AB581"/>
  <c r="AH580"/>
  <c r="AG580"/>
  <c r="AF580"/>
  <c r="AE580"/>
  <c r="AD580"/>
  <c r="AC580"/>
  <c r="AB580"/>
  <c r="AH579"/>
  <c r="AG579"/>
  <c r="AF579"/>
  <c r="AE579"/>
  <c r="AD579"/>
  <c r="AC579"/>
  <c r="AB579"/>
  <c r="AH578"/>
  <c r="AG578"/>
  <c r="AF578"/>
  <c r="AE578"/>
  <c r="AD578"/>
  <c r="AC578"/>
  <c r="AB578"/>
  <c r="AH577"/>
  <c r="AG577"/>
  <c r="AF577"/>
  <c r="AE577"/>
  <c r="AD577"/>
  <c r="AC577"/>
  <c r="AB577"/>
  <c r="AH576"/>
  <c r="AG576"/>
  <c r="AF576"/>
  <c r="AE576"/>
  <c r="AD576"/>
  <c r="AC576"/>
  <c r="AB576"/>
  <c r="AH575"/>
  <c r="AG575"/>
  <c r="AF575"/>
  <c r="AE575"/>
  <c r="AD575"/>
  <c r="AC575"/>
  <c r="AB575"/>
  <c r="AH574"/>
  <c r="AG574"/>
  <c r="AF574"/>
  <c r="AE574"/>
  <c r="AD574"/>
  <c r="AC574"/>
  <c r="AB574"/>
  <c r="AH573"/>
  <c r="AG573"/>
  <c r="AF573"/>
  <c r="AE573"/>
  <c r="AD573"/>
  <c r="AC573"/>
  <c r="AB573"/>
  <c r="AH572"/>
  <c r="AG572"/>
  <c r="AF572"/>
  <c r="AE572"/>
  <c r="AD572"/>
  <c r="AC572"/>
  <c r="AB572"/>
  <c r="AH571"/>
  <c r="AG571"/>
  <c r="AF571"/>
  <c r="AE571"/>
  <c r="AD571"/>
  <c r="AC571"/>
  <c r="AB571"/>
  <c r="AH570"/>
  <c r="AG570"/>
  <c r="AF570"/>
  <c r="AE570"/>
  <c r="AD570"/>
  <c r="AC570"/>
  <c r="AB570"/>
  <c r="AH569"/>
  <c r="AG569"/>
  <c r="AF569"/>
  <c r="AE569"/>
  <c r="AD569"/>
  <c r="AC569"/>
  <c r="AB569"/>
  <c r="AH568"/>
  <c r="AG568"/>
  <c r="AF568"/>
  <c r="AE568"/>
  <c r="AD568"/>
  <c r="AC568"/>
  <c r="AB568"/>
  <c r="AH567"/>
  <c r="AG567"/>
  <c r="AF567"/>
  <c r="AE567"/>
  <c r="AD567"/>
  <c r="AC567"/>
  <c r="AB567"/>
  <c r="AH566"/>
  <c r="AG566"/>
  <c r="AF566"/>
  <c r="AE566"/>
  <c r="AD566"/>
  <c r="AC566"/>
  <c r="AB566"/>
  <c r="AH565"/>
  <c r="AG565"/>
  <c r="AF565"/>
  <c r="AE565"/>
  <c r="AD565"/>
  <c r="AC565"/>
  <c r="AB565"/>
  <c r="AH564"/>
  <c r="AG564"/>
  <c r="AF564"/>
  <c r="AE564"/>
  <c r="AD564"/>
  <c r="AC564"/>
  <c r="AB564"/>
  <c r="AH563"/>
  <c r="AG563"/>
  <c r="AF563"/>
  <c r="AE563"/>
  <c r="AD563"/>
  <c r="AC563"/>
  <c r="AB563"/>
  <c r="AH562"/>
  <c r="AG562"/>
  <c r="AF562"/>
  <c r="AE562"/>
  <c r="AD562"/>
  <c r="AC562"/>
  <c r="AB562"/>
  <c r="AH561"/>
  <c r="AG561"/>
  <c r="AF561"/>
  <c r="AE561"/>
  <c r="AD561"/>
  <c r="AC561"/>
  <c r="AB561"/>
  <c r="AH560"/>
  <c r="AG560"/>
  <c r="AF560"/>
  <c r="AE560"/>
  <c r="AD560"/>
  <c r="AC560"/>
  <c r="AB560"/>
  <c r="AH559"/>
  <c r="AG559"/>
  <c r="AF559"/>
  <c r="AE559"/>
  <c r="AD559"/>
  <c r="AC559"/>
  <c r="AB559"/>
  <c r="AH558"/>
  <c r="AG558"/>
  <c r="AF558"/>
  <c r="AE558"/>
  <c r="AD558"/>
  <c r="AC558"/>
  <c r="AB558"/>
  <c r="AH557"/>
  <c r="AG557"/>
  <c r="AF557"/>
  <c r="AE557"/>
  <c r="AD557"/>
  <c r="AC557"/>
  <c r="AB557"/>
  <c r="AH556"/>
  <c r="AG556"/>
  <c r="AF556"/>
  <c r="AE556"/>
  <c r="AD556"/>
  <c r="AC556"/>
  <c r="AB556"/>
  <c r="AH555"/>
  <c r="AG555"/>
  <c r="AF555"/>
  <c r="AE555"/>
  <c r="AD555"/>
  <c r="AC555"/>
  <c r="AB555"/>
  <c r="AH554"/>
  <c r="AG554"/>
  <c r="AF554"/>
  <c r="AE554"/>
  <c r="AD554"/>
  <c r="AC554"/>
  <c r="AB554"/>
  <c r="AH553"/>
  <c r="AG553"/>
  <c r="AF553"/>
  <c r="AE553"/>
  <c r="AD553"/>
  <c r="AC553"/>
  <c r="AB553"/>
  <c r="AH552"/>
  <c r="AG552"/>
  <c r="AF552"/>
  <c r="AE552"/>
  <c r="AD552"/>
  <c r="AC552"/>
  <c r="AB552"/>
  <c r="AH551"/>
  <c r="AG551"/>
  <c r="AF551"/>
  <c r="AE551"/>
  <c r="AD551"/>
  <c r="AC551"/>
  <c r="AB551"/>
  <c r="AH550"/>
  <c r="AG550"/>
  <c r="AF550"/>
  <c r="AE550"/>
  <c r="AD550"/>
  <c r="AC550"/>
  <c r="AB550"/>
  <c r="AH549"/>
  <c r="AG549"/>
  <c r="AF549"/>
  <c r="AE549"/>
  <c r="AD549"/>
  <c r="AC549"/>
  <c r="AB549"/>
  <c r="AH548"/>
  <c r="AG548"/>
  <c r="AF548"/>
  <c r="AE548"/>
  <c r="AD548"/>
  <c r="AC548"/>
  <c r="AB548"/>
  <c r="AH547"/>
  <c r="AG547"/>
  <c r="AF547"/>
  <c r="AE547"/>
  <c r="AD547"/>
  <c r="AC547"/>
  <c r="AB547"/>
  <c r="AH546"/>
  <c r="AG546"/>
  <c r="AF546"/>
  <c r="AE546"/>
  <c r="AD546"/>
  <c r="AC546"/>
  <c r="AB546"/>
  <c r="AH545"/>
  <c r="AG545"/>
  <c r="AF545"/>
  <c r="AE545"/>
  <c r="AD545"/>
  <c r="AC545"/>
  <c r="AB545"/>
  <c r="AH544"/>
  <c r="AG544"/>
  <c r="AF544"/>
  <c r="AE544"/>
  <c r="AD544"/>
  <c r="AC544"/>
  <c r="AB544"/>
  <c r="AH543"/>
  <c r="AG543"/>
  <c r="AF543"/>
  <c r="AE543"/>
  <c r="AD543"/>
  <c r="AC543"/>
  <c r="AB543"/>
  <c r="AH542"/>
  <c r="AG542"/>
  <c r="AF542"/>
  <c r="AE542"/>
  <c r="AD542"/>
  <c r="AC542"/>
  <c r="AB542"/>
  <c r="AH541"/>
  <c r="AG541"/>
  <c r="AF541"/>
  <c r="AE541"/>
  <c r="AD541"/>
  <c r="AC541"/>
  <c r="AB541"/>
  <c r="AH540"/>
  <c r="AG540"/>
  <c r="AF540"/>
  <c r="AE540"/>
  <c r="AD540"/>
  <c r="AC540"/>
  <c r="AB540"/>
  <c r="AH539"/>
  <c r="AG539"/>
  <c r="AF539"/>
  <c r="AE539"/>
  <c r="AD539"/>
  <c r="AC539"/>
  <c r="AB539"/>
  <c r="AH538"/>
  <c r="AG538"/>
  <c r="AF538"/>
  <c r="AE538"/>
  <c r="AD538"/>
  <c r="AC538"/>
  <c r="AB538"/>
  <c r="AH537"/>
  <c r="AG537"/>
  <c r="AF537"/>
  <c r="AE537"/>
  <c r="AD537"/>
  <c r="AC537"/>
  <c r="AB537"/>
  <c r="AH536"/>
  <c r="AG536"/>
  <c r="AF536"/>
  <c r="AE536"/>
  <c r="AD536"/>
  <c r="AC536"/>
  <c r="AB536"/>
  <c r="AH535"/>
  <c r="AG535"/>
  <c r="AF535"/>
  <c r="AE535"/>
  <c r="AD535"/>
  <c r="AC535"/>
  <c r="AB535"/>
  <c r="AH534"/>
  <c r="AG534"/>
  <c r="AF534"/>
  <c r="AE534"/>
  <c r="AD534"/>
  <c r="AC534"/>
  <c r="AB534"/>
  <c r="AH533"/>
  <c r="AG533"/>
  <c r="AF533"/>
  <c r="AE533"/>
  <c r="AD533"/>
  <c r="AC533"/>
  <c r="AB533"/>
  <c r="AH532"/>
  <c r="AG532"/>
  <c r="AF532"/>
  <c r="AE532"/>
  <c r="AD532"/>
  <c r="AC532"/>
  <c r="AB532"/>
  <c r="AH531"/>
  <c r="AG531"/>
  <c r="AF531"/>
  <c r="AE531"/>
  <c r="AD531"/>
  <c r="AC531"/>
  <c r="AB531"/>
  <c r="AH530"/>
  <c r="AG530"/>
  <c r="AF530"/>
  <c r="AE530"/>
  <c r="AD530"/>
  <c r="AC530"/>
  <c r="AB530"/>
  <c r="AH529"/>
  <c r="AG529"/>
  <c r="AF529"/>
  <c r="AE529"/>
  <c r="AD529"/>
  <c r="AC529"/>
  <c r="AB529"/>
  <c r="AH528"/>
  <c r="AG528"/>
  <c r="AF528"/>
  <c r="AE528"/>
  <c r="AD528"/>
  <c r="AC528"/>
  <c r="AB528"/>
  <c r="AH527"/>
  <c r="AG527"/>
  <c r="AF527"/>
  <c r="AE527"/>
  <c r="AD527"/>
  <c r="AC527"/>
  <c r="AB527"/>
  <c r="AH526"/>
  <c r="AG526"/>
  <c r="AF526"/>
  <c r="AE526"/>
  <c r="AD526"/>
  <c r="AC526"/>
  <c r="AB526"/>
  <c r="AH525"/>
  <c r="AG525"/>
  <c r="AF525"/>
  <c r="AE525"/>
  <c r="AD525"/>
  <c r="AC525"/>
  <c r="AB525"/>
  <c r="AH524"/>
  <c r="AG524"/>
  <c r="AF524"/>
  <c r="AE524"/>
  <c r="AD524"/>
  <c r="AC524"/>
  <c r="AB524"/>
  <c r="AH523"/>
  <c r="AG523"/>
  <c r="AF523"/>
  <c r="AE523"/>
  <c r="AD523"/>
  <c r="AC523"/>
  <c r="AB523"/>
  <c r="AH522"/>
  <c r="AG522"/>
  <c r="AF522"/>
  <c r="AE522"/>
  <c r="AD522"/>
  <c r="AC522"/>
  <c r="AB522"/>
  <c r="AH521"/>
  <c r="AG521"/>
  <c r="AF521"/>
  <c r="AE521"/>
  <c r="AD521"/>
  <c r="AC521"/>
  <c r="AB521"/>
  <c r="AH520"/>
  <c r="AG520"/>
  <c r="AF520"/>
  <c r="AE520"/>
  <c r="AD520"/>
  <c r="AC520"/>
  <c r="AB520"/>
  <c r="AH519"/>
  <c r="AG519"/>
  <c r="AF519"/>
  <c r="AE519"/>
  <c r="AD519"/>
  <c r="AC519"/>
  <c r="AB519"/>
  <c r="AH518"/>
  <c r="AG518"/>
  <c r="AF518"/>
  <c r="AE518"/>
  <c r="AD518"/>
  <c r="AC518"/>
  <c r="AB518"/>
  <c r="AH517"/>
  <c r="AG517"/>
  <c r="AF517"/>
  <c r="AE517"/>
  <c r="AD517"/>
  <c r="AC517"/>
  <c r="AB517"/>
  <c r="AH516"/>
  <c r="AG516"/>
  <c r="AF516"/>
  <c r="AE516"/>
  <c r="AD516"/>
  <c r="AC516"/>
  <c r="AB516"/>
  <c r="AH515"/>
  <c r="AG515"/>
  <c r="AF515"/>
  <c r="AE515"/>
  <c r="AD515"/>
  <c r="AC515"/>
  <c r="AB515"/>
  <c r="AH514"/>
  <c r="AG514"/>
  <c r="AF514"/>
  <c r="AE514"/>
  <c r="AD514"/>
  <c r="AC514"/>
  <c r="AB514"/>
  <c r="AH513"/>
  <c r="AG513"/>
  <c r="AF513"/>
  <c r="AE513"/>
  <c r="AD513"/>
  <c r="AC513"/>
  <c r="AB513"/>
  <c r="AH512"/>
  <c r="AG512"/>
  <c r="AF512"/>
  <c r="AE512"/>
  <c r="AD512"/>
  <c r="AC512"/>
  <c r="AB512"/>
  <c r="AH511"/>
  <c r="AG511"/>
  <c r="AF511"/>
  <c r="AE511"/>
  <c r="AD511"/>
  <c r="AC511"/>
  <c r="AB511"/>
  <c r="AH510"/>
  <c r="AG510"/>
  <c r="AF510"/>
  <c r="AE510"/>
  <c r="AD510"/>
  <c r="AC510"/>
  <c r="AB510"/>
  <c r="AH509"/>
  <c r="AG509"/>
  <c r="AF509"/>
  <c r="AE509"/>
  <c r="AD509"/>
  <c r="AC509"/>
  <c r="AB509"/>
  <c r="AH508"/>
  <c r="AG508"/>
  <c r="AF508"/>
  <c r="AE508"/>
  <c r="AD508"/>
  <c r="AC508"/>
  <c r="AB508"/>
  <c r="AH507"/>
  <c r="AG507"/>
  <c r="AF507"/>
  <c r="AE507"/>
  <c r="AD507"/>
  <c r="AC507"/>
  <c r="AB507"/>
  <c r="AH506"/>
  <c r="AG506"/>
  <c r="AF506"/>
  <c r="AE506"/>
  <c r="AD506"/>
  <c r="AC506"/>
  <c r="AB506"/>
  <c r="AH505"/>
  <c r="AG505"/>
  <c r="AF505"/>
  <c r="AE505"/>
  <c r="AD505"/>
  <c r="AC505"/>
  <c r="AB505"/>
  <c r="AH504"/>
  <c r="AG504"/>
  <c r="AF504"/>
  <c r="AE504"/>
  <c r="AD504"/>
  <c r="AC504"/>
  <c r="AB504"/>
  <c r="AH503"/>
  <c r="AG503"/>
  <c r="AF503"/>
  <c r="AE503"/>
  <c r="AD503"/>
  <c r="AC503"/>
  <c r="AB503"/>
  <c r="AH502"/>
  <c r="AG502"/>
  <c r="AF502"/>
  <c r="AE502"/>
  <c r="AD502"/>
  <c r="AC502"/>
  <c r="AB502"/>
  <c r="AH501"/>
  <c r="AG501"/>
  <c r="AF501"/>
  <c r="AE501"/>
  <c r="AD501"/>
  <c r="AC501"/>
  <c r="AB501"/>
  <c r="AH500"/>
  <c r="AG500"/>
  <c r="AF500"/>
  <c r="AE500"/>
  <c r="AD500"/>
  <c r="AC500"/>
  <c r="AB500"/>
  <c r="AH499"/>
  <c r="AG499"/>
  <c r="AF499"/>
  <c r="AE499"/>
  <c r="AD499"/>
  <c r="AC499"/>
  <c r="AB499"/>
  <c r="AH498"/>
  <c r="AG498"/>
  <c r="AF498"/>
  <c r="AE498"/>
  <c r="AD498"/>
  <c r="AC498"/>
  <c r="AB498"/>
  <c r="AH497"/>
  <c r="AG497"/>
  <c r="AF497"/>
  <c r="AE497"/>
  <c r="AD497"/>
  <c r="AC497"/>
  <c r="AB497"/>
  <c r="AH496"/>
  <c r="AG496"/>
  <c r="AF496"/>
  <c r="AE496"/>
  <c r="AD496"/>
  <c r="AC496"/>
  <c r="AB496"/>
  <c r="AH495"/>
  <c r="AG495"/>
  <c r="AF495"/>
  <c r="AE495"/>
  <c r="AD495"/>
  <c r="AC495"/>
  <c r="AB495"/>
  <c r="AH494"/>
  <c r="AG494"/>
  <c r="AF494"/>
  <c r="AE494"/>
  <c r="AD494"/>
  <c r="AC494"/>
  <c r="AB494"/>
  <c r="AH493"/>
  <c r="AG493"/>
  <c r="AF493"/>
  <c r="AE493"/>
  <c r="AD493"/>
  <c r="AC493"/>
  <c r="AB493"/>
  <c r="AH492"/>
  <c r="AG492"/>
  <c r="AF492"/>
  <c r="AE492"/>
  <c r="AD492"/>
  <c r="AC492"/>
  <c r="AB492"/>
  <c r="AH491"/>
  <c r="AG491"/>
  <c r="AF491"/>
  <c r="AE491"/>
  <c r="AD491"/>
  <c r="AC491"/>
  <c r="AB491"/>
  <c r="AH490"/>
  <c r="AG490"/>
  <c r="AF490"/>
  <c r="AE490"/>
  <c r="AD490"/>
  <c r="AC490"/>
  <c r="AB490"/>
  <c r="AH489"/>
  <c r="AG489"/>
  <c r="AF489"/>
  <c r="AE489"/>
  <c r="AD489"/>
  <c r="AC489"/>
  <c r="AB489"/>
  <c r="AH488"/>
  <c r="AG488"/>
  <c r="AF488"/>
  <c r="AE488"/>
  <c r="AD488"/>
  <c r="AC488"/>
  <c r="AB488"/>
  <c r="AH487"/>
  <c r="AG487"/>
  <c r="AF487"/>
  <c r="AE487"/>
  <c r="AD487"/>
  <c r="AC487"/>
  <c r="AB487"/>
  <c r="AH486"/>
  <c r="AG486"/>
  <c r="AF486"/>
  <c r="AE486"/>
  <c r="AD486"/>
  <c r="AC486"/>
  <c r="AB486"/>
  <c r="AH485"/>
  <c r="AG485"/>
  <c r="AF485"/>
  <c r="AE485"/>
  <c r="AD485"/>
  <c r="AC485"/>
  <c r="AB485"/>
  <c r="AH484"/>
  <c r="AG484"/>
  <c r="AF484"/>
  <c r="AE484"/>
  <c r="AD484"/>
  <c r="AC484"/>
  <c r="AB484"/>
  <c r="AH483"/>
  <c r="AG483"/>
  <c r="AF483"/>
  <c r="AE483"/>
  <c r="AD483"/>
  <c r="AC483"/>
  <c r="AB483"/>
  <c r="AH482"/>
  <c r="AG482"/>
  <c r="AF482"/>
  <c r="AE482"/>
  <c r="AD482"/>
  <c r="AC482"/>
  <c r="AB482"/>
  <c r="AH481"/>
  <c r="AG481"/>
  <c r="AF481"/>
  <c r="AE481"/>
  <c r="AD481"/>
  <c r="AC481"/>
  <c r="AB481"/>
  <c r="AH480"/>
  <c r="AG480"/>
  <c r="AF480"/>
  <c r="AE480"/>
  <c r="AD480"/>
  <c r="AC480"/>
  <c r="AB480"/>
  <c r="AH479"/>
  <c r="AG479"/>
  <c r="AF479"/>
  <c r="AE479"/>
  <c r="AD479"/>
  <c r="AC479"/>
  <c r="AB479"/>
  <c r="AH478"/>
  <c r="AG478"/>
  <c r="AF478"/>
  <c r="AE478"/>
  <c r="AD478"/>
  <c r="AC478"/>
  <c r="AB478"/>
  <c r="AH477"/>
  <c r="AG477"/>
  <c r="AF477"/>
  <c r="AE477"/>
  <c r="AD477"/>
  <c r="AC477"/>
  <c r="AB477"/>
  <c r="AH476"/>
  <c r="AG476"/>
  <c r="AF476"/>
  <c r="AE476"/>
  <c r="AD476"/>
  <c r="AC476"/>
  <c r="AB476"/>
  <c r="AH475"/>
  <c r="AG475"/>
  <c r="AF475"/>
  <c r="AE475"/>
  <c r="AD475"/>
  <c r="AC475"/>
  <c r="AB475"/>
  <c r="AH474"/>
  <c r="AG474"/>
  <c r="AF474"/>
  <c r="AE474"/>
  <c r="AD474"/>
  <c r="AC474"/>
  <c r="AB474"/>
  <c r="AH473"/>
  <c r="AG473"/>
  <c r="AF473"/>
  <c r="AE473"/>
  <c r="AD473"/>
  <c r="AC473"/>
  <c r="AB473"/>
  <c r="AH472"/>
  <c r="AG472"/>
  <c r="AF472"/>
  <c r="AE472"/>
  <c r="AD472"/>
  <c r="AC472"/>
  <c r="AB472"/>
  <c r="AH471"/>
  <c r="AG471"/>
  <c r="AF471"/>
  <c r="AE471"/>
  <c r="AD471"/>
  <c r="AC471"/>
  <c r="AB471"/>
  <c r="AH470"/>
  <c r="AG470"/>
  <c r="AF470"/>
  <c r="AE470"/>
  <c r="AD470"/>
  <c r="AC470"/>
  <c r="AB470"/>
  <c r="AH469"/>
  <c r="AG469"/>
  <c r="AF469"/>
  <c r="AE469"/>
  <c r="AD469"/>
  <c r="AC469"/>
  <c r="AB469"/>
  <c r="AH468"/>
  <c r="AG468"/>
  <c r="AF468"/>
  <c r="AE468"/>
  <c r="AD468"/>
  <c r="AC468"/>
  <c r="AB468"/>
  <c r="AH467"/>
  <c r="AG467"/>
  <c r="AF467"/>
  <c r="AE467"/>
  <c r="AD467"/>
  <c r="AC467"/>
  <c r="AB467"/>
  <c r="AH466"/>
  <c r="AG466"/>
  <c r="AF466"/>
  <c r="AE466"/>
  <c r="AD466"/>
  <c r="AC466"/>
  <c r="AB466"/>
  <c r="AH465"/>
  <c r="AG465"/>
  <c r="AF465"/>
  <c r="AE465"/>
  <c r="AD465"/>
  <c r="AC465"/>
  <c r="AB465"/>
  <c r="AH464"/>
  <c r="AG464"/>
  <c r="AF464"/>
  <c r="AE464"/>
  <c r="AD464"/>
  <c r="AC464"/>
  <c r="AB464"/>
  <c r="AH463"/>
  <c r="AG463"/>
  <c r="AF463"/>
  <c r="AE463"/>
  <c r="AD463"/>
  <c r="AC463"/>
  <c r="AB463"/>
  <c r="AH462"/>
  <c r="AG462"/>
  <c r="AF462"/>
  <c r="AE462"/>
  <c r="AD462"/>
  <c r="AC462"/>
  <c r="AB462"/>
  <c r="AH461"/>
  <c r="AG461"/>
  <c r="AF461"/>
  <c r="AE461"/>
  <c r="AD461"/>
  <c r="AC461"/>
  <c r="AB461"/>
  <c r="AH460"/>
  <c r="AG460"/>
  <c r="AF460"/>
  <c r="AE460"/>
  <c r="AD460"/>
  <c r="AC460"/>
  <c r="AB460"/>
  <c r="AH459"/>
  <c r="AG459"/>
  <c r="AF459"/>
  <c r="AE459"/>
  <c r="AD459"/>
  <c r="AC459"/>
  <c r="AB459"/>
  <c r="AH458"/>
  <c r="AG458"/>
  <c r="AF458"/>
  <c r="AE458"/>
  <c r="AD458"/>
  <c r="AC458"/>
  <c r="AB458"/>
  <c r="AH457"/>
  <c r="AG457"/>
  <c r="AF457"/>
  <c r="AE457"/>
  <c r="AD457"/>
  <c r="AC457"/>
  <c r="AB457"/>
  <c r="AH456"/>
  <c r="AG456"/>
  <c r="AF456"/>
  <c r="AE456"/>
  <c r="AD456"/>
  <c r="AC456"/>
  <c r="AB456"/>
  <c r="AH455"/>
  <c r="AG455"/>
  <c r="AF455"/>
  <c r="AE455"/>
  <c r="AD455"/>
  <c r="AC455"/>
  <c r="AB455"/>
  <c r="AH454"/>
  <c r="AG454"/>
  <c r="AF454"/>
  <c r="AE454"/>
  <c r="AD454"/>
  <c r="AC454"/>
  <c r="AB454"/>
  <c r="AH453"/>
  <c r="AG453"/>
  <c r="AF453"/>
  <c r="AE453"/>
  <c r="AD453"/>
  <c r="AC453"/>
  <c r="AB453"/>
  <c r="AH452"/>
  <c r="AG452"/>
  <c r="AF452"/>
  <c r="AE452"/>
  <c r="AD452"/>
  <c r="AC452"/>
  <c r="AB452"/>
  <c r="AH451"/>
  <c r="AG451"/>
  <c r="AF451"/>
  <c r="AE451"/>
  <c r="AD451"/>
  <c r="AC451"/>
  <c r="AB451"/>
  <c r="AH450"/>
  <c r="AG450"/>
  <c r="AF450"/>
  <c r="AE450"/>
  <c r="AD450"/>
  <c r="AC450"/>
  <c r="AB450"/>
  <c r="AH449"/>
  <c r="AG449"/>
  <c r="AF449"/>
  <c r="AE449"/>
  <c r="AD449"/>
  <c r="AC449"/>
  <c r="AB449"/>
  <c r="AH448"/>
  <c r="AG448"/>
  <c r="AF448"/>
  <c r="AE448"/>
  <c r="AD448"/>
  <c r="AC448"/>
  <c r="AB448"/>
  <c r="AH447"/>
  <c r="AG447"/>
  <c r="AF447"/>
  <c r="AE447"/>
  <c r="AD447"/>
  <c r="AC447"/>
  <c r="AB447"/>
  <c r="AH446"/>
  <c r="AG446"/>
  <c r="AF446"/>
  <c r="AE446"/>
  <c r="AD446"/>
  <c r="AC446"/>
  <c r="AB446"/>
  <c r="AH445"/>
  <c r="AG445"/>
  <c r="AF445"/>
  <c r="AE445"/>
  <c r="AD445"/>
  <c r="AC445"/>
  <c r="AB445"/>
  <c r="AH444"/>
  <c r="AG444"/>
  <c r="AF444"/>
  <c r="AE444"/>
  <c r="AD444"/>
  <c r="AC444"/>
  <c r="AB444"/>
  <c r="AH443"/>
  <c r="AG443"/>
  <c r="AF443"/>
  <c r="AE443"/>
  <c r="AD443"/>
  <c r="AC443"/>
  <c r="AB443"/>
  <c r="AH442"/>
  <c r="AG442"/>
  <c r="AF442"/>
  <c r="AE442"/>
  <c r="AD442"/>
  <c r="AC442"/>
  <c r="AB442"/>
  <c r="AH441"/>
  <c r="AG441"/>
  <c r="AF441"/>
  <c r="AE441"/>
  <c r="AD441"/>
  <c r="AC441"/>
  <c r="AB441"/>
  <c r="AH440"/>
  <c r="AG440"/>
  <c r="AF440"/>
  <c r="AE440"/>
  <c r="AD440"/>
  <c r="AC440"/>
  <c r="AB440"/>
  <c r="AH439"/>
  <c r="AG439"/>
  <c r="AF439"/>
  <c r="AE439"/>
  <c r="AD439"/>
  <c r="AC439"/>
  <c r="AB439"/>
  <c r="AH438"/>
  <c r="AG438"/>
  <c r="AF438"/>
  <c r="AE438"/>
  <c r="AD438"/>
  <c r="AC438"/>
  <c r="AB438"/>
  <c r="AH437"/>
  <c r="AG437"/>
  <c r="AF437"/>
  <c r="AE437"/>
  <c r="AD437"/>
  <c r="AC437"/>
  <c r="AB437"/>
  <c r="AH436"/>
  <c r="AG436"/>
  <c r="AF436"/>
  <c r="AE436"/>
  <c r="AD436"/>
  <c r="AC436"/>
  <c r="AB436"/>
  <c r="AH435"/>
  <c r="AG435"/>
  <c r="AF435"/>
  <c r="AE435"/>
  <c r="AD435"/>
  <c r="AC435"/>
  <c r="AB435"/>
  <c r="AH434"/>
  <c r="AG434"/>
  <c r="AF434"/>
  <c r="AE434"/>
  <c r="AD434"/>
  <c r="AC434"/>
  <c r="AB434"/>
  <c r="AH433"/>
  <c r="AG433"/>
  <c r="AF433"/>
  <c r="AE433"/>
  <c r="AD433"/>
  <c r="AC433"/>
  <c r="AB433"/>
  <c r="AH432"/>
  <c r="AG432"/>
  <c r="AF432"/>
  <c r="AE432"/>
  <c r="AD432"/>
  <c r="AC432"/>
  <c r="AB432"/>
  <c r="AH431"/>
  <c r="AG431"/>
  <c r="AF431"/>
  <c r="AE431"/>
  <c r="AD431"/>
  <c r="AC431"/>
  <c r="AB431"/>
  <c r="AH430"/>
  <c r="AG430"/>
  <c r="AF430"/>
  <c r="AE430"/>
  <c r="AD430"/>
  <c r="AC430"/>
  <c r="AB430"/>
  <c r="AH429"/>
  <c r="AG429"/>
  <c r="AF429"/>
  <c r="AE429"/>
  <c r="AD429"/>
  <c r="AC429"/>
  <c r="AB429"/>
  <c r="AH428"/>
  <c r="AG428"/>
  <c r="AF428"/>
  <c r="AE428"/>
  <c r="AD428"/>
  <c r="AC428"/>
  <c r="AB428"/>
  <c r="AH427"/>
  <c r="AG427"/>
  <c r="AF427"/>
  <c r="AE427"/>
  <c r="AD427"/>
  <c r="AC427"/>
  <c r="AB427"/>
  <c r="AH426"/>
  <c r="AG426"/>
  <c r="AF426"/>
  <c r="AE426"/>
  <c r="AD426"/>
  <c r="AC426"/>
  <c r="AB426"/>
  <c r="AH425"/>
  <c r="AG425"/>
  <c r="AF425"/>
  <c r="AE425"/>
  <c r="AD425"/>
  <c r="AC425"/>
  <c r="AB425"/>
  <c r="AH424"/>
  <c r="AG424"/>
  <c r="AF424"/>
  <c r="AE424"/>
  <c r="AD424"/>
  <c r="AC424"/>
  <c r="AB424"/>
  <c r="AH423"/>
  <c r="AG423"/>
  <c r="AF423"/>
  <c r="AE423"/>
  <c r="AD423"/>
  <c r="AC423"/>
  <c r="AB423"/>
  <c r="AH422"/>
  <c r="AG422"/>
  <c r="AF422"/>
  <c r="AE422"/>
  <c r="AD422"/>
  <c r="AC422"/>
  <c r="AB422"/>
  <c r="AH421"/>
  <c r="AG421"/>
  <c r="AF421"/>
  <c r="AE421"/>
  <c r="AD421"/>
  <c r="AC421"/>
  <c r="AB421"/>
  <c r="AH420"/>
  <c r="AG420"/>
  <c r="AF420"/>
  <c r="AE420"/>
  <c r="AD420"/>
  <c r="AC420"/>
  <c r="AB420"/>
  <c r="AH419"/>
  <c r="AG419"/>
  <c r="AF419"/>
  <c r="AE419"/>
  <c r="AD419"/>
  <c r="AC419"/>
  <c r="AB419"/>
  <c r="AH418"/>
  <c r="AG418"/>
  <c r="AF418"/>
  <c r="AE418"/>
  <c r="AD418"/>
  <c r="AC418"/>
  <c r="AB418"/>
  <c r="AH417"/>
  <c r="AG417"/>
  <c r="AF417"/>
  <c r="AE417"/>
  <c r="AD417"/>
  <c r="AC417"/>
  <c r="AB417"/>
  <c r="AH416"/>
  <c r="AG416"/>
  <c r="AF416"/>
  <c r="AE416"/>
  <c r="AD416"/>
  <c r="AC416"/>
  <c r="AB416"/>
  <c r="AH415"/>
  <c r="AG415"/>
  <c r="AF415"/>
  <c r="AE415"/>
  <c r="AD415"/>
  <c r="AC415"/>
  <c r="AB415"/>
  <c r="AH414"/>
  <c r="AG414"/>
  <c r="AF414"/>
  <c r="AE414"/>
  <c r="AD414"/>
  <c r="AC414"/>
  <c r="AB414"/>
  <c r="AH413"/>
  <c r="AG413"/>
  <c r="AF413"/>
  <c r="AE413"/>
  <c r="AD413"/>
  <c r="AC413"/>
  <c r="AB413"/>
  <c r="AH412"/>
  <c r="AG412"/>
  <c r="AF412"/>
  <c r="AE412"/>
  <c r="AD412"/>
  <c r="AC412"/>
  <c r="AB412"/>
  <c r="AH411"/>
  <c r="AG411"/>
  <c r="AF411"/>
  <c r="AE411"/>
  <c r="AD411"/>
  <c r="AC411"/>
  <c r="AB411"/>
  <c r="AH410"/>
  <c r="AG410"/>
  <c r="AF410"/>
  <c r="AE410"/>
  <c r="AD410"/>
  <c r="AC410"/>
  <c r="AB410"/>
  <c r="AH409"/>
  <c r="AG409"/>
  <c r="AF409"/>
  <c r="AE409"/>
  <c r="AD409"/>
  <c r="AC409"/>
  <c r="AB409"/>
  <c r="AH408"/>
  <c r="AG408"/>
  <c r="AF408"/>
  <c r="AE408"/>
  <c r="AD408"/>
  <c r="AC408"/>
  <c r="AB408"/>
  <c r="AH407"/>
  <c r="AG407"/>
  <c r="AF407"/>
  <c r="AE407"/>
  <c r="AD407"/>
  <c r="AC407"/>
  <c r="AB407"/>
  <c r="AH406"/>
  <c r="AG406"/>
  <c r="AF406"/>
  <c r="AE406"/>
  <c r="AD406"/>
  <c r="AC406"/>
  <c r="AB406"/>
  <c r="AH405"/>
  <c r="AG405"/>
  <c r="AF405"/>
  <c r="AE405"/>
  <c r="AD405"/>
  <c r="AC405"/>
  <c r="AB405"/>
  <c r="AH404"/>
  <c r="AG404"/>
  <c r="AF404"/>
  <c r="AE404"/>
  <c r="AD404"/>
  <c r="AC404"/>
  <c r="AB404"/>
  <c r="AH403"/>
  <c r="AG403"/>
  <c r="AF403"/>
  <c r="AE403"/>
  <c r="AD403"/>
  <c r="AC403"/>
  <c r="AB403"/>
  <c r="AH402"/>
  <c r="AG402"/>
  <c r="AF402"/>
  <c r="AE402"/>
  <c r="AD402"/>
  <c r="AC402"/>
  <c r="AB402"/>
  <c r="AH401"/>
  <c r="AG401"/>
  <c r="AF401"/>
  <c r="AE401"/>
  <c r="AD401"/>
  <c r="AC401"/>
  <c r="AB401"/>
  <c r="AH400"/>
  <c r="AG400"/>
  <c r="AF400"/>
  <c r="AE400"/>
  <c r="AD400"/>
  <c r="AC400"/>
  <c r="AB400"/>
  <c r="AH399"/>
  <c r="AG399"/>
  <c r="AF399"/>
  <c r="AE399"/>
  <c r="AD399"/>
  <c r="AC399"/>
  <c r="AB399"/>
  <c r="AH398"/>
  <c r="AG398"/>
  <c r="AF398"/>
  <c r="AE398"/>
  <c r="AD398"/>
  <c r="AC398"/>
  <c r="AB398"/>
  <c r="AH397"/>
  <c r="AG397"/>
  <c r="AF397"/>
  <c r="AE397"/>
  <c r="AD397"/>
  <c r="AC397"/>
  <c r="AB397"/>
  <c r="AH396"/>
  <c r="AG396"/>
  <c r="AF396"/>
  <c r="AE396"/>
  <c r="AD396"/>
  <c r="AC396"/>
  <c r="AB396"/>
  <c r="AH395"/>
  <c r="AG395"/>
  <c r="AF395"/>
  <c r="AE395"/>
  <c r="AD395"/>
  <c r="AC395"/>
  <c r="AB395"/>
  <c r="AH394"/>
  <c r="AG394"/>
  <c r="AF394"/>
  <c r="AE394"/>
  <c r="AD394"/>
  <c r="AC394"/>
  <c r="AB394"/>
  <c r="AH393"/>
  <c r="AG393"/>
  <c r="AF393"/>
  <c r="AE393"/>
  <c r="AD393"/>
  <c r="AC393"/>
  <c r="AB393"/>
  <c r="AH392"/>
  <c r="AG392"/>
  <c r="AF392"/>
  <c r="AE392"/>
  <c r="AD392"/>
  <c r="AC392"/>
  <c r="AB392"/>
  <c r="AH391"/>
  <c r="AG391"/>
  <c r="AF391"/>
  <c r="AE391"/>
  <c r="AD391"/>
  <c r="AC391"/>
  <c r="AB391"/>
  <c r="AH390"/>
  <c r="AG390"/>
  <c r="AF390"/>
  <c r="AE390"/>
  <c r="AD390"/>
  <c r="AC390"/>
  <c r="AB390"/>
  <c r="AH389"/>
  <c r="AG389"/>
  <c r="AF389"/>
  <c r="AE389"/>
  <c r="AD389"/>
  <c r="AC389"/>
  <c r="AB389"/>
  <c r="AH388"/>
  <c r="AG388"/>
  <c r="AF388"/>
  <c r="AE388"/>
  <c r="AD388"/>
  <c r="AC388"/>
  <c r="AB388"/>
  <c r="AH387"/>
  <c r="AG387"/>
  <c r="AF387"/>
  <c r="AE387"/>
  <c r="AD387"/>
  <c r="AC387"/>
  <c r="AB387"/>
  <c r="AH386"/>
  <c r="AG386"/>
  <c r="AF386"/>
  <c r="AE386"/>
  <c r="AD386"/>
  <c r="AC386"/>
  <c r="AB386"/>
  <c r="AH385"/>
  <c r="AG385"/>
  <c r="AF385"/>
  <c r="AE385"/>
  <c r="AD385"/>
  <c r="AC385"/>
  <c r="AB385"/>
  <c r="AH384"/>
  <c r="AG384"/>
  <c r="AF384"/>
  <c r="AE384"/>
  <c r="AD384"/>
  <c r="AC384"/>
  <c r="AB384"/>
  <c r="AH383"/>
  <c r="AG383"/>
  <c r="AF383"/>
  <c r="AE383"/>
  <c r="AD383"/>
  <c r="AC383"/>
  <c r="AB383"/>
  <c r="AH382"/>
  <c r="AG382"/>
  <c r="AF382"/>
  <c r="AE382"/>
  <c r="AD382"/>
  <c r="AC382"/>
  <c r="AB382"/>
  <c r="AH381"/>
  <c r="AG381"/>
  <c r="AF381"/>
  <c r="AE381"/>
  <c r="AD381"/>
  <c r="AC381"/>
  <c r="AB381"/>
  <c r="AH380"/>
  <c r="AG380"/>
  <c r="AF380"/>
  <c r="AE380"/>
  <c r="AD380"/>
  <c r="AC380"/>
  <c r="AB380"/>
  <c r="AH379"/>
  <c r="AG379"/>
  <c r="AF379"/>
  <c r="AE379"/>
  <c r="AD379"/>
  <c r="AC379"/>
  <c r="AB379"/>
  <c r="AH378"/>
  <c r="AG378"/>
  <c r="AF378"/>
  <c r="AE378"/>
  <c r="AD378"/>
  <c r="AC378"/>
  <c r="AB378"/>
  <c r="AH377"/>
  <c r="AG377"/>
  <c r="AF377"/>
  <c r="AE377"/>
  <c r="AD377"/>
  <c r="AC377"/>
  <c r="AB377"/>
  <c r="AH376"/>
  <c r="AG376"/>
  <c r="AF376"/>
  <c r="AE376"/>
  <c r="AD376"/>
  <c r="AC376"/>
  <c r="AB376"/>
  <c r="AH375"/>
  <c r="AG375"/>
  <c r="AF375"/>
  <c r="AE375"/>
  <c r="AD375"/>
  <c r="AC375"/>
  <c r="AB375"/>
  <c r="AH374"/>
  <c r="AG374"/>
  <c r="AF374"/>
  <c r="AE374"/>
  <c r="AD374"/>
  <c r="AC374"/>
  <c r="AB374"/>
  <c r="AH373"/>
  <c r="AG373"/>
  <c r="AF373"/>
  <c r="AE373"/>
  <c r="AD373"/>
  <c r="AC373"/>
  <c r="AB373"/>
  <c r="AH372"/>
  <c r="AG372"/>
  <c r="AF372"/>
  <c r="AE372"/>
  <c r="AD372"/>
  <c r="AC372"/>
  <c r="AB372"/>
  <c r="AH371"/>
  <c r="AG371"/>
  <c r="AF371"/>
  <c r="AE371"/>
  <c r="AD371"/>
  <c r="AC371"/>
  <c r="AB371"/>
  <c r="AH370"/>
  <c r="AG370"/>
  <c r="AF370"/>
  <c r="AE370"/>
  <c r="AD370"/>
  <c r="AC370"/>
  <c r="AB370"/>
  <c r="AH369"/>
  <c r="AG369"/>
  <c r="AF369"/>
  <c r="AE369"/>
  <c r="AD369"/>
  <c r="AC369"/>
  <c r="AB369"/>
  <c r="AH368"/>
  <c r="AG368"/>
  <c r="AF368"/>
  <c r="AE368"/>
  <c r="AD368"/>
  <c r="AC368"/>
  <c r="AB368"/>
  <c r="AH367"/>
  <c r="AG367"/>
  <c r="AF367"/>
  <c r="AE367"/>
  <c r="AD367"/>
  <c r="AC367"/>
  <c r="AB367"/>
  <c r="AH366"/>
  <c r="AG366"/>
  <c r="AF366"/>
  <c r="AE366"/>
  <c r="AD366"/>
  <c r="AC366"/>
  <c r="AB366"/>
  <c r="AH365"/>
  <c r="AG365"/>
  <c r="AF365"/>
  <c r="AE365"/>
  <c r="AD365"/>
  <c r="AC365"/>
  <c r="AB365"/>
  <c r="AH364"/>
  <c r="AG364"/>
  <c r="AF364"/>
  <c r="AE364"/>
  <c r="AD364"/>
  <c r="AC364"/>
  <c r="AB364"/>
  <c r="AH363"/>
  <c r="AG363"/>
  <c r="AF363"/>
  <c r="AE363"/>
  <c r="AD363"/>
  <c r="AC363"/>
  <c r="AB363"/>
  <c r="AH362"/>
  <c r="AG362"/>
  <c r="AF362"/>
  <c r="AE362"/>
  <c r="AD362"/>
  <c r="AC362"/>
  <c r="AB362"/>
  <c r="AH361"/>
  <c r="AG361"/>
  <c r="AF361"/>
  <c r="AE361"/>
  <c r="AD361"/>
  <c r="AC361"/>
  <c r="AB361"/>
  <c r="AH360"/>
  <c r="AG360"/>
  <c r="AF360"/>
  <c r="AE360"/>
  <c r="AD360"/>
  <c r="AC360"/>
  <c r="AB360"/>
  <c r="AH359"/>
  <c r="AG359"/>
  <c r="AF359"/>
  <c r="AE359"/>
  <c r="AD359"/>
  <c r="AC359"/>
  <c r="AB359"/>
  <c r="AH358"/>
  <c r="AG358"/>
  <c r="AF358"/>
  <c r="AE358"/>
  <c r="AD358"/>
  <c r="AC358"/>
  <c r="AB358"/>
  <c r="AH357"/>
  <c r="AG357"/>
  <c r="AF357"/>
  <c r="AE357"/>
  <c r="AD357"/>
  <c r="AC357"/>
  <c r="AB357"/>
  <c r="AH356"/>
  <c r="AG356"/>
  <c r="AF356"/>
  <c r="AE356"/>
  <c r="AD356"/>
  <c r="AC356"/>
  <c r="AB356"/>
  <c r="AH355"/>
  <c r="AG355"/>
  <c r="AF355"/>
  <c r="AE355"/>
  <c r="AD355"/>
  <c r="AC355"/>
  <c r="AB355"/>
  <c r="AH354"/>
  <c r="AG354"/>
  <c r="AF354"/>
  <c r="AE354"/>
  <c r="AD354"/>
  <c r="AC354"/>
  <c r="AB354"/>
  <c r="AH353"/>
  <c r="AG353"/>
  <c r="AF353"/>
  <c r="AE353"/>
  <c r="AD353"/>
  <c r="AC353"/>
  <c r="AB353"/>
  <c r="AH352"/>
  <c r="AG352"/>
  <c r="AF352"/>
  <c r="AE352"/>
  <c r="AD352"/>
  <c r="AC352"/>
  <c r="AB352"/>
  <c r="AH351"/>
  <c r="AG351"/>
  <c r="AF351"/>
  <c r="AE351"/>
  <c r="AD351"/>
  <c r="AC351"/>
  <c r="AB351"/>
  <c r="AH350"/>
  <c r="AG350"/>
  <c r="AF350"/>
  <c r="AE350"/>
  <c r="AD350"/>
  <c r="AC350"/>
  <c r="AB350"/>
  <c r="AH349"/>
  <c r="AG349"/>
  <c r="AF349"/>
  <c r="AE349"/>
  <c r="AD349"/>
  <c r="AC349"/>
  <c r="AB349"/>
  <c r="AH348"/>
  <c r="AG348"/>
  <c r="AF348"/>
  <c r="AE348"/>
  <c r="AD348"/>
  <c r="AC348"/>
  <c r="AB348"/>
  <c r="AH347"/>
  <c r="AG347"/>
  <c r="AF347"/>
  <c r="AE347"/>
  <c r="AD347"/>
  <c r="AC347"/>
  <c r="AB347"/>
  <c r="AH346"/>
  <c r="AG346"/>
  <c r="AF346"/>
  <c r="AE346"/>
  <c r="AD346"/>
  <c r="AC346"/>
  <c r="AB346"/>
  <c r="AH345"/>
  <c r="AG345"/>
  <c r="AF345"/>
  <c r="AE345"/>
  <c r="AD345"/>
  <c r="AC345"/>
  <c r="AB345"/>
  <c r="AH344"/>
  <c r="AG344"/>
  <c r="AF344"/>
  <c r="AE344"/>
  <c r="AD344"/>
  <c r="AC344"/>
  <c r="AB344"/>
  <c r="AH343"/>
  <c r="AG343"/>
  <c r="AF343"/>
  <c r="AE343"/>
  <c r="AD343"/>
  <c r="AC343"/>
  <c r="AB343"/>
  <c r="AH342"/>
  <c r="AG342"/>
  <c r="AF342"/>
  <c r="AE342"/>
  <c r="AD342"/>
  <c r="AC342"/>
  <c r="AB342"/>
  <c r="AH341"/>
  <c r="AG341"/>
  <c r="AF341"/>
  <c r="AE341"/>
  <c r="AD341"/>
  <c r="AC341"/>
  <c r="AB341"/>
  <c r="AH340"/>
  <c r="AG340"/>
  <c r="AF340"/>
  <c r="AE340"/>
  <c r="AD340"/>
  <c r="AC340"/>
  <c r="AB340"/>
  <c r="AH339"/>
  <c r="AG339"/>
  <c r="AF339"/>
  <c r="AE339"/>
  <c r="AD339"/>
  <c r="AC339"/>
  <c r="AB339"/>
  <c r="AH338"/>
  <c r="AG338"/>
  <c r="AF338"/>
  <c r="AE338"/>
  <c r="AD338"/>
  <c r="AC338"/>
  <c r="AB338"/>
  <c r="AH337"/>
  <c r="AG337"/>
  <c r="AF337"/>
  <c r="AE337"/>
  <c r="AD337"/>
  <c r="AC337"/>
  <c r="AB337"/>
  <c r="AH336"/>
  <c r="AG336"/>
  <c r="AF336"/>
  <c r="AE336"/>
  <c r="AD336"/>
  <c r="AC336"/>
  <c r="AB336"/>
  <c r="AH335"/>
  <c r="AG335"/>
  <c r="AF335"/>
  <c r="AE335"/>
  <c r="AD335"/>
  <c r="AC335"/>
  <c r="AB335"/>
  <c r="AH334"/>
  <c r="AG334"/>
  <c r="AF334"/>
  <c r="AE334"/>
  <c r="AD334"/>
  <c r="AC334"/>
  <c r="AB334"/>
  <c r="AH333"/>
  <c r="AG333"/>
  <c r="AF333"/>
  <c r="AE333"/>
  <c r="AD333"/>
  <c r="AC333"/>
  <c r="AB333"/>
  <c r="AH332"/>
  <c r="AG332"/>
  <c r="AF332"/>
  <c r="AE332"/>
  <c r="AD332"/>
  <c r="AC332"/>
  <c r="AB332"/>
  <c r="AH331"/>
  <c r="AG331"/>
  <c r="AF331"/>
  <c r="AE331"/>
  <c r="AD331"/>
  <c r="AC331"/>
  <c r="AB331"/>
  <c r="AH330"/>
  <c r="AG330"/>
  <c r="AF330"/>
  <c r="AE330"/>
  <c r="AD330"/>
  <c r="AC330"/>
  <c r="AB330"/>
  <c r="AH329"/>
  <c r="AG329"/>
  <c r="AF329"/>
  <c r="AE329"/>
  <c r="AD329"/>
  <c r="AC329"/>
  <c r="AB329"/>
  <c r="AH328"/>
  <c r="AG328"/>
  <c r="AF328"/>
  <c r="AE328"/>
  <c r="AD328"/>
  <c r="AC328"/>
  <c r="AB328"/>
  <c r="AH327"/>
  <c r="AG327"/>
  <c r="AF327"/>
  <c r="AE327"/>
  <c r="AD327"/>
  <c r="AC327"/>
  <c r="AB327"/>
  <c r="AH326"/>
  <c r="AG326"/>
  <c r="AF326"/>
  <c r="AE326"/>
  <c r="AD326"/>
  <c r="AC326"/>
  <c r="AB326"/>
  <c r="AH325"/>
  <c r="AG325"/>
  <c r="AF325"/>
  <c r="AE325"/>
  <c r="AD325"/>
  <c r="AC325"/>
  <c r="AB325"/>
  <c r="AH324"/>
  <c r="AG324"/>
  <c r="AF324"/>
  <c r="AE324"/>
  <c r="AD324"/>
  <c r="AC324"/>
  <c r="AB324"/>
  <c r="AH323"/>
  <c r="AG323"/>
  <c r="AF323"/>
  <c r="AE323"/>
  <c r="AD323"/>
  <c r="AC323"/>
  <c r="AB323"/>
  <c r="AH322"/>
  <c r="AG322"/>
  <c r="AF322"/>
  <c r="AE322"/>
  <c r="AD322"/>
  <c r="AC322"/>
  <c r="AB322"/>
  <c r="AH321"/>
  <c r="AG321"/>
  <c r="AF321"/>
  <c r="AE321"/>
  <c r="AD321"/>
  <c r="AC321"/>
  <c r="AB321"/>
  <c r="AH320"/>
  <c r="AG320"/>
  <c r="AF320"/>
  <c r="AE320"/>
  <c r="AD320"/>
  <c r="AC320"/>
  <c r="AB320"/>
  <c r="AH319"/>
  <c r="AG319"/>
  <c r="AF319"/>
  <c r="AE319"/>
  <c r="AD319"/>
  <c r="AC319"/>
  <c r="AB319"/>
  <c r="AH318"/>
  <c r="AG318"/>
  <c r="AF318"/>
  <c r="AE318"/>
  <c r="AD318"/>
  <c r="AC318"/>
  <c r="AB318"/>
  <c r="AH317"/>
  <c r="AG317"/>
  <c r="AF317"/>
  <c r="AE317"/>
  <c r="AD317"/>
  <c r="AC317"/>
  <c r="AB317"/>
  <c r="AH316"/>
  <c r="AG316"/>
  <c r="AF316"/>
  <c r="AE316"/>
  <c r="AD316"/>
  <c r="AC316"/>
  <c r="AB316"/>
  <c r="AH315"/>
  <c r="AG315"/>
  <c r="AF315"/>
  <c r="AE315"/>
  <c r="AD315"/>
  <c r="AC315"/>
  <c r="AB315"/>
  <c r="AH314"/>
  <c r="AG314"/>
  <c r="AF314"/>
  <c r="AE314"/>
  <c r="AD314"/>
  <c r="AC314"/>
  <c r="AB314"/>
  <c r="AH313"/>
  <c r="AG313"/>
  <c r="AF313"/>
  <c r="AE313"/>
  <c r="AD313"/>
  <c r="AC313"/>
  <c r="AB313"/>
  <c r="AH312"/>
  <c r="AG312"/>
  <c r="AF312"/>
  <c r="AE312"/>
  <c r="AD312"/>
  <c r="AC312"/>
  <c r="AB312"/>
  <c r="AH311"/>
  <c r="AG311"/>
  <c r="AF311"/>
  <c r="AE311"/>
  <c r="AD311"/>
  <c r="AC311"/>
  <c r="AB311"/>
  <c r="AH310"/>
  <c r="AG310"/>
  <c r="AF310"/>
  <c r="AE310"/>
  <c r="AD310"/>
  <c r="AC310"/>
  <c r="AB310"/>
  <c r="AH309"/>
  <c r="AG309"/>
  <c r="AF309"/>
  <c r="AE309"/>
  <c r="AD309"/>
  <c r="AC309"/>
  <c r="AB309"/>
  <c r="AH308"/>
  <c r="AG308"/>
  <c r="AF308"/>
  <c r="AE308"/>
  <c r="AD308"/>
  <c r="AC308"/>
  <c r="AB308"/>
  <c r="AH307"/>
  <c r="AG307"/>
  <c r="AF307"/>
  <c r="AE307"/>
  <c r="AD307"/>
  <c r="AC307"/>
  <c r="AB307"/>
  <c r="AH306"/>
  <c r="AG306"/>
  <c r="AF306"/>
  <c r="AE306"/>
  <c r="AD306"/>
  <c r="AC306"/>
  <c r="AB306"/>
  <c r="AH305"/>
  <c r="AG305"/>
  <c r="AF305"/>
  <c r="AE305"/>
  <c r="AD305"/>
  <c r="AC305"/>
  <c r="AB305"/>
  <c r="AH304"/>
  <c r="AG304"/>
  <c r="AF304"/>
  <c r="AE304"/>
  <c r="AD304"/>
  <c r="AC304"/>
  <c r="AB304"/>
  <c r="AH303"/>
  <c r="AG303"/>
  <c r="AF303"/>
  <c r="AE303"/>
  <c r="AD303"/>
  <c r="AC303"/>
  <c r="AB303"/>
  <c r="AH302"/>
  <c r="AG302"/>
  <c r="AF302"/>
  <c r="AE302"/>
  <c r="AD302"/>
  <c r="AC302"/>
  <c r="AB302"/>
  <c r="AH301"/>
  <c r="AG301"/>
  <c r="AF301"/>
  <c r="AE301"/>
  <c r="AD301"/>
  <c r="AC301"/>
  <c r="AB301"/>
  <c r="AH300"/>
  <c r="AG300"/>
  <c r="AF300"/>
  <c r="AE300"/>
  <c r="AD300"/>
  <c r="AC300"/>
  <c r="AB300"/>
  <c r="AH299"/>
  <c r="AG299"/>
  <c r="AF299"/>
  <c r="AE299"/>
  <c r="AD299"/>
  <c r="AC299"/>
  <c r="AB299"/>
  <c r="AH298"/>
  <c r="AG298"/>
  <c r="AF298"/>
  <c r="AE298"/>
  <c r="AD298"/>
  <c r="AC298"/>
  <c r="AB298"/>
  <c r="AH297"/>
  <c r="AG297"/>
  <c r="AF297"/>
  <c r="AE297"/>
  <c r="AD297"/>
  <c r="AC297"/>
  <c r="AB297"/>
  <c r="AH296"/>
  <c r="AG296"/>
  <c r="AF296"/>
  <c r="AE296"/>
  <c r="AD296"/>
  <c r="AC296"/>
  <c r="AB296"/>
  <c r="AH295"/>
  <c r="AG295"/>
  <c r="AF295"/>
  <c r="AE295"/>
  <c r="AD295"/>
  <c r="AC295"/>
  <c r="AB295"/>
  <c r="AH294"/>
  <c r="AG294"/>
  <c r="AF294"/>
  <c r="AE294"/>
  <c r="AD294"/>
  <c r="AC294"/>
  <c r="AB294"/>
  <c r="AH293"/>
  <c r="AG293"/>
  <c r="AF293"/>
  <c r="AE293"/>
  <c r="AD293"/>
  <c r="AC293"/>
  <c r="AB293"/>
  <c r="AH292"/>
  <c r="AG292"/>
  <c r="AF292"/>
  <c r="AE292"/>
  <c r="AD292"/>
  <c r="AC292"/>
  <c r="AB292"/>
  <c r="AH291"/>
  <c r="AG291"/>
  <c r="AF291"/>
  <c r="AE291"/>
  <c r="AD291"/>
  <c r="AC291"/>
  <c r="AB291"/>
  <c r="AH290"/>
  <c r="AG290"/>
  <c r="AF290"/>
  <c r="AE290"/>
  <c r="AD290"/>
  <c r="AC290"/>
  <c r="AB290"/>
  <c r="AH289"/>
  <c r="AG289"/>
  <c r="AF289"/>
  <c r="AE289"/>
  <c r="AD289"/>
  <c r="AC289"/>
  <c r="AB289"/>
  <c r="AH288"/>
  <c r="AG288"/>
  <c r="AF288"/>
  <c r="AE288"/>
  <c r="AD288"/>
  <c r="AC288"/>
  <c r="AB288"/>
  <c r="AH287"/>
  <c r="AG287"/>
  <c r="AF287"/>
  <c r="AE287"/>
  <c r="AD287"/>
  <c r="AC287"/>
  <c r="AB287"/>
  <c r="AH286"/>
  <c r="AG286"/>
  <c r="AF286"/>
  <c r="AE286"/>
  <c r="AD286"/>
  <c r="AC286"/>
  <c r="AB286"/>
  <c r="AH285"/>
  <c r="AG285"/>
  <c r="AF285"/>
  <c r="AE285"/>
  <c r="AD285"/>
  <c r="AC285"/>
  <c r="AB285"/>
  <c r="AH284"/>
  <c r="AG284"/>
  <c r="AF284"/>
  <c r="AE284"/>
  <c r="AD284"/>
  <c r="AC284"/>
  <c r="AB284"/>
  <c r="AH283"/>
  <c r="AG283"/>
  <c r="AF283"/>
  <c r="AE283"/>
  <c r="AD283"/>
  <c r="AC283"/>
  <c r="AB283"/>
  <c r="AH282"/>
  <c r="AG282"/>
  <c r="AF282"/>
  <c r="AE282"/>
  <c r="AD282"/>
  <c r="AC282"/>
  <c r="AB282"/>
  <c r="AH281"/>
  <c r="AG281"/>
  <c r="AF281"/>
  <c r="AE281"/>
  <c r="AD281"/>
  <c r="AC281"/>
  <c r="AB281"/>
  <c r="AH280"/>
  <c r="AG280"/>
  <c r="AF280"/>
  <c r="AE280"/>
  <c r="AD280"/>
  <c r="AC280"/>
  <c r="AB280"/>
  <c r="AH279"/>
  <c r="AG279"/>
  <c r="AF279"/>
  <c r="AE279"/>
  <c r="AD279"/>
  <c r="AC279"/>
  <c r="AB279"/>
  <c r="AH278"/>
  <c r="AG278"/>
  <c r="AF278"/>
  <c r="AE278"/>
  <c r="AD278"/>
  <c r="AC278"/>
  <c r="AB278"/>
  <c r="AH277"/>
  <c r="AG277"/>
  <c r="AF277"/>
  <c r="AE277"/>
  <c r="AD277"/>
  <c r="AC277"/>
  <c r="AB277"/>
  <c r="AH276"/>
  <c r="AG276"/>
  <c r="AF276"/>
  <c r="AE276"/>
  <c r="AD276"/>
  <c r="AC276"/>
  <c r="AB276"/>
  <c r="AH275"/>
  <c r="AG275"/>
  <c r="AF275"/>
  <c r="AE275"/>
  <c r="AD275"/>
  <c r="AC275"/>
  <c r="AB275"/>
  <c r="AH274"/>
  <c r="AG274"/>
  <c r="AF274"/>
  <c r="AE274"/>
  <c r="AD274"/>
  <c r="AC274"/>
  <c r="AB274"/>
  <c r="AH273"/>
  <c r="AG273"/>
  <c r="AF273"/>
  <c r="AE273"/>
  <c r="AD273"/>
  <c r="AC273"/>
  <c r="AB273"/>
  <c r="AH272"/>
  <c r="AG272"/>
  <c r="AF272"/>
  <c r="AE272"/>
  <c r="AD272"/>
  <c r="AC272"/>
  <c r="AB272"/>
  <c r="AH271"/>
  <c r="AG271"/>
  <c r="AF271"/>
  <c r="AE271"/>
  <c r="AD271"/>
  <c r="AC271"/>
  <c r="AB271"/>
  <c r="AH270"/>
  <c r="AG270"/>
  <c r="AF270"/>
  <c r="AE270"/>
  <c r="AD270"/>
  <c r="AC270"/>
  <c r="AB270"/>
  <c r="AH269"/>
  <c r="AG269"/>
  <c r="AF269"/>
  <c r="AE269"/>
  <c r="AD269"/>
  <c r="AC269"/>
  <c r="AB269"/>
  <c r="AH268"/>
  <c r="AG268"/>
  <c r="AF268"/>
  <c r="AE268"/>
  <c r="AD268"/>
  <c r="AC268"/>
  <c r="AB268"/>
  <c r="AH267"/>
  <c r="AG267"/>
  <c r="AF267"/>
  <c r="AE267"/>
  <c r="AD267"/>
  <c r="AC267"/>
  <c r="AB267"/>
  <c r="AH266"/>
  <c r="AG266"/>
  <c r="AF266"/>
  <c r="AE266"/>
  <c r="AD266"/>
  <c r="AC266"/>
  <c r="AB266"/>
  <c r="AH265"/>
  <c r="AG265"/>
  <c r="AF265"/>
  <c r="AE265"/>
  <c r="AD265"/>
  <c r="AC265"/>
  <c r="AB265"/>
  <c r="AH264"/>
  <c r="AG264"/>
  <c r="AF264"/>
  <c r="AE264"/>
  <c r="AD264"/>
  <c r="AC264"/>
  <c r="AB264"/>
  <c r="AH263"/>
  <c r="AG263"/>
  <c r="AF263"/>
  <c r="AE263"/>
  <c r="AD263"/>
  <c r="AC263"/>
  <c r="AB263"/>
  <c r="AH262"/>
  <c r="AG262"/>
  <c r="AF262"/>
  <c r="AE262"/>
  <c r="AD262"/>
  <c r="AC262"/>
  <c r="AB262"/>
  <c r="AH261"/>
  <c r="AG261"/>
  <c r="AF261"/>
  <c r="AE261"/>
  <c r="AD261"/>
  <c r="AC261"/>
  <c r="AB261"/>
  <c r="AH260"/>
  <c r="AG260"/>
  <c r="AF260"/>
  <c r="AE260"/>
  <c r="AD260"/>
  <c r="AC260"/>
  <c r="AB260"/>
  <c r="AH259"/>
  <c r="AG259"/>
  <c r="AF259"/>
  <c r="AE259"/>
  <c r="AD259"/>
  <c r="AC259"/>
  <c r="AB259"/>
  <c r="AH258"/>
  <c r="AG258"/>
  <c r="AF258"/>
  <c r="AE258"/>
  <c r="AD258"/>
  <c r="AC258"/>
  <c r="AB258"/>
  <c r="AH257"/>
  <c r="AG257"/>
  <c r="AF257"/>
  <c r="AE257"/>
  <c r="AD257"/>
  <c r="AC257"/>
  <c r="AB257"/>
  <c r="AH256"/>
  <c r="AG256"/>
  <c r="AF256"/>
  <c r="AE256"/>
  <c r="AD256"/>
  <c r="AC256"/>
  <c r="AB256"/>
  <c r="AH255"/>
  <c r="AG255"/>
  <c r="AF255"/>
  <c r="AE255"/>
  <c r="AD255"/>
  <c r="AC255"/>
  <c r="AB255"/>
  <c r="AH254"/>
  <c r="AG254"/>
  <c r="AF254"/>
  <c r="AE254"/>
  <c r="AD254"/>
  <c r="AC254"/>
  <c r="AB254"/>
  <c r="AH253"/>
  <c r="AG253"/>
  <c r="AF253"/>
  <c r="AE253"/>
  <c r="AD253"/>
  <c r="AC253"/>
  <c r="AB253"/>
  <c r="AH252"/>
  <c r="AG252"/>
  <c r="AF252"/>
  <c r="AE252"/>
  <c r="AD252"/>
  <c r="AC252"/>
  <c r="AB252"/>
  <c r="AH251"/>
  <c r="AG251"/>
  <c r="AF251"/>
  <c r="AE251"/>
  <c r="AD251"/>
  <c r="AC251"/>
  <c r="AB251"/>
  <c r="AH250"/>
  <c r="AG250"/>
  <c r="AF250"/>
  <c r="AE250"/>
  <c r="AD250"/>
  <c r="AC250"/>
  <c r="AB250"/>
  <c r="AH249"/>
  <c r="AG249"/>
  <c r="AF249"/>
  <c r="AE249"/>
  <c r="AD249"/>
  <c r="AC249"/>
  <c r="AB249"/>
  <c r="AH248"/>
  <c r="AG248"/>
  <c r="AF248"/>
  <c r="AE248"/>
  <c r="AD248"/>
  <c r="AC248"/>
  <c r="AB248"/>
  <c r="AH247"/>
  <c r="AG247"/>
  <c r="AF247"/>
  <c r="AE247"/>
  <c r="AD247"/>
  <c r="AC247"/>
  <c r="AB247"/>
  <c r="AH246"/>
  <c r="AG246"/>
  <c r="AF246"/>
  <c r="AE246"/>
  <c r="AD246"/>
  <c r="AC246"/>
  <c r="AB246"/>
  <c r="AH245"/>
  <c r="AG245"/>
  <c r="AF245"/>
  <c r="AE245"/>
  <c r="AD245"/>
  <c r="AC245"/>
  <c r="AB245"/>
  <c r="AH244"/>
  <c r="AG244"/>
  <c r="AF244"/>
  <c r="AE244"/>
  <c r="AD244"/>
  <c r="AC244"/>
  <c r="AB244"/>
  <c r="AH243"/>
  <c r="AG243"/>
  <c r="AF243"/>
  <c r="AE243"/>
  <c r="AD243"/>
  <c r="AC243"/>
  <c r="AB243"/>
  <c r="AH242"/>
  <c r="AG242"/>
  <c r="AF242"/>
  <c r="AE242"/>
  <c r="AD242"/>
  <c r="AC242"/>
  <c r="AB242"/>
  <c r="AH241"/>
  <c r="AG241"/>
  <c r="AF241"/>
  <c r="AE241"/>
  <c r="AD241"/>
  <c r="AC241"/>
  <c r="AB241"/>
  <c r="AH240"/>
  <c r="AG240"/>
  <c r="AF240"/>
  <c r="AE240"/>
  <c r="AD240"/>
  <c r="AC240"/>
  <c r="AB240"/>
  <c r="AH239"/>
  <c r="AG239"/>
  <c r="AF239"/>
  <c r="AE239"/>
  <c r="AD239"/>
  <c r="AC239"/>
  <c r="AB239"/>
  <c r="AH238"/>
  <c r="AG238"/>
  <c r="AF238"/>
  <c r="AE238"/>
  <c r="AD238"/>
  <c r="AC238"/>
  <c r="AB238"/>
  <c r="AH237"/>
  <c r="AG237"/>
  <c r="AF237"/>
  <c r="AE237"/>
  <c r="AD237"/>
  <c r="AC237"/>
  <c r="AB237"/>
  <c r="AH236"/>
  <c r="AG236"/>
  <c r="AF236"/>
  <c r="AE236"/>
  <c r="AD236"/>
  <c r="AC236"/>
  <c r="AB236"/>
  <c r="AH235"/>
  <c r="AG235"/>
  <c r="AF235"/>
  <c r="AE235"/>
  <c r="AD235"/>
  <c r="AC235"/>
  <c r="AB235"/>
  <c r="AH234"/>
  <c r="AG234"/>
  <c r="AF234"/>
  <c r="AE234"/>
  <c r="AD234"/>
  <c r="AC234"/>
  <c r="AB234"/>
  <c r="AH233"/>
  <c r="AG233"/>
  <c r="AF233"/>
  <c r="AE233"/>
  <c r="AD233"/>
  <c r="AC233"/>
  <c r="AB233"/>
  <c r="AH232"/>
  <c r="AG232"/>
  <c r="AF232"/>
  <c r="AE232"/>
  <c r="AD232"/>
  <c r="AC232"/>
  <c r="AB232"/>
  <c r="AH231"/>
  <c r="AG231"/>
  <c r="AF231"/>
  <c r="AE231"/>
  <c r="AD231"/>
  <c r="AC231"/>
  <c r="AB231"/>
  <c r="AH230"/>
  <c r="AG230"/>
  <c r="AF230"/>
  <c r="AE230"/>
  <c r="AD230"/>
  <c r="AC230"/>
  <c r="AB230"/>
  <c r="AH229"/>
  <c r="AG229"/>
  <c r="AF229"/>
  <c r="AE229"/>
  <c r="AD229"/>
  <c r="AC229"/>
  <c r="AB229"/>
  <c r="AH228"/>
  <c r="AG228"/>
  <c r="AF228"/>
  <c r="AE228"/>
  <c r="AD228"/>
  <c r="AC228"/>
  <c r="AB228"/>
  <c r="AH227"/>
  <c r="AG227"/>
  <c r="AF227"/>
  <c r="AE227"/>
  <c r="AD227"/>
  <c r="AC227"/>
  <c r="AB227"/>
  <c r="AH226"/>
  <c r="AG226"/>
  <c r="AF226"/>
  <c r="AE226"/>
  <c r="AD226"/>
  <c r="AC226"/>
  <c r="AB226"/>
  <c r="AH225"/>
  <c r="AG225"/>
  <c r="AF225"/>
  <c r="AE225"/>
  <c r="AD225"/>
  <c r="AC225"/>
  <c r="AB225"/>
  <c r="AH224"/>
  <c r="AG224"/>
  <c r="AF224"/>
  <c r="AE224"/>
  <c r="AD224"/>
  <c r="AC224"/>
  <c r="AB224"/>
  <c r="AH223"/>
  <c r="AG223"/>
  <c r="AF223"/>
  <c r="AE223"/>
  <c r="AD223"/>
  <c r="AC223"/>
  <c r="AB223"/>
  <c r="AH222"/>
  <c r="AG222"/>
  <c r="AF222"/>
  <c r="AE222"/>
  <c r="AD222"/>
  <c r="AC222"/>
  <c r="AB222"/>
  <c r="AH221"/>
  <c r="AG221"/>
  <c r="AF221"/>
  <c r="AE221"/>
  <c r="AD221"/>
  <c r="AC221"/>
  <c r="AB221"/>
  <c r="AH220"/>
  <c r="AG220"/>
  <c r="AF220"/>
  <c r="AE220"/>
  <c r="AD220"/>
  <c r="AC220"/>
  <c r="AB220"/>
  <c r="AH219"/>
  <c r="AG219"/>
  <c r="AF219"/>
  <c r="AE219"/>
  <c r="AD219"/>
  <c r="AC219"/>
  <c r="AB219"/>
  <c r="AH218"/>
  <c r="AG218"/>
  <c r="AF218"/>
  <c r="AE218"/>
  <c r="AD218"/>
  <c r="AC218"/>
  <c r="AB218"/>
  <c r="AH217"/>
  <c r="AG217"/>
  <c r="AF217"/>
  <c r="AE217"/>
  <c r="AD217"/>
  <c r="AC217"/>
  <c r="AB217"/>
  <c r="AH216"/>
  <c r="AG216"/>
  <c r="AF216"/>
  <c r="AE216"/>
  <c r="AD216"/>
  <c r="AC216"/>
  <c r="AB216"/>
  <c r="AH215"/>
  <c r="AG215"/>
  <c r="AF215"/>
  <c r="AE215"/>
  <c r="AD215"/>
  <c r="AC215"/>
  <c r="AB215"/>
  <c r="AH214"/>
  <c r="AG214"/>
  <c r="AF214"/>
  <c r="AE214"/>
  <c r="AD214"/>
  <c r="AC214"/>
  <c r="AB214"/>
  <c r="AH213"/>
  <c r="AG213"/>
  <c r="AF213"/>
  <c r="AE213"/>
  <c r="AD213"/>
  <c r="AC213"/>
  <c r="AB213"/>
  <c r="AH212"/>
  <c r="AG212"/>
  <c r="AF212"/>
  <c r="AE212"/>
  <c r="AD212"/>
  <c r="AC212"/>
  <c r="AB212"/>
  <c r="AH211"/>
  <c r="AG211"/>
  <c r="AF211"/>
  <c r="AE211"/>
  <c r="AD211"/>
  <c r="AC211"/>
  <c r="AB211"/>
  <c r="AH210"/>
  <c r="AG210"/>
  <c r="AF210"/>
  <c r="AE210"/>
  <c r="AD210"/>
  <c r="AC210"/>
  <c r="AB210"/>
  <c r="AH209"/>
  <c r="AG209"/>
  <c r="AF209"/>
  <c r="AE209"/>
  <c r="AD209"/>
  <c r="AC209"/>
  <c r="AB209"/>
  <c r="AH208"/>
  <c r="AG208"/>
  <c r="AF208"/>
  <c r="AE208"/>
  <c r="AD208"/>
  <c r="AC208"/>
  <c r="AB208"/>
  <c r="AH207"/>
  <c r="AG207"/>
  <c r="AF207"/>
  <c r="AE207"/>
  <c r="AD207"/>
  <c r="AC207"/>
  <c r="AB207"/>
  <c r="AH206"/>
  <c r="AG206"/>
  <c r="AF206"/>
  <c r="AE206"/>
  <c r="AD206"/>
  <c r="AC206"/>
  <c r="AB206"/>
  <c r="AH205"/>
  <c r="AG205"/>
  <c r="AF205"/>
  <c r="AE205"/>
  <c r="AD205"/>
  <c r="AC205"/>
  <c r="AB205"/>
  <c r="AH204"/>
  <c r="AG204"/>
  <c r="AF204"/>
  <c r="AE204"/>
  <c r="AD204"/>
  <c r="AC204"/>
  <c r="AB204"/>
  <c r="AH203"/>
  <c r="AG203"/>
  <c r="AF203"/>
  <c r="AE203"/>
  <c r="AD203"/>
  <c r="AC203"/>
  <c r="AB203"/>
  <c r="AH202"/>
  <c r="AG202"/>
  <c r="AF202"/>
  <c r="AE202"/>
  <c r="AD202"/>
  <c r="AC202"/>
  <c r="AB202"/>
  <c r="AH201"/>
  <c r="AG201"/>
  <c r="AF201"/>
  <c r="AE201"/>
  <c r="AD201"/>
  <c r="AC201"/>
  <c r="AB201"/>
  <c r="AH200"/>
  <c r="AG200"/>
  <c r="AF200"/>
  <c r="AE200"/>
  <c r="AD200"/>
  <c r="AC200"/>
  <c r="AB200"/>
  <c r="AH199"/>
  <c r="AG199"/>
  <c r="AF199"/>
  <c r="AE199"/>
  <c r="AD199"/>
  <c r="AC199"/>
  <c r="AB199"/>
  <c r="AH198"/>
  <c r="AG198"/>
  <c r="AF198"/>
  <c r="AE198"/>
  <c r="AD198"/>
  <c r="AC198"/>
  <c r="AB198"/>
  <c r="AH197"/>
  <c r="AG197"/>
  <c r="AF197"/>
  <c r="AE197"/>
  <c r="AD197"/>
  <c r="AC197"/>
  <c r="AB197"/>
  <c r="AH196"/>
  <c r="AG196"/>
  <c r="AF196"/>
  <c r="AE196"/>
  <c r="AD196"/>
  <c r="AC196"/>
  <c r="AB196"/>
  <c r="AH195"/>
  <c r="AG195"/>
  <c r="AF195"/>
  <c r="AE195"/>
  <c r="AD195"/>
  <c r="AC195"/>
  <c r="AB195"/>
  <c r="AH194"/>
  <c r="AG194"/>
  <c r="AF194"/>
  <c r="AE194"/>
  <c r="AD194"/>
  <c r="AC194"/>
  <c r="AB194"/>
  <c r="AH193"/>
  <c r="AG193"/>
  <c r="AF193"/>
  <c r="AE193"/>
  <c r="AD193"/>
  <c r="AC193"/>
  <c r="AB193"/>
  <c r="AH192"/>
  <c r="AG192"/>
  <c r="AF192"/>
  <c r="AE192"/>
  <c r="AD192"/>
  <c r="AC192"/>
  <c r="AB192"/>
  <c r="AH191"/>
  <c r="AG191"/>
  <c r="AF191"/>
  <c r="AE191"/>
  <c r="AD191"/>
  <c r="AC191"/>
  <c r="AB191"/>
  <c r="AH190"/>
  <c r="AG190"/>
  <c r="AF190"/>
  <c r="AE190"/>
  <c r="AD190"/>
  <c r="AC190"/>
  <c r="AB190"/>
  <c r="AH189"/>
  <c r="AG189"/>
  <c r="AF189"/>
  <c r="AE189"/>
  <c r="AD189"/>
  <c r="AC189"/>
  <c r="AB189"/>
  <c r="AH188"/>
  <c r="AG188"/>
  <c r="AF188"/>
  <c r="AE188"/>
  <c r="AD188"/>
  <c r="AC188"/>
  <c r="AB188"/>
  <c r="AH187"/>
  <c r="AG187"/>
  <c r="AF187"/>
  <c r="AE187"/>
  <c r="AD187"/>
  <c r="AC187"/>
  <c r="AB187"/>
  <c r="AH186"/>
  <c r="AG186"/>
  <c r="AF186"/>
  <c r="AE186"/>
  <c r="AD186"/>
  <c r="AC186"/>
  <c r="AB186"/>
  <c r="AH185"/>
  <c r="AG185"/>
  <c r="AF185"/>
  <c r="AE185"/>
  <c r="AD185"/>
  <c r="AC185"/>
  <c r="AB185"/>
  <c r="AH184"/>
  <c r="AG184"/>
  <c r="AF184"/>
  <c r="AE184"/>
  <c r="AD184"/>
  <c r="AC184"/>
  <c r="AB184"/>
  <c r="AH183"/>
  <c r="AG183"/>
  <c r="AF183"/>
  <c r="AE183"/>
  <c r="AD183"/>
  <c r="AC183"/>
  <c r="AB183"/>
  <c r="AH182"/>
  <c r="AG182"/>
  <c r="AF182"/>
  <c r="AE182"/>
  <c r="AD182"/>
  <c r="AC182"/>
  <c r="AB182"/>
  <c r="AH181"/>
  <c r="AG181"/>
  <c r="AF181"/>
  <c r="AE181"/>
  <c r="AD181"/>
  <c r="AC181"/>
  <c r="AB181"/>
  <c r="AH180"/>
  <c r="AG180"/>
  <c r="AF180"/>
  <c r="AE180"/>
  <c r="AD180"/>
  <c r="AC180"/>
  <c r="AB180"/>
  <c r="AH179"/>
  <c r="AG179"/>
  <c r="AF179"/>
  <c r="AE179"/>
  <c r="AD179"/>
  <c r="AC179"/>
  <c r="AB179"/>
  <c r="AH178"/>
  <c r="AG178"/>
  <c r="AF178"/>
  <c r="AE178"/>
  <c r="AD178"/>
  <c r="AC178"/>
  <c r="AB178"/>
  <c r="AH177"/>
  <c r="AG177"/>
  <c r="AF177"/>
  <c r="AE177"/>
  <c r="AD177"/>
  <c r="AC177"/>
  <c r="AB177"/>
  <c r="AH176"/>
  <c r="AG176"/>
  <c r="AF176"/>
  <c r="AE176"/>
  <c r="AD176"/>
  <c r="AC176"/>
  <c r="AB176"/>
  <c r="AH175"/>
  <c r="AG175"/>
  <c r="AF175"/>
  <c r="AE175"/>
  <c r="AD175"/>
  <c r="AC175"/>
  <c r="AB175"/>
  <c r="AH174"/>
  <c r="AG174"/>
  <c r="AF174"/>
  <c r="AE174"/>
  <c r="AD174"/>
  <c r="AC174"/>
  <c r="AB174"/>
  <c r="AH173"/>
  <c r="AG173"/>
  <c r="AF173"/>
  <c r="AE173"/>
  <c r="AD173"/>
  <c r="AC173"/>
  <c r="AB173"/>
  <c r="AH172"/>
  <c r="AG172"/>
  <c r="AF172"/>
  <c r="AE172"/>
  <c r="AD172"/>
  <c r="AC172"/>
  <c r="AB172"/>
  <c r="AH171"/>
  <c r="AG171"/>
  <c r="AF171"/>
  <c r="AE171"/>
  <c r="AD171"/>
  <c r="AC171"/>
  <c r="AB171"/>
  <c r="AH170"/>
  <c r="AG170"/>
  <c r="AF170"/>
  <c r="AE170"/>
  <c r="AD170"/>
  <c r="AC170"/>
  <c r="AB170"/>
  <c r="AH169"/>
  <c r="AG169"/>
  <c r="AF169"/>
  <c r="AE169"/>
  <c r="AD169"/>
  <c r="AC169"/>
  <c r="AB169"/>
  <c r="AH168"/>
  <c r="AG168"/>
  <c r="AF168"/>
  <c r="AE168"/>
  <c r="AD168"/>
  <c r="AC168"/>
  <c r="AB168"/>
  <c r="AH167"/>
  <c r="AG167"/>
  <c r="AF167"/>
  <c r="AE167"/>
  <c r="AD167"/>
  <c r="AC167"/>
  <c r="AB167"/>
  <c r="AH166"/>
  <c r="AG166"/>
  <c r="AF166"/>
  <c r="AE166"/>
  <c r="AD166"/>
  <c r="AC166"/>
  <c r="AB166"/>
  <c r="AH165"/>
  <c r="AG165"/>
  <c r="AF165"/>
  <c r="AE165"/>
  <c r="AD165"/>
  <c r="AC165"/>
  <c r="AB165"/>
  <c r="AH164"/>
  <c r="AG164"/>
  <c r="AF164"/>
  <c r="AE164"/>
  <c r="AD164"/>
  <c r="AC164"/>
  <c r="AB164"/>
  <c r="AH163"/>
  <c r="AG163"/>
  <c r="AF163"/>
  <c r="AE163"/>
  <c r="AD163"/>
  <c r="AC163"/>
  <c r="AB163"/>
  <c r="AH162"/>
  <c r="AG162"/>
  <c r="AF162"/>
  <c r="AE162"/>
  <c r="AD162"/>
  <c r="AC162"/>
  <c r="AB162"/>
  <c r="AH161"/>
  <c r="AG161"/>
  <c r="AF161"/>
  <c r="AE161"/>
  <c r="AD161"/>
  <c r="AC161"/>
  <c r="AB161"/>
  <c r="AH160"/>
  <c r="AG160"/>
  <c r="AF160"/>
  <c r="AE160"/>
  <c r="AD160"/>
  <c r="AC160"/>
  <c r="AB160"/>
  <c r="AH159"/>
  <c r="AG159"/>
  <c r="AF159"/>
  <c r="AE159"/>
  <c r="AD159"/>
  <c r="AC159"/>
  <c r="AB159"/>
  <c r="AH158"/>
  <c r="AG158"/>
  <c r="AF158"/>
  <c r="AE158"/>
  <c r="AD158"/>
  <c r="AC158"/>
  <c r="AB158"/>
  <c r="AH157"/>
  <c r="AG157"/>
  <c r="AF157"/>
  <c r="AE157"/>
  <c r="AD157"/>
  <c r="AC157"/>
  <c r="AB157"/>
  <c r="AH156"/>
  <c r="AG156"/>
  <c r="AF156"/>
  <c r="AE156"/>
  <c r="AD156"/>
  <c r="AC156"/>
  <c r="AB156"/>
  <c r="AH155"/>
  <c r="AG155"/>
  <c r="AF155"/>
  <c r="AE155"/>
  <c r="AD155"/>
  <c r="AC155"/>
  <c r="AB155"/>
  <c r="AH154"/>
  <c r="AG154"/>
  <c r="AF154"/>
  <c r="AE154"/>
  <c r="AD154"/>
  <c r="AC154"/>
  <c r="AB154"/>
  <c r="AH153"/>
  <c r="AG153"/>
  <c r="AF153"/>
  <c r="AE153"/>
  <c r="AD153"/>
  <c r="AC153"/>
  <c r="AB153"/>
  <c r="AH152"/>
  <c r="AG152"/>
  <c r="AF152"/>
  <c r="AE152"/>
  <c r="AD152"/>
  <c r="AC152"/>
  <c r="AB152"/>
  <c r="AH151"/>
  <c r="AG151"/>
  <c r="AF151"/>
  <c r="AE151"/>
  <c r="AD151"/>
  <c r="AC151"/>
  <c r="AB151"/>
  <c r="AH150"/>
  <c r="AG150"/>
  <c r="AF150"/>
  <c r="AE150"/>
  <c r="AD150"/>
  <c r="AC150"/>
  <c r="AB150"/>
  <c r="AH149"/>
  <c r="AG149"/>
  <c r="AF149"/>
  <c r="AE149"/>
  <c r="AD149"/>
  <c r="AC149"/>
  <c r="AB149"/>
  <c r="AH148"/>
  <c r="AG148"/>
  <c r="AF148"/>
  <c r="AE148"/>
  <c r="AD148"/>
  <c r="AC148"/>
  <c r="AB148"/>
  <c r="AH147"/>
  <c r="AG147"/>
  <c r="AF147"/>
  <c r="AE147"/>
  <c r="AD147"/>
  <c r="AC147"/>
  <c r="AB147"/>
  <c r="AH146"/>
  <c r="AG146"/>
  <c r="AF146"/>
  <c r="AE146"/>
  <c r="AD146"/>
  <c r="AC146"/>
  <c r="AB146"/>
  <c r="AH145"/>
  <c r="AG145"/>
  <c r="AF145"/>
  <c r="AE145"/>
  <c r="AD145"/>
  <c r="AC145"/>
  <c r="AB145"/>
  <c r="AH144"/>
  <c r="AG144"/>
  <c r="AF144"/>
  <c r="AE144"/>
  <c r="AD144"/>
  <c r="AC144"/>
  <c r="AB144"/>
  <c r="AH143"/>
  <c r="AG143"/>
  <c r="AF143"/>
  <c r="AE143"/>
  <c r="AD143"/>
  <c r="AC143"/>
  <c r="AB143"/>
  <c r="AH142"/>
  <c r="AG142"/>
  <c r="AF142"/>
  <c r="AE142"/>
  <c r="AD142"/>
  <c r="AC142"/>
  <c r="AB142"/>
  <c r="AH141"/>
  <c r="AG141"/>
  <c r="AF141"/>
  <c r="AE141"/>
  <c r="AD141"/>
  <c r="AC141"/>
  <c r="AB141"/>
  <c r="AH140"/>
  <c r="AG140"/>
  <c r="AF140"/>
  <c r="AE140"/>
  <c r="AD140"/>
  <c r="AC140"/>
  <c r="AB140"/>
  <c r="AH139"/>
  <c r="AG139"/>
  <c r="AF139"/>
  <c r="AE139"/>
  <c r="AD139"/>
  <c r="AC139"/>
  <c r="AB139"/>
  <c r="AH138"/>
  <c r="AG138"/>
  <c r="AF138"/>
  <c r="AE138"/>
  <c r="AD138"/>
  <c r="AC138"/>
  <c r="AB138"/>
  <c r="AH137"/>
  <c r="AG137"/>
  <c r="AF137"/>
  <c r="AE137"/>
  <c r="AD137"/>
  <c r="AC137"/>
  <c r="AB137"/>
  <c r="AH136"/>
  <c r="AG136"/>
  <c r="AF136"/>
  <c r="AE136"/>
  <c r="AD136"/>
  <c r="AC136"/>
  <c r="AB136"/>
  <c r="AH135"/>
  <c r="AG135"/>
  <c r="AF135"/>
  <c r="AE135"/>
  <c r="AD135"/>
  <c r="AC135"/>
  <c r="AB135"/>
  <c r="AH134"/>
  <c r="AG134"/>
  <c r="AF134"/>
  <c r="AE134"/>
  <c r="AD134"/>
  <c r="AC134"/>
  <c r="AB134"/>
  <c r="AH133"/>
  <c r="AG133"/>
  <c r="AF133"/>
  <c r="AE133"/>
  <c r="AD133"/>
  <c r="AC133"/>
  <c r="AB133"/>
  <c r="AH132"/>
  <c r="AG132"/>
  <c r="AF132"/>
  <c r="AE132"/>
  <c r="AD132"/>
  <c r="AC132"/>
  <c r="AB132"/>
  <c r="AH131"/>
  <c r="AG131"/>
  <c r="AF131"/>
  <c r="AE131"/>
  <c r="AD131"/>
  <c r="AC131"/>
  <c r="AB131"/>
  <c r="AH130"/>
  <c r="AG130"/>
  <c r="AF130"/>
  <c r="AE130"/>
  <c r="AD130"/>
  <c r="AC130"/>
  <c r="AB130"/>
  <c r="AH129"/>
  <c r="AG129"/>
  <c r="AF129"/>
  <c r="AE129"/>
  <c r="AD129"/>
  <c r="AC129"/>
  <c r="AB129"/>
  <c r="AH128"/>
  <c r="AG128"/>
  <c r="AF128"/>
  <c r="AE128"/>
  <c r="AD128"/>
  <c r="AC128"/>
  <c r="AB128"/>
  <c r="AH127"/>
  <c r="AG127"/>
  <c r="AF127"/>
  <c r="AE127"/>
  <c r="AD127"/>
  <c r="AC127"/>
  <c r="AB127"/>
  <c r="AH126"/>
  <c r="AG126"/>
  <c r="AF126"/>
  <c r="AE126"/>
  <c r="AD126"/>
  <c r="AC126"/>
  <c r="AB126"/>
  <c r="AH125"/>
  <c r="AG125"/>
  <c r="AF125"/>
  <c r="AE125"/>
  <c r="AD125"/>
  <c r="AC125"/>
  <c r="AB125"/>
  <c r="AH124"/>
  <c r="AG124"/>
  <c r="AF124"/>
  <c r="AE124"/>
  <c r="AD124"/>
  <c r="AC124"/>
  <c r="AB124"/>
  <c r="AH123"/>
  <c r="AG123"/>
  <c r="AF123"/>
  <c r="AE123"/>
  <c r="AD123"/>
  <c r="AC123"/>
  <c r="AB123"/>
  <c r="AH122"/>
  <c r="AG122"/>
  <c r="AF122"/>
  <c r="AE122"/>
  <c r="AD122"/>
  <c r="AC122"/>
  <c r="AB122"/>
  <c r="AH121"/>
  <c r="AG121"/>
  <c r="AF121"/>
  <c r="AE121"/>
  <c r="AD121"/>
  <c r="AC121"/>
  <c r="AB121"/>
  <c r="AH120"/>
  <c r="AG120"/>
  <c r="AF120"/>
  <c r="AE120"/>
  <c r="AD120"/>
  <c r="AC120"/>
  <c r="AB120"/>
  <c r="AH119"/>
  <c r="AG119"/>
  <c r="AF119"/>
  <c r="AE119"/>
  <c r="AD119"/>
  <c r="AC119"/>
  <c r="AB119"/>
  <c r="AH118"/>
  <c r="AG118"/>
  <c r="AF118"/>
  <c r="AE118"/>
  <c r="AD118"/>
  <c r="AC118"/>
  <c r="AB118"/>
  <c r="AH117"/>
  <c r="AG117"/>
  <c r="AF117"/>
  <c r="AE117"/>
  <c r="AD117"/>
  <c r="AC117"/>
  <c r="AB117"/>
  <c r="AH116"/>
  <c r="AG116"/>
  <c r="AF116"/>
  <c r="AE116"/>
  <c r="AD116"/>
  <c r="AC116"/>
  <c r="AB116"/>
  <c r="AH115"/>
  <c r="AG115"/>
  <c r="AF115"/>
  <c r="AE115"/>
  <c r="AD115"/>
  <c r="AC115"/>
  <c r="AB115"/>
  <c r="AH114"/>
  <c r="AG114"/>
  <c r="AF114"/>
  <c r="AE114"/>
  <c r="AD114"/>
  <c r="AC114"/>
  <c r="AB114"/>
  <c r="AH113"/>
  <c r="AG113"/>
  <c r="AF113"/>
  <c r="AE113"/>
  <c r="AD113"/>
  <c r="AC113"/>
  <c r="AB113"/>
  <c r="AH112"/>
  <c r="AG112"/>
  <c r="AF112"/>
  <c r="AE112"/>
  <c r="AD112"/>
  <c r="AC112"/>
  <c r="AB112"/>
  <c r="AH111"/>
  <c r="AG111"/>
  <c r="AF111"/>
  <c r="AE111"/>
  <c r="AD111"/>
  <c r="AC111"/>
  <c r="AB111"/>
  <c r="AH110"/>
  <c r="AG110"/>
  <c r="AF110"/>
  <c r="AE110"/>
  <c r="AD110"/>
  <c r="AC110"/>
  <c r="AB110"/>
  <c r="AH109"/>
  <c r="AG109"/>
  <c r="AF109"/>
  <c r="AE109"/>
  <c r="AD109"/>
  <c r="AC109"/>
  <c r="AB109"/>
  <c r="AH108"/>
  <c r="AG108"/>
  <c r="AF108"/>
  <c r="AE108"/>
  <c r="AD108"/>
  <c r="AC108"/>
  <c r="AB108"/>
  <c r="AH107"/>
  <c r="AG107"/>
  <c r="AF107"/>
  <c r="AE107"/>
  <c r="AD107"/>
  <c r="AC107"/>
  <c r="AB107"/>
  <c r="AH106"/>
  <c r="AG106"/>
  <c r="AF106"/>
  <c r="AE106"/>
  <c r="AD106"/>
  <c r="AC106"/>
  <c r="AB106"/>
  <c r="AH105"/>
  <c r="AG105"/>
  <c r="AF105"/>
  <c r="AE105"/>
  <c r="AD105"/>
  <c r="AC105"/>
  <c r="AB105"/>
  <c r="AH104"/>
  <c r="AG104"/>
  <c r="AF104"/>
  <c r="AE104"/>
  <c r="AD104"/>
  <c r="AC104"/>
  <c r="AB104"/>
  <c r="AH103"/>
  <c r="AG103"/>
  <c r="AF103"/>
  <c r="AE103"/>
  <c r="AD103"/>
  <c r="AC103"/>
  <c r="AB103"/>
  <c r="AH102"/>
  <c r="AG102"/>
  <c r="AF102"/>
  <c r="AE102"/>
  <c r="AD102"/>
  <c r="AC102"/>
  <c r="AB102"/>
  <c r="AH101"/>
  <c r="AG101"/>
  <c r="AF101"/>
  <c r="AE101"/>
  <c r="AD101"/>
  <c r="AC101"/>
  <c r="AB101"/>
  <c r="AH100"/>
  <c r="AG100"/>
  <c r="AF100"/>
  <c r="AE100"/>
  <c r="AD100"/>
  <c r="AC100"/>
  <c r="AB100"/>
  <c r="AH99"/>
  <c r="AG99"/>
  <c r="AF99"/>
  <c r="AE99"/>
  <c r="AD99"/>
  <c r="AC99"/>
  <c r="AB99"/>
  <c r="AH98"/>
  <c r="AG98"/>
  <c r="AF98"/>
  <c r="AE98"/>
  <c r="AD98"/>
  <c r="AC98"/>
  <c r="AB98"/>
  <c r="AH97"/>
  <c r="AG97"/>
  <c r="AF97"/>
  <c r="AE97"/>
  <c r="AD97"/>
  <c r="AC97"/>
  <c r="AB97"/>
  <c r="AH96"/>
  <c r="AG96"/>
  <c r="AF96"/>
  <c r="AE96"/>
  <c r="AD96"/>
  <c r="AC96"/>
  <c r="AB96"/>
  <c r="AH95"/>
  <c r="AG95"/>
  <c r="AF95"/>
  <c r="AE95"/>
  <c r="AD95"/>
  <c r="AC95"/>
  <c r="AB95"/>
  <c r="AH94"/>
  <c r="AG94"/>
  <c r="AF94"/>
  <c r="AE94"/>
  <c r="AD94"/>
  <c r="AC94"/>
  <c r="AB94"/>
  <c r="AH93"/>
  <c r="AG93"/>
  <c r="AF93"/>
  <c r="AE93"/>
  <c r="AD93"/>
  <c r="AC93"/>
  <c r="AB93"/>
  <c r="AH92"/>
  <c r="AG92"/>
  <c r="AF92"/>
  <c r="AE92"/>
  <c r="AD92"/>
  <c r="AC92"/>
  <c r="AB92"/>
  <c r="AH91"/>
  <c r="AG91"/>
  <c r="AF91"/>
  <c r="AE91"/>
  <c r="AD91"/>
  <c r="AC91"/>
  <c r="AB91"/>
  <c r="AH90"/>
  <c r="AG90"/>
  <c r="AF90"/>
  <c r="AE90"/>
  <c r="AD90"/>
  <c r="AC90"/>
  <c r="AB90"/>
  <c r="AH89"/>
  <c r="AG89"/>
  <c r="AF89"/>
  <c r="AE89"/>
  <c r="AD89"/>
  <c r="AC89"/>
  <c r="AB89"/>
  <c r="AH88"/>
  <c r="AG88"/>
  <c r="AF88"/>
  <c r="AE88"/>
  <c r="AD88"/>
  <c r="AC88"/>
  <c r="AB88"/>
  <c r="AH87"/>
  <c r="AG87"/>
  <c r="AF87"/>
  <c r="AE87"/>
  <c r="AD87"/>
  <c r="AC87"/>
  <c r="AB87"/>
  <c r="AH86"/>
  <c r="AG86"/>
  <c r="AF86"/>
  <c r="AE86"/>
  <c r="AD86"/>
  <c r="AC86"/>
  <c r="AB86"/>
  <c r="AH85"/>
  <c r="AG85"/>
  <c r="AF85"/>
  <c r="AE85"/>
  <c r="AD85"/>
  <c r="AC85"/>
  <c r="AB85"/>
  <c r="AH84"/>
  <c r="AG84"/>
  <c r="AF84"/>
  <c r="AE84"/>
  <c r="AD84"/>
  <c r="AC84"/>
  <c r="AB84"/>
  <c r="AH83"/>
  <c r="AG83"/>
  <c r="AF83"/>
  <c r="AE83"/>
  <c r="AD83"/>
  <c r="AC83"/>
  <c r="AB83"/>
  <c r="AH82"/>
  <c r="AG82"/>
  <c r="AF82"/>
  <c r="AE82"/>
  <c r="AD82"/>
  <c r="AC82"/>
  <c r="AB82"/>
  <c r="AH81"/>
  <c r="AG81"/>
  <c r="AF81"/>
  <c r="AE81"/>
  <c r="AD81"/>
  <c r="AC81"/>
  <c r="AB81"/>
  <c r="AH80"/>
  <c r="AG80"/>
  <c r="AF80"/>
  <c r="AE80"/>
  <c r="AD80"/>
  <c r="AC80"/>
  <c r="AB80"/>
  <c r="AH79"/>
  <c r="AG79"/>
  <c r="AF79"/>
  <c r="AE79"/>
  <c r="AD79"/>
  <c r="AC79"/>
  <c r="AB79"/>
  <c r="AH78"/>
  <c r="AG78"/>
  <c r="AF78"/>
  <c r="AE78"/>
  <c r="AD78"/>
  <c r="AC78"/>
  <c r="AB78"/>
  <c r="AH77"/>
  <c r="AG77"/>
  <c r="AF77"/>
  <c r="AE77"/>
  <c r="AD77"/>
  <c r="AC77"/>
  <c r="AB77"/>
  <c r="AH76"/>
  <c r="AG76"/>
  <c r="AF76"/>
  <c r="AE76"/>
  <c r="AD76"/>
  <c r="AC76"/>
  <c r="AB76"/>
  <c r="AH75"/>
  <c r="AG75"/>
  <c r="AF75"/>
  <c r="AE75"/>
  <c r="AD75"/>
  <c r="AC75"/>
  <c r="AB75"/>
  <c r="AH74"/>
  <c r="AG74"/>
  <c r="AF74"/>
  <c r="AE74"/>
  <c r="AD74"/>
  <c r="AC74"/>
  <c r="AB74"/>
  <c r="AH73"/>
  <c r="AG73"/>
  <c r="AF73"/>
  <c r="AE73"/>
  <c r="AD73"/>
  <c r="AC73"/>
  <c r="AB73"/>
  <c r="AH72"/>
  <c r="AG72"/>
  <c r="AF72"/>
  <c r="AE72"/>
  <c r="AD72"/>
  <c r="AC72"/>
  <c r="AB72"/>
  <c r="AH71"/>
  <c r="AG71"/>
  <c r="AF71"/>
  <c r="AE71"/>
  <c r="AD71"/>
  <c r="AC71"/>
  <c r="AB71"/>
  <c r="AH70"/>
  <c r="AG70"/>
  <c r="AF70"/>
  <c r="AE70"/>
  <c r="AD70"/>
  <c r="AC70"/>
  <c r="AB70"/>
  <c r="AH69"/>
  <c r="AG69"/>
  <c r="AF69"/>
  <c r="AE69"/>
  <c r="AD69"/>
  <c r="AC69"/>
  <c r="AB69"/>
  <c r="AH68"/>
  <c r="AG68"/>
  <c r="AF68"/>
  <c r="AE68"/>
  <c r="AD68"/>
  <c r="AC68"/>
  <c r="AB68"/>
  <c r="AH67"/>
  <c r="AG67"/>
  <c r="AF67"/>
  <c r="AE67"/>
  <c r="AD67"/>
  <c r="AC67"/>
  <c r="AB67"/>
  <c r="AH66"/>
  <c r="AG66"/>
  <c r="AF66"/>
  <c r="AE66"/>
  <c r="AD66"/>
  <c r="AC66"/>
  <c r="AB66"/>
  <c r="AH65"/>
  <c r="AG65"/>
  <c r="AF65"/>
  <c r="AE65"/>
  <c r="AD65"/>
  <c r="AC65"/>
  <c r="AB65"/>
  <c r="AH64"/>
  <c r="AG64"/>
  <c r="AF64"/>
  <c r="AE64"/>
  <c r="AD64"/>
  <c r="AC64"/>
  <c r="AB64"/>
  <c r="AH63"/>
  <c r="AG63"/>
  <c r="AF63"/>
  <c r="AE63"/>
  <c r="AD63"/>
  <c r="AC63"/>
  <c r="AB63"/>
  <c r="AH62"/>
  <c r="AG62"/>
  <c r="AF62"/>
  <c r="AE62"/>
  <c r="AD62"/>
  <c r="AC62"/>
  <c r="AB62"/>
  <c r="AH61"/>
  <c r="AG61"/>
  <c r="AF61"/>
  <c r="AE61"/>
  <c r="AD61"/>
  <c r="AC61"/>
  <c r="AB61"/>
  <c r="AH60"/>
  <c r="AG60"/>
  <c r="AF60"/>
  <c r="AE60"/>
  <c r="AD60"/>
  <c r="AC60"/>
  <c r="AB60"/>
  <c r="AH59"/>
  <c r="AG59"/>
  <c r="AF59"/>
  <c r="AE59"/>
  <c r="AD59"/>
  <c r="AC59"/>
  <c r="AB59"/>
  <c r="AH58"/>
  <c r="AG58"/>
  <c r="AF58"/>
  <c r="AE58"/>
  <c r="AD58"/>
  <c r="AC58"/>
  <c r="AB58"/>
  <c r="AH57"/>
  <c r="AG57"/>
  <c r="AF57"/>
  <c r="AE57"/>
  <c r="AD57"/>
  <c r="AC57"/>
  <c r="AB57"/>
  <c r="AH56"/>
  <c r="AG56"/>
  <c r="AF56"/>
  <c r="AE56"/>
  <c r="AD56"/>
  <c r="AC56"/>
  <c r="AB56"/>
  <c r="AH55"/>
  <c r="AG55"/>
  <c r="AF55"/>
  <c r="AE55"/>
  <c r="AD55"/>
  <c r="AC55"/>
  <c r="AB55"/>
  <c r="AH54"/>
  <c r="AG54"/>
  <c r="AF54"/>
  <c r="AE54"/>
  <c r="AD54"/>
  <c r="AC54"/>
  <c r="AB54"/>
  <c r="AH53"/>
  <c r="AG53"/>
  <c r="AF53"/>
  <c r="AE53"/>
  <c r="AD53"/>
  <c r="AC53"/>
  <c r="AB53"/>
  <c r="AH52"/>
  <c r="AG52"/>
  <c r="AF52"/>
  <c r="AE52"/>
  <c r="AD52"/>
  <c r="AC52"/>
  <c r="AB52"/>
  <c r="AH51"/>
  <c r="AG51"/>
  <c r="AF51"/>
  <c r="AE51"/>
  <c r="AD51"/>
  <c r="AC51"/>
  <c r="AB51"/>
  <c r="AH50"/>
  <c r="AG50"/>
  <c r="AF50"/>
  <c r="AE50"/>
  <c r="AD50"/>
  <c r="AC50"/>
  <c r="AB50"/>
  <c r="AH49"/>
  <c r="AG49"/>
  <c r="AF49"/>
  <c r="AE49"/>
  <c r="AD49"/>
  <c r="AC49"/>
  <c r="AB49"/>
  <c r="AH48"/>
  <c r="AG48"/>
  <c r="AF48"/>
  <c r="AE48"/>
  <c r="AD48"/>
  <c r="AC48"/>
  <c r="AB48"/>
  <c r="AH47"/>
  <c r="AG47"/>
  <c r="AF47"/>
  <c r="AE47"/>
  <c r="AD47"/>
  <c r="AC47"/>
  <c r="AB47"/>
  <c r="AH46"/>
  <c r="AG46"/>
  <c r="AF46"/>
  <c r="AE46"/>
  <c r="AD46"/>
  <c r="AC46"/>
  <c r="AB46"/>
  <c r="AH45"/>
  <c r="AG45"/>
  <c r="AF45"/>
  <c r="AE45"/>
  <c r="AD45"/>
  <c r="AC45"/>
  <c r="AB45"/>
  <c r="AH44"/>
  <c r="AG44"/>
  <c r="AF44"/>
  <c r="AE44"/>
  <c r="AD44"/>
  <c r="AC44"/>
  <c r="AB44"/>
  <c r="AH43"/>
  <c r="AG43"/>
  <c r="AF43"/>
  <c r="AE43"/>
  <c r="AD43"/>
  <c r="AC43"/>
  <c r="AB43"/>
  <c r="AH42"/>
  <c r="AG42"/>
  <c r="AF42"/>
  <c r="AE42"/>
  <c r="AD42"/>
  <c r="AC42"/>
  <c r="AB42"/>
  <c r="AH41"/>
  <c r="AG41"/>
  <c r="AF41"/>
  <c r="AE41"/>
  <c r="AD41"/>
  <c r="AC41"/>
  <c r="AB41"/>
  <c r="AH40"/>
  <c r="AG40"/>
  <c r="AF40"/>
  <c r="AE40"/>
  <c r="AD40"/>
  <c r="AC40"/>
  <c r="AB40"/>
  <c r="AH39"/>
  <c r="AG39"/>
  <c r="AF39"/>
  <c r="AE39"/>
  <c r="AD39"/>
  <c r="AC39"/>
  <c r="AB39"/>
  <c r="AH38"/>
  <c r="AG38"/>
  <c r="AF38"/>
  <c r="AE38"/>
  <c r="AD38"/>
  <c r="AC38"/>
  <c r="AB38"/>
  <c r="AH37"/>
  <c r="AG37"/>
  <c r="AF37"/>
  <c r="AE37"/>
  <c r="AD37"/>
  <c r="AC37"/>
  <c r="AB37"/>
  <c r="AH36"/>
  <c r="AG36"/>
  <c r="AF36"/>
  <c r="AE36"/>
  <c r="AD36"/>
  <c r="AC36"/>
  <c r="AB36"/>
  <c r="AH35"/>
  <c r="AG35"/>
  <c r="AF35"/>
  <c r="AE35"/>
  <c r="AD35"/>
  <c r="AC35"/>
  <c r="AB35"/>
  <c r="AH34"/>
  <c r="AG34"/>
  <c r="AF34"/>
  <c r="AE34"/>
  <c r="AD34"/>
  <c r="AC34"/>
  <c r="AB34"/>
  <c r="AH33"/>
  <c r="AG33"/>
  <c r="AF33"/>
  <c r="AE33"/>
  <c r="AD33"/>
  <c r="AC33"/>
  <c r="AB33"/>
  <c r="AH32"/>
  <c r="AG32"/>
  <c r="AF32"/>
  <c r="AE32"/>
  <c r="AD32"/>
  <c r="AC32"/>
  <c r="AB32"/>
  <c r="AH31"/>
  <c r="AG31"/>
  <c r="AF31"/>
  <c r="AE31"/>
  <c r="AD31"/>
  <c r="AC31"/>
  <c r="AB31"/>
  <c r="AH30"/>
  <c r="AG30"/>
  <c r="AF30"/>
  <c r="AE30"/>
  <c r="AD30"/>
  <c r="AC30"/>
  <c r="AB30"/>
  <c r="AH29"/>
  <c r="AG29"/>
  <c r="AF29"/>
  <c r="AE29"/>
  <c r="AD29"/>
  <c r="AC29"/>
  <c r="AB29"/>
  <c r="AH28"/>
  <c r="AG28"/>
  <c r="AF28"/>
  <c r="AE28"/>
  <c r="AD28"/>
  <c r="AC28"/>
  <c r="AB28"/>
  <c r="AH27"/>
  <c r="AG27"/>
  <c r="AF27"/>
  <c r="AE27"/>
  <c r="AD27"/>
  <c r="AC27"/>
  <c r="AB27"/>
  <c r="AH26"/>
  <c r="AG26"/>
  <c r="AF26"/>
  <c r="AE26"/>
  <c r="AD26"/>
  <c r="AC26"/>
  <c r="AB26"/>
  <c r="AH25"/>
  <c r="AG25"/>
  <c r="AF25"/>
  <c r="AE25"/>
  <c r="AD25"/>
  <c r="AC25"/>
  <c r="AB25"/>
  <c r="AH24"/>
  <c r="AG24"/>
  <c r="AF24"/>
  <c r="AE24"/>
  <c r="AD24"/>
  <c r="AC24"/>
  <c r="AB24"/>
  <c r="AH23"/>
  <c r="AG23"/>
  <c r="AF23"/>
  <c r="AE23"/>
  <c r="AD23"/>
  <c r="AC23"/>
  <c r="AB23"/>
  <c r="AH22"/>
  <c r="AG22"/>
  <c r="AF22"/>
  <c r="AE22"/>
  <c r="AD22"/>
  <c r="AC22"/>
  <c r="AB22"/>
  <c r="AH21"/>
  <c r="AG21"/>
  <c r="AF21"/>
  <c r="AE21"/>
  <c r="AD21"/>
  <c r="AC21"/>
  <c r="AB21"/>
  <c r="AH20"/>
  <c r="AG20"/>
  <c r="AF20"/>
  <c r="AE20"/>
  <c r="AD20"/>
  <c r="AC20"/>
  <c r="AB20"/>
  <c r="AH19"/>
  <c r="AG19"/>
  <c r="AF19"/>
  <c r="AE19"/>
  <c r="AD19"/>
  <c r="AC19"/>
  <c r="AB19"/>
  <c r="AH18"/>
  <c r="AG18"/>
  <c r="AF18"/>
  <c r="AE18"/>
  <c r="AD18"/>
  <c r="AC18"/>
  <c r="AB18"/>
  <c r="AH17"/>
  <c r="AG17"/>
  <c r="AF17"/>
  <c r="AE17"/>
  <c r="AD17"/>
  <c r="AC17"/>
  <c r="AB17"/>
  <c r="AH16"/>
  <c r="AG16"/>
  <c r="AF16"/>
  <c r="AE16"/>
  <c r="AD16"/>
  <c r="AC16"/>
  <c r="AB16"/>
  <c r="AH15"/>
  <c r="AG15"/>
  <c r="AF15"/>
  <c r="AE15"/>
  <c r="AD15"/>
  <c r="AC15"/>
  <c r="AB15"/>
  <c r="AH14"/>
  <c r="AG14"/>
  <c r="AF14"/>
  <c r="AE14"/>
  <c r="AD14"/>
  <c r="AC14"/>
  <c r="AB14"/>
  <c r="AH13"/>
  <c r="AG13"/>
  <c r="AF13"/>
  <c r="AE13"/>
  <c r="AD13"/>
  <c r="AC13"/>
  <c r="AB13"/>
  <c r="AH12"/>
  <c r="AG12"/>
  <c r="AF12"/>
  <c r="AE12"/>
  <c r="AD12"/>
  <c r="AC12"/>
  <c r="AB12"/>
  <c r="AH11"/>
  <c r="AG11"/>
  <c r="AF11"/>
  <c r="AE11"/>
  <c r="AD11"/>
  <c r="AC11"/>
  <c r="AB11"/>
  <c r="AH10"/>
  <c r="AG10"/>
  <c r="AF10"/>
  <c r="AE10"/>
  <c r="AD10"/>
  <c r="AC10"/>
  <c r="AB10"/>
  <c r="AH9"/>
  <c r="AG9"/>
  <c r="AF9"/>
  <c r="AE9"/>
  <c r="AD9"/>
  <c r="AC9"/>
  <c r="AB9"/>
  <c r="AH8"/>
  <c r="AG8"/>
  <c r="AF8"/>
  <c r="AE8"/>
  <c r="AD8"/>
  <c r="AC8"/>
  <c r="AB8"/>
  <c r="AH7"/>
  <c r="AG7"/>
  <c r="AF7"/>
  <c r="AE7"/>
  <c r="AD7"/>
  <c r="AC7"/>
  <c r="AB7"/>
  <c r="AH6"/>
  <c r="AG6"/>
  <c r="AF6"/>
  <c r="AE6"/>
  <c r="AD6"/>
  <c r="AC6"/>
  <c r="AB6"/>
  <c r="AH5"/>
  <c r="AG5"/>
  <c r="AF5"/>
  <c r="AE5"/>
  <c r="AD5"/>
  <c r="AC5"/>
  <c r="AB5"/>
  <c r="AH4"/>
  <c r="AG4"/>
  <c r="AF4"/>
  <c r="AE4"/>
  <c r="AD4"/>
  <c r="AC4"/>
  <c r="AB4"/>
  <c r="AH3"/>
  <c r="AG3"/>
  <c r="AF3"/>
  <c r="AE3"/>
  <c r="AD3"/>
  <c r="AC3"/>
  <c r="AB3"/>
  <c r="AH2"/>
  <c r="AG2"/>
  <c r="AF2"/>
  <c r="AE2"/>
  <c r="AD2"/>
  <c r="AC2"/>
  <c r="AB2"/>
  <c r="A35" i="14"/>
  <c r="A34"/>
  <c r="A33"/>
  <c r="A32"/>
  <c r="A31"/>
  <c r="A30"/>
  <c r="A29"/>
  <c r="A27"/>
  <c r="A26"/>
  <c r="A25"/>
  <c r="A24"/>
  <c r="A23"/>
  <c r="A22"/>
  <c r="A21"/>
  <c r="A20"/>
  <c r="A19"/>
  <c r="A18"/>
  <c r="A17"/>
  <c r="A15"/>
  <c r="A14"/>
  <c r="A12"/>
  <c r="A11"/>
  <c r="A10"/>
  <c r="A9"/>
  <c r="A8"/>
  <c r="A7"/>
  <c r="A6"/>
  <c r="A5"/>
  <c r="A4"/>
  <c r="A3"/>
  <c r="A2"/>
  <c r="D9" i="17" l="1"/>
  <c r="D9" i="16"/>
  <c r="F9" i="17"/>
  <c r="F9" i="16"/>
  <c r="J9" i="17"/>
  <c r="H9"/>
  <c r="H9" i="16"/>
  <c r="C9" i="17"/>
  <c r="C9" i="16"/>
  <c r="B9" i="8"/>
  <c r="E9" i="17"/>
  <c r="E9" i="16"/>
  <c r="G9"/>
  <c r="G9" i="17"/>
  <c r="K9"/>
  <c r="I9" i="16"/>
  <c r="I9" i="17"/>
  <c r="B13" i="8"/>
  <c r="H13" s="1"/>
  <c r="B11"/>
  <c r="H11" s="1"/>
  <c r="B15"/>
  <c r="H15" s="1"/>
  <c r="B12"/>
  <c r="H12" s="1"/>
  <c r="B10"/>
  <c r="H10" s="1"/>
  <c r="B14"/>
  <c r="H14" s="1"/>
  <c r="AA598" i="1"/>
  <c r="AA602"/>
  <c r="AA606"/>
  <c r="AA610"/>
  <c r="AA614"/>
  <c r="AA618"/>
  <c r="AA622"/>
  <c r="AA626"/>
  <c r="AA630"/>
  <c r="AA634"/>
  <c r="AA638"/>
  <c r="AA642"/>
  <c r="AA646"/>
  <c r="AA650"/>
  <c r="AA654"/>
  <c r="AA658"/>
  <c r="AA662"/>
  <c r="AA666"/>
  <c r="AA786"/>
  <c r="AA790"/>
  <c r="AA794"/>
  <c r="AA798"/>
  <c r="AA802"/>
  <c r="AA806"/>
  <c r="AA810"/>
  <c r="AA814"/>
  <c r="AA818"/>
  <c r="AA822"/>
  <c r="AA826"/>
  <c r="AA830"/>
  <c r="AA834"/>
  <c r="AA838"/>
  <c r="AA842"/>
  <c r="AA846"/>
  <c r="AA850"/>
  <c r="AA854"/>
  <c r="AA858"/>
  <c r="AA862"/>
  <c r="AA866"/>
  <c r="AA870"/>
  <c r="AA874"/>
  <c r="AA878"/>
  <c r="AA882"/>
  <c r="AA886"/>
  <c r="AA890"/>
  <c r="AA894"/>
  <c r="AA898"/>
  <c r="AA902"/>
  <c r="AA906"/>
  <c r="AA670"/>
  <c r="AA674"/>
  <c r="AA678"/>
  <c r="AA682"/>
  <c r="AA686"/>
  <c r="AA690"/>
  <c r="AA910"/>
  <c r="AA914"/>
  <c r="AA918"/>
  <c r="AA922"/>
  <c r="AA926"/>
  <c r="AA930"/>
  <c r="AA934"/>
  <c r="AA938"/>
  <c r="AA942"/>
  <c r="AA946"/>
  <c r="AA950"/>
  <c r="AA956"/>
  <c r="AA963"/>
  <c r="AA968"/>
  <c r="AA972"/>
  <c r="AA51"/>
  <c r="AA55"/>
  <c r="AA59"/>
  <c r="AA63"/>
  <c r="AA67"/>
  <c r="AA71"/>
  <c r="AA75"/>
  <c r="AA79"/>
  <c r="AA83"/>
  <c r="AA87"/>
  <c r="AA91"/>
  <c r="AA95"/>
  <c r="AA99"/>
  <c r="AA103"/>
  <c r="AA138"/>
  <c r="AA142"/>
  <c r="AA146"/>
  <c r="AA150"/>
  <c r="AA154"/>
  <c r="AA158"/>
  <c r="AA162"/>
  <c r="AA166"/>
  <c r="AA170"/>
  <c r="AA174"/>
  <c r="AA178"/>
  <c r="AA182"/>
  <c r="AA186"/>
  <c r="AA190"/>
  <c r="AA194"/>
  <c r="AA198"/>
  <c r="AA202"/>
  <c r="AA206"/>
  <c r="AA210"/>
  <c r="AA214"/>
  <c r="AA218"/>
  <c r="AA222"/>
  <c r="AA226"/>
  <c r="AA230"/>
  <c r="AA234"/>
  <c r="AA238"/>
  <c r="AA242"/>
  <c r="AA246"/>
  <c r="AA250"/>
  <c r="AA254"/>
  <c r="AA258"/>
  <c r="AA262"/>
  <c r="AA266"/>
  <c r="AA270"/>
  <c r="AA274"/>
  <c r="AA278"/>
  <c r="AA282"/>
  <c r="AA286"/>
  <c r="AA290"/>
  <c r="AA294"/>
  <c r="AA298"/>
  <c r="AA302"/>
  <c r="AA306"/>
  <c r="AA310"/>
  <c r="AA314"/>
  <c r="AA318"/>
  <c r="AA322"/>
  <c r="AA326"/>
  <c r="AA330"/>
  <c r="AA334"/>
  <c r="AA338"/>
  <c r="AA342"/>
  <c r="AA346"/>
  <c r="AA350"/>
  <c r="AA354"/>
  <c r="AA358"/>
  <c r="AA362"/>
  <c r="AA366"/>
  <c r="AA370"/>
  <c r="AA374"/>
  <c r="AA378"/>
  <c r="AA382"/>
  <c r="AA386"/>
  <c r="AA390"/>
  <c r="AA394"/>
  <c r="AA398"/>
  <c r="AA402"/>
  <c r="AA406"/>
  <c r="AA410"/>
  <c r="AA414"/>
  <c r="AA418"/>
  <c r="AA422"/>
  <c r="AA426"/>
  <c r="AA430"/>
  <c r="AA434"/>
  <c r="AA438"/>
  <c r="AA442"/>
  <c r="AA446"/>
  <c r="AA450"/>
  <c r="AA454"/>
  <c r="AA458"/>
  <c r="AA462"/>
  <c r="AA466"/>
  <c r="AA470"/>
  <c r="AA474"/>
  <c r="AA478"/>
  <c r="AA482"/>
  <c r="AA486"/>
  <c r="AA490"/>
  <c r="AA494"/>
  <c r="AA498"/>
  <c r="AA502"/>
  <c r="AA506"/>
  <c r="AA510"/>
  <c r="AA514"/>
  <c r="AA518"/>
  <c r="AA522"/>
  <c r="AA526"/>
  <c r="AA530"/>
  <c r="AA534"/>
  <c r="AA538"/>
  <c r="AA542"/>
  <c r="AA546"/>
  <c r="AA550"/>
  <c r="AA554"/>
  <c r="AA558"/>
  <c r="AA562"/>
  <c r="AA566"/>
  <c r="AA570"/>
  <c r="AA574"/>
  <c r="AA578"/>
  <c r="AA582"/>
  <c r="AA586"/>
  <c r="AA590"/>
  <c r="AA594"/>
  <c r="AA54"/>
  <c r="AA58"/>
  <c r="AA62"/>
  <c r="AA66"/>
  <c r="AA70"/>
  <c r="AA74"/>
  <c r="AA78"/>
  <c r="AA82"/>
  <c r="AA86"/>
  <c r="AA90"/>
  <c r="AA94"/>
  <c r="AA98"/>
  <c r="AA102"/>
  <c r="AA976"/>
  <c r="AA980"/>
  <c r="AA984"/>
  <c r="AA988"/>
  <c r="AA992"/>
  <c r="AA996"/>
  <c r="AA1000"/>
  <c r="AA52"/>
  <c r="AA56"/>
  <c r="AA60"/>
  <c r="AA64"/>
  <c r="AA68"/>
  <c r="AA72"/>
  <c r="AA76"/>
  <c r="AA80"/>
  <c r="AA84"/>
  <c r="AA88"/>
  <c r="AA92"/>
  <c r="AA96"/>
  <c r="AA100"/>
  <c r="AA104"/>
  <c r="AA53"/>
  <c r="AA57"/>
  <c r="AA61"/>
  <c r="AA65"/>
  <c r="AA69"/>
  <c r="AA73"/>
  <c r="AA77"/>
  <c r="AA81"/>
  <c r="AA85"/>
  <c r="AA89"/>
  <c r="AA93"/>
  <c r="AA97"/>
  <c r="AA101"/>
  <c r="AA105"/>
  <c r="AA108"/>
  <c r="AA112"/>
  <c r="AA116"/>
  <c r="AA120"/>
  <c r="AA124"/>
  <c r="AA128"/>
  <c r="AA132"/>
  <c r="AA7"/>
  <c r="AA11"/>
  <c r="AA15"/>
  <c r="AA19"/>
  <c r="AA23"/>
  <c r="AA27"/>
  <c r="AA31"/>
  <c r="AA35"/>
  <c r="AA39"/>
  <c r="AA43"/>
  <c r="AA47"/>
  <c r="AA106"/>
  <c r="AA110"/>
  <c r="AA114"/>
  <c r="AA118"/>
  <c r="AA122"/>
  <c r="AA126"/>
  <c r="AA130"/>
  <c r="AA960"/>
  <c r="AA964"/>
  <c r="AA969"/>
  <c r="AA973"/>
  <c r="AA977"/>
  <c r="AA981"/>
  <c r="AA985"/>
  <c r="AA989"/>
  <c r="AA993"/>
  <c r="AA997"/>
  <c r="AA1001"/>
  <c r="AA107"/>
  <c r="AA111"/>
  <c r="AA115"/>
  <c r="AA119"/>
  <c r="AA123"/>
  <c r="AA127"/>
  <c r="AA131"/>
  <c r="AA135"/>
  <c r="AA139"/>
  <c r="AA143"/>
  <c r="AA147"/>
  <c r="AA151"/>
  <c r="AA155"/>
  <c r="AA159"/>
  <c r="AA163"/>
  <c r="AA167"/>
  <c r="AA171"/>
  <c r="AA175"/>
  <c r="AA179"/>
  <c r="AA183"/>
  <c r="AA187"/>
  <c r="AA191"/>
  <c r="AA195"/>
  <c r="AA961"/>
  <c r="AA965"/>
  <c r="AA966"/>
  <c r="AA970"/>
  <c r="AA974"/>
  <c r="AA978"/>
  <c r="AA982"/>
  <c r="AA986"/>
  <c r="AA990"/>
  <c r="AA994"/>
  <c r="AA998"/>
  <c r="AA136"/>
  <c r="AA140"/>
  <c r="AA144"/>
  <c r="AA148"/>
  <c r="AA152"/>
  <c r="AA156"/>
  <c r="AA160"/>
  <c r="AA164"/>
  <c r="AA168"/>
  <c r="AA172"/>
  <c r="AA176"/>
  <c r="AA180"/>
  <c r="AA184"/>
  <c r="AA188"/>
  <c r="AA192"/>
  <c r="AA196"/>
  <c r="AA962"/>
  <c r="AA967"/>
  <c r="AA971"/>
  <c r="AA975"/>
  <c r="AA979"/>
  <c r="AA983"/>
  <c r="AA987"/>
  <c r="AA991"/>
  <c r="AA995"/>
  <c r="AA999"/>
  <c r="AA109"/>
  <c r="AA113"/>
  <c r="AA117"/>
  <c r="AA121"/>
  <c r="AA125"/>
  <c r="AA129"/>
  <c r="AA133"/>
  <c r="AA137"/>
  <c r="AA141"/>
  <c r="AA145"/>
  <c r="AA149"/>
  <c r="AA153"/>
  <c r="AA157"/>
  <c r="AA161"/>
  <c r="AA165"/>
  <c r="AA169"/>
  <c r="AA173"/>
  <c r="AA177"/>
  <c r="AA181"/>
  <c r="AA185"/>
  <c r="AA189"/>
  <c r="AA193"/>
  <c r="AA197"/>
  <c r="AA699"/>
  <c r="AA703"/>
  <c r="AA134"/>
  <c r="AA3"/>
  <c r="AA4"/>
  <c r="AA8"/>
  <c r="AA12"/>
  <c r="AA16"/>
  <c r="AA20"/>
  <c r="AA5"/>
  <c r="AA9"/>
  <c r="AA13"/>
  <c r="AA6"/>
  <c r="AA10"/>
  <c r="AA14"/>
  <c r="AA18"/>
  <c r="AA22"/>
  <c r="AA26"/>
  <c r="AA30"/>
  <c r="AA34"/>
  <c r="AA38"/>
  <c r="AA42"/>
  <c r="AA46"/>
  <c r="AA50"/>
  <c r="AA199"/>
  <c r="AA203"/>
  <c r="AA207"/>
  <c r="AA319"/>
  <c r="AA323"/>
  <c r="AA327"/>
  <c r="AA331"/>
  <c r="AA335"/>
  <c r="AA339"/>
  <c r="AA343"/>
  <c r="AA347"/>
  <c r="AA351"/>
  <c r="AA355"/>
  <c r="AA359"/>
  <c r="AA363"/>
  <c r="AA367"/>
  <c r="AA371"/>
  <c r="AA375"/>
  <c r="AA379"/>
  <c r="AA383"/>
  <c r="AA387"/>
  <c r="AA391"/>
  <c r="AA395"/>
  <c r="AA399"/>
  <c r="AA403"/>
  <c r="AA407"/>
  <c r="AA411"/>
  <c r="AA415"/>
  <c r="AA419"/>
  <c r="AA423"/>
  <c r="AA427"/>
  <c r="AA431"/>
  <c r="AA435"/>
  <c r="AA439"/>
  <c r="AA443"/>
  <c r="AA447"/>
  <c r="AA451"/>
  <c r="AA455"/>
  <c r="AA459"/>
  <c r="AA463"/>
  <c r="AA467"/>
  <c r="AA471"/>
  <c r="AA475"/>
  <c r="AA479"/>
  <c r="AA483"/>
  <c r="AA487"/>
  <c r="AA491"/>
  <c r="AA495"/>
  <c r="AA499"/>
  <c r="AA503"/>
  <c r="AA507"/>
  <c r="AA511"/>
  <c r="AA515"/>
  <c r="AA519"/>
  <c r="AA523"/>
  <c r="AA527"/>
  <c r="AA531"/>
  <c r="AA535"/>
  <c r="AA539"/>
  <c r="AA543"/>
  <c r="AA547"/>
  <c r="AA551"/>
  <c r="AA555"/>
  <c r="AA559"/>
  <c r="AA563"/>
  <c r="AA567"/>
  <c r="AA571"/>
  <c r="AA575"/>
  <c r="AA579"/>
  <c r="AA583"/>
  <c r="AA587"/>
  <c r="AA591"/>
  <c r="AA595"/>
  <c r="AA599"/>
  <c r="AA603"/>
  <c r="AA607"/>
  <c r="AA611"/>
  <c r="AA615"/>
  <c r="AA619"/>
  <c r="AA623"/>
  <c r="AA627"/>
  <c r="AA631"/>
  <c r="AA635"/>
  <c r="AA639"/>
  <c r="AA643"/>
  <c r="AA647"/>
  <c r="AA651"/>
  <c r="AA655"/>
  <c r="AA659"/>
  <c r="AA663"/>
  <c r="AA667"/>
  <c r="AA671"/>
  <c r="AA675"/>
  <c r="AA679"/>
  <c r="AA683"/>
  <c r="AA687"/>
  <c r="AA691"/>
  <c r="AA695"/>
  <c r="AA700"/>
  <c r="AA704"/>
  <c r="AA707"/>
  <c r="AA711"/>
  <c r="AA715"/>
  <c r="AA719"/>
  <c r="AA723"/>
  <c r="AA727"/>
  <c r="AA731"/>
  <c r="AA735"/>
  <c r="AA739"/>
  <c r="AA743"/>
  <c r="AA747"/>
  <c r="AA751"/>
  <c r="AA755"/>
  <c r="AA759"/>
  <c r="AA763"/>
  <c r="AA767"/>
  <c r="AA771"/>
  <c r="AA787"/>
  <c r="AA791"/>
  <c r="AA795"/>
  <c r="AA799"/>
  <c r="AA803"/>
  <c r="AA807"/>
  <c r="AA811"/>
  <c r="AA815"/>
  <c r="AA819"/>
  <c r="AA823"/>
  <c r="AA827"/>
  <c r="AA831"/>
  <c r="AA835"/>
  <c r="AA839"/>
  <c r="AA843"/>
  <c r="AA847"/>
  <c r="AA851"/>
  <c r="AA855"/>
  <c r="AA859"/>
  <c r="AA863"/>
  <c r="AA867"/>
  <c r="AA871"/>
  <c r="AA875"/>
  <c r="AA879"/>
  <c r="AA883"/>
  <c r="AA887"/>
  <c r="AA891"/>
  <c r="AA895"/>
  <c r="AA899"/>
  <c r="AA903"/>
  <c r="AA907"/>
  <c r="AA911"/>
  <c r="AA915"/>
  <c r="AA919"/>
  <c r="AA923"/>
  <c r="AA927"/>
  <c r="AA931"/>
  <c r="AA935"/>
  <c r="AA939"/>
  <c r="AA943"/>
  <c r="AA947"/>
  <c r="AA951"/>
  <c r="AA953"/>
  <c r="AA957"/>
  <c r="AA24"/>
  <c r="AA28"/>
  <c r="AA32"/>
  <c r="AA36"/>
  <c r="AA40"/>
  <c r="AA44"/>
  <c r="AA48"/>
  <c r="AA320"/>
  <c r="AA324"/>
  <c r="AA328"/>
  <c r="AA332"/>
  <c r="AA336"/>
  <c r="AA340"/>
  <c r="AA344"/>
  <c r="AA348"/>
  <c r="AA352"/>
  <c r="AA356"/>
  <c r="AA360"/>
  <c r="AA364"/>
  <c r="AA368"/>
  <c r="AA372"/>
  <c r="AA376"/>
  <c r="AA380"/>
  <c r="AA384"/>
  <c r="AA388"/>
  <c r="AA392"/>
  <c r="AA396"/>
  <c r="AA400"/>
  <c r="AA404"/>
  <c r="AA408"/>
  <c r="AA412"/>
  <c r="AA416"/>
  <c r="AA420"/>
  <c r="AA424"/>
  <c r="AA428"/>
  <c r="AA432"/>
  <c r="AA436"/>
  <c r="AA440"/>
  <c r="AA444"/>
  <c r="AA448"/>
  <c r="AA452"/>
  <c r="AA456"/>
  <c r="AA460"/>
  <c r="AA464"/>
  <c r="AA468"/>
  <c r="AA472"/>
  <c r="AA476"/>
  <c r="AA480"/>
  <c r="AA484"/>
  <c r="AA488"/>
  <c r="AA492"/>
  <c r="AA496"/>
  <c r="AA500"/>
  <c r="AA504"/>
  <c r="AA508"/>
  <c r="AA512"/>
  <c r="AA516"/>
  <c r="AA520"/>
  <c r="AA524"/>
  <c r="AA528"/>
  <c r="AA532"/>
  <c r="AA536"/>
  <c r="AA540"/>
  <c r="AA544"/>
  <c r="AA548"/>
  <c r="AA552"/>
  <c r="AA556"/>
  <c r="AA560"/>
  <c r="AA564"/>
  <c r="AA568"/>
  <c r="AA572"/>
  <c r="AA576"/>
  <c r="AA580"/>
  <c r="AA584"/>
  <c r="AA588"/>
  <c r="AA592"/>
  <c r="AA596"/>
  <c r="AA601"/>
  <c r="AA604"/>
  <c r="AA608"/>
  <c r="AA612"/>
  <c r="AA616"/>
  <c r="AA620"/>
  <c r="AA624"/>
  <c r="AA628"/>
  <c r="AA632"/>
  <c r="AA636"/>
  <c r="AA640"/>
  <c r="AA644"/>
  <c r="AA648"/>
  <c r="AA652"/>
  <c r="AA656"/>
  <c r="AA660"/>
  <c r="AA664"/>
  <c r="AA668"/>
  <c r="AA672"/>
  <c r="AA676"/>
  <c r="AA680"/>
  <c r="AA684"/>
  <c r="AA688"/>
  <c r="AA692"/>
  <c r="AA696"/>
  <c r="AA697"/>
  <c r="AA701"/>
  <c r="AA768"/>
  <c r="AA772"/>
  <c r="AA776"/>
  <c r="AA784"/>
  <c r="AA788"/>
  <c r="AA792"/>
  <c r="AA796"/>
  <c r="AA800"/>
  <c r="AA804"/>
  <c r="AA808"/>
  <c r="AA812"/>
  <c r="AA816"/>
  <c r="AA820"/>
  <c r="AA824"/>
  <c r="AA828"/>
  <c r="AA832"/>
  <c r="AA836"/>
  <c r="AA840"/>
  <c r="AA844"/>
  <c r="AA848"/>
  <c r="AA852"/>
  <c r="AA856"/>
  <c r="AA860"/>
  <c r="AA864"/>
  <c r="AA868"/>
  <c r="AA872"/>
  <c r="AA876"/>
  <c r="AA880"/>
  <c r="AA884"/>
  <c r="AA888"/>
  <c r="AA892"/>
  <c r="AA896"/>
  <c r="AA900"/>
  <c r="AA904"/>
  <c r="AA908"/>
  <c r="AA912"/>
  <c r="AA916"/>
  <c r="AA920"/>
  <c r="AA924"/>
  <c r="AA928"/>
  <c r="AA932"/>
  <c r="AA936"/>
  <c r="AA940"/>
  <c r="AA944"/>
  <c r="AA948"/>
  <c r="AA952"/>
  <c r="AA954"/>
  <c r="AA958"/>
  <c r="AA17"/>
  <c r="AA21"/>
  <c r="AA25"/>
  <c r="AA29"/>
  <c r="AA33"/>
  <c r="AA37"/>
  <c r="AA41"/>
  <c r="AA45"/>
  <c r="AA49"/>
  <c r="AA317"/>
  <c r="AA321"/>
  <c r="AA325"/>
  <c r="AA329"/>
  <c r="AA333"/>
  <c r="AA337"/>
  <c r="AA341"/>
  <c r="AA345"/>
  <c r="AA349"/>
  <c r="AA353"/>
  <c r="AA357"/>
  <c r="AA361"/>
  <c r="AA365"/>
  <c r="AA369"/>
  <c r="AA373"/>
  <c r="AA377"/>
  <c r="AA381"/>
  <c r="AA385"/>
  <c r="AA389"/>
  <c r="AA393"/>
  <c r="AA397"/>
  <c r="AA401"/>
  <c r="AA405"/>
  <c r="AA409"/>
  <c r="AA413"/>
  <c r="AA417"/>
  <c r="AA421"/>
  <c r="AA425"/>
  <c r="AA429"/>
  <c r="AA433"/>
  <c r="AA437"/>
  <c r="AA441"/>
  <c r="AA445"/>
  <c r="AA449"/>
  <c r="AA453"/>
  <c r="AA457"/>
  <c r="AA461"/>
  <c r="AA465"/>
  <c r="AA469"/>
  <c r="AA473"/>
  <c r="AA477"/>
  <c r="AA481"/>
  <c r="AA485"/>
  <c r="AA489"/>
  <c r="AA493"/>
  <c r="AA497"/>
  <c r="AA501"/>
  <c r="AA505"/>
  <c r="AA509"/>
  <c r="AA513"/>
  <c r="AA517"/>
  <c r="AA521"/>
  <c r="AA525"/>
  <c r="AA529"/>
  <c r="AA533"/>
  <c r="AA537"/>
  <c r="AA541"/>
  <c r="AA545"/>
  <c r="AA549"/>
  <c r="AA553"/>
  <c r="AA557"/>
  <c r="AA561"/>
  <c r="AA565"/>
  <c r="AA569"/>
  <c r="AA573"/>
  <c r="AA577"/>
  <c r="AA581"/>
  <c r="AA585"/>
  <c r="AA589"/>
  <c r="AA593"/>
  <c r="AA597"/>
  <c r="AA605"/>
  <c r="AA609"/>
  <c r="AA613"/>
  <c r="AA617"/>
  <c r="AA621"/>
  <c r="AA625"/>
  <c r="AA629"/>
  <c r="AA633"/>
  <c r="AA637"/>
  <c r="AA641"/>
  <c r="AA645"/>
  <c r="AA649"/>
  <c r="AA653"/>
  <c r="AA657"/>
  <c r="AA661"/>
  <c r="AA665"/>
  <c r="AA669"/>
  <c r="AA673"/>
  <c r="AA677"/>
  <c r="AA681"/>
  <c r="AA685"/>
  <c r="AA689"/>
  <c r="AA693"/>
  <c r="AA698"/>
  <c r="AA702"/>
  <c r="AA705"/>
  <c r="AA729"/>
  <c r="AA737"/>
  <c r="AA741"/>
  <c r="AA745"/>
  <c r="AA749"/>
  <c r="AA753"/>
  <c r="AA757"/>
  <c r="AA761"/>
  <c r="AA765"/>
  <c r="AA769"/>
  <c r="AA773"/>
  <c r="AA777"/>
  <c r="AA781"/>
  <c r="AA785"/>
  <c r="AA789"/>
  <c r="AA793"/>
  <c r="AA797"/>
  <c r="AA801"/>
  <c r="AA805"/>
  <c r="AA809"/>
  <c r="AA813"/>
  <c r="AA817"/>
  <c r="AA821"/>
  <c r="AA825"/>
  <c r="AA829"/>
  <c r="AA833"/>
  <c r="AA837"/>
  <c r="AA841"/>
  <c r="AA845"/>
  <c r="AA849"/>
  <c r="AA853"/>
  <c r="AA857"/>
  <c r="AA861"/>
  <c r="AA865"/>
  <c r="AA869"/>
  <c r="AA873"/>
  <c r="AA877"/>
  <c r="AA881"/>
  <c r="AA885"/>
  <c r="AA889"/>
  <c r="AA893"/>
  <c r="AA897"/>
  <c r="AA901"/>
  <c r="AA905"/>
  <c r="AA909"/>
  <c r="AA913"/>
  <c r="AA917"/>
  <c r="AA921"/>
  <c r="AA925"/>
  <c r="AA929"/>
  <c r="AA933"/>
  <c r="AA937"/>
  <c r="AA941"/>
  <c r="AA945"/>
  <c r="AA949"/>
  <c r="AA955"/>
  <c r="AA959"/>
  <c r="AA211"/>
  <c r="AA215"/>
  <c r="AA219"/>
  <c r="AA223"/>
  <c r="AA227"/>
  <c r="AA231"/>
  <c r="AA235"/>
  <c r="AA239"/>
  <c r="AA243"/>
  <c r="AA247"/>
  <c r="AA251"/>
  <c r="AA255"/>
  <c r="AA259"/>
  <c r="AA263"/>
  <c r="AA267"/>
  <c r="AA271"/>
  <c r="AA275"/>
  <c r="AA279"/>
  <c r="AA283"/>
  <c r="AA287"/>
  <c r="AA291"/>
  <c r="AA295"/>
  <c r="AA299"/>
  <c r="AA303"/>
  <c r="AA307"/>
  <c r="AA311"/>
  <c r="AA315"/>
  <c r="AA200"/>
  <c r="AA204"/>
  <c r="AA208"/>
  <c r="AA212"/>
  <c r="AA216"/>
  <c r="AA220"/>
  <c r="AA224"/>
  <c r="AA228"/>
  <c r="AA232"/>
  <c r="AA236"/>
  <c r="AA240"/>
  <c r="AA244"/>
  <c r="AA248"/>
  <c r="AA252"/>
  <c r="AA256"/>
  <c r="AA260"/>
  <c r="AA264"/>
  <c r="AA268"/>
  <c r="AA272"/>
  <c r="AA276"/>
  <c r="AA280"/>
  <c r="AA284"/>
  <c r="AA288"/>
  <c r="AA292"/>
  <c r="AA296"/>
  <c r="AA300"/>
  <c r="AA304"/>
  <c r="AA308"/>
  <c r="AA312"/>
  <c r="AA316"/>
  <c r="AA201"/>
  <c r="AA205"/>
  <c r="AA209"/>
  <c r="AA213"/>
  <c r="AA217"/>
  <c r="AA221"/>
  <c r="AA225"/>
  <c r="AA229"/>
  <c r="AA233"/>
  <c r="AA237"/>
  <c r="AA241"/>
  <c r="AA245"/>
  <c r="AA249"/>
  <c r="AA253"/>
  <c r="AA257"/>
  <c r="AA261"/>
  <c r="AA265"/>
  <c r="AA269"/>
  <c r="AA273"/>
  <c r="AA277"/>
  <c r="AA281"/>
  <c r="AA285"/>
  <c r="AA289"/>
  <c r="AA293"/>
  <c r="AA297"/>
  <c r="AA301"/>
  <c r="AA305"/>
  <c r="AA309"/>
  <c r="AA313"/>
  <c r="AA706"/>
  <c r="AA710"/>
  <c r="AA714"/>
  <c r="AA718"/>
  <c r="AA722"/>
  <c r="AA726"/>
  <c r="AA730"/>
  <c r="AA734"/>
  <c r="AA738"/>
  <c r="AA742"/>
  <c r="AA746"/>
  <c r="AA750"/>
  <c r="AA754"/>
  <c r="AA758"/>
  <c r="AA762"/>
  <c r="AA766"/>
  <c r="AA770"/>
  <c r="AA774"/>
  <c r="AA778"/>
  <c r="AA782"/>
  <c r="AA775"/>
  <c r="AA779"/>
  <c r="AA783"/>
  <c r="AA708"/>
  <c r="AA712"/>
  <c r="AA716"/>
  <c r="AA720"/>
  <c r="AA724"/>
  <c r="AA728"/>
  <c r="AA732"/>
  <c r="AA736"/>
  <c r="AA740"/>
  <c r="AA744"/>
  <c r="AA748"/>
  <c r="AA752"/>
  <c r="AA756"/>
  <c r="AA760"/>
  <c r="AA764"/>
  <c r="AA780"/>
  <c r="AA709"/>
  <c r="AA713"/>
  <c r="AA717"/>
  <c r="AA721"/>
  <c r="AA725"/>
  <c r="AA733"/>
  <c r="B9" i="16" l="1"/>
  <c r="B9" i="17"/>
  <c r="B32" i="8"/>
  <c r="J32" s="1"/>
  <c r="B28"/>
  <c r="J28" s="1"/>
  <c r="B24"/>
  <c r="J24" s="1"/>
  <c r="B33"/>
  <c r="J33" s="1"/>
  <c r="B29"/>
  <c r="J29" s="1"/>
  <c r="B25"/>
  <c r="J25" s="1"/>
  <c r="B23"/>
  <c r="J23" s="1"/>
  <c r="B30"/>
  <c r="J30" s="1"/>
  <c r="B26"/>
  <c r="J26" s="1"/>
  <c r="B22"/>
  <c r="J22" s="1"/>
  <c r="B31"/>
  <c r="J31" s="1"/>
  <c r="B27"/>
  <c r="J27" s="1"/>
  <c r="H9"/>
  <c r="J49" i="10"/>
  <c r="J35"/>
  <c r="I35"/>
  <c r="H35"/>
  <c r="G35"/>
  <c r="F35"/>
  <c r="E35"/>
  <c r="D35"/>
  <c r="C35"/>
  <c r="B35"/>
  <c r="E17"/>
  <c r="E2"/>
  <c r="C2"/>
  <c r="A2"/>
  <c r="B1001" i="5"/>
  <c r="F1001" s="1"/>
  <c r="B1000"/>
  <c r="A1000" s="1"/>
  <c r="B999"/>
  <c r="H999" s="1"/>
  <c r="B998"/>
  <c r="G998" s="1"/>
  <c r="B997"/>
  <c r="F997" s="1"/>
  <c r="B996"/>
  <c r="A996" s="1"/>
  <c r="B995"/>
  <c r="H995" s="1"/>
  <c r="B994"/>
  <c r="G994" s="1"/>
  <c r="B993"/>
  <c r="F993" s="1"/>
  <c r="B992"/>
  <c r="H992" s="1"/>
  <c r="B991"/>
  <c r="H991" s="1"/>
  <c r="B990"/>
  <c r="F990" s="1"/>
  <c r="B989"/>
  <c r="D989" s="1"/>
  <c r="B988"/>
  <c r="D988" s="1"/>
  <c r="B987"/>
  <c r="H987" s="1"/>
  <c r="B986"/>
  <c r="G986" s="1"/>
  <c r="B985"/>
  <c r="C985" s="1"/>
  <c r="E985" s="1"/>
  <c r="B984"/>
  <c r="H984" s="1"/>
  <c r="B983"/>
  <c r="H983" s="1"/>
  <c r="B982"/>
  <c r="D982" s="1"/>
  <c r="B981"/>
  <c r="H981" s="1"/>
  <c r="B980"/>
  <c r="F980" s="1"/>
  <c r="B979"/>
  <c r="H979" s="1"/>
  <c r="B978"/>
  <c r="D978" s="1"/>
  <c r="B977"/>
  <c r="G977" s="1"/>
  <c r="B976"/>
  <c r="H976" s="1"/>
  <c r="B975"/>
  <c r="H975" s="1"/>
  <c r="B974"/>
  <c r="D974" s="1"/>
  <c r="B973"/>
  <c r="G973" s="1"/>
  <c r="B972"/>
  <c r="H972" s="1"/>
  <c r="B971"/>
  <c r="H971" s="1"/>
  <c r="B970"/>
  <c r="F970" s="1"/>
  <c r="B969"/>
  <c r="G969" s="1"/>
  <c r="B968"/>
  <c r="A968" s="1"/>
  <c r="B967"/>
  <c r="D967" s="1"/>
  <c r="B966"/>
  <c r="D966" s="1"/>
  <c r="B965"/>
  <c r="D965" s="1"/>
  <c r="B964"/>
  <c r="H964" s="1"/>
  <c r="B963"/>
  <c r="H963" s="1"/>
  <c r="B962"/>
  <c r="G962" s="1"/>
  <c r="B961"/>
  <c r="F961" s="1"/>
  <c r="B960"/>
  <c r="G960" s="1"/>
  <c r="B959"/>
  <c r="H959" s="1"/>
  <c r="B958"/>
  <c r="G958" s="1"/>
  <c r="B957"/>
  <c r="F957" s="1"/>
  <c r="B956"/>
  <c r="G956" s="1"/>
  <c r="B955"/>
  <c r="H955" s="1"/>
  <c r="B954"/>
  <c r="G954" s="1"/>
  <c r="B953"/>
  <c r="F953" s="1"/>
  <c r="B952"/>
  <c r="G952" s="1"/>
  <c r="B951"/>
  <c r="H951" s="1"/>
  <c r="B950"/>
  <c r="G950" s="1"/>
  <c r="B949"/>
  <c r="F949" s="1"/>
  <c r="B948"/>
  <c r="G948" s="1"/>
  <c r="B947"/>
  <c r="H947" s="1"/>
  <c r="B946"/>
  <c r="G946" s="1"/>
  <c r="B945"/>
  <c r="F945" s="1"/>
  <c r="B944"/>
  <c r="G944" s="1"/>
  <c r="B943"/>
  <c r="H943" s="1"/>
  <c r="B942"/>
  <c r="G942" s="1"/>
  <c r="B941"/>
  <c r="F941" s="1"/>
  <c r="B940"/>
  <c r="G940" s="1"/>
  <c r="B939"/>
  <c r="H939" s="1"/>
  <c r="B938"/>
  <c r="G938" s="1"/>
  <c r="B937"/>
  <c r="F937" s="1"/>
  <c r="B936"/>
  <c r="G936" s="1"/>
  <c r="B935"/>
  <c r="H935" s="1"/>
  <c r="B934"/>
  <c r="F934" s="1"/>
  <c r="B933"/>
  <c r="F933" s="1"/>
  <c r="B932"/>
  <c r="H932" s="1"/>
  <c r="B931"/>
  <c r="C931" s="1"/>
  <c r="E931" s="1"/>
  <c r="B930"/>
  <c r="F930" s="1"/>
  <c r="B929"/>
  <c r="D929" s="1"/>
  <c r="B928"/>
  <c r="C928" s="1"/>
  <c r="E928" s="1"/>
  <c r="B927"/>
  <c r="H927" s="1"/>
  <c r="B926"/>
  <c r="D926" s="1"/>
  <c r="B925"/>
  <c r="H925" s="1"/>
  <c r="B924"/>
  <c r="C924" s="1"/>
  <c r="E924" s="1"/>
  <c r="B923"/>
  <c r="H923" s="1"/>
  <c r="B922"/>
  <c r="D922" s="1"/>
  <c r="B921"/>
  <c r="G921" s="1"/>
  <c r="B920"/>
  <c r="F920" s="1"/>
  <c r="B919"/>
  <c r="H919" s="1"/>
  <c r="B918"/>
  <c r="D918" s="1"/>
  <c r="B917"/>
  <c r="G917" s="1"/>
  <c r="B916"/>
  <c r="D916" s="1"/>
  <c r="B915"/>
  <c r="H915" s="1"/>
  <c r="B914"/>
  <c r="D914" s="1"/>
  <c r="B913"/>
  <c r="F913" s="1"/>
  <c r="B912"/>
  <c r="G912" s="1"/>
  <c r="B911"/>
  <c r="H911" s="1"/>
  <c r="B910"/>
  <c r="F910" s="1"/>
  <c r="B909"/>
  <c r="F909" s="1"/>
  <c r="B908"/>
  <c r="A908" s="1"/>
  <c r="B907"/>
  <c r="H907" s="1"/>
  <c r="B906"/>
  <c r="F906" s="1"/>
  <c r="B905"/>
  <c r="A905" s="1"/>
  <c r="B904"/>
  <c r="H904" s="1"/>
  <c r="B903"/>
  <c r="H903" s="1"/>
  <c r="B902"/>
  <c r="F902" s="1"/>
  <c r="B901"/>
  <c r="C901" s="1"/>
  <c r="E901" s="1"/>
  <c r="B900"/>
  <c r="H900" s="1"/>
  <c r="B899"/>
  <c r="H899" s="1"/>
  <c r="B898"/>
  <c r="D898" s="1"/>
  <c r="B897"/>
  <c r="C897" s="1"/>
  <c r="E897" s="1"/>
  <c r="B896"/>
  <c r="H896" s="1"/>
  <c r="B895"/>
  <c r="H895" s="1"/>
  <c r="B894"/>
  <c r="D894" s="1"/>
  <c r="B893"/>
  <c r="C893" s="1"/>
  <c r="E893" s="1"/>
  <c r="B892"/>
  <c r="H892" s="1"/>
  <c r="B891"/>
  <c r="H891" s="1"/>
  <c r="B890"/>
  <c r="D890" s="1"/>
  <c r="B889"/>
  <c r="C889" s="1"/>
  <c r="E889" s="1"/>
  <c r="B888"/>
  <c r="H888" s="1"/>
  <c r="B887"/>
  <c r="H887" s="1"/>
  <c r="B886"/>
  <c r="D886" s="1"/>
  <c r="B885"/>
  <c r="C885" s="1"/>
  <c r="E885" s="1"/>
  <c r="B884"/>
  <c r="H884" s="1"/>
  <c r="B883"/>
  <c r="H883" s="1"/>
  <c r="B882"/>
  <c r="D882" s="1"/>
  <c r="B881"/>
  <c r="C881" s="1"/>
  <c r="E881" s="1"/>
  <c r="B880"/>
  <c r="H880" s="1"/>
  <c r="B879"/>
  <c r="H879" s="1"/>
  <c r="B878"/>
  <c r="D878" s="1"/>
  <c r="B877"/>
  <c r="C877" s="1"/>
  <c r="E877" s="1"/>
  <c r="B876"/>
  <c r="H876" s="1"/>
  <c r="B875"/>
  <c r="H875" s="1"/>
  <c r="B874"/>
  <c r="D874" s="1"/>
  <c r="B873"/>
  <c r="C873" s="1"/>
  <c r="E873" s="1"/>
  <c r="B872"/>
  <c r="H872" s="1"/>
  <c r="B871"/>
  <c r="H871" s="1"/>
  <c r="B870"/>
  <c r="D870" s="1"/>
  <c r="B869"/>
  <c r="C869" s="1"/>
  <c r="E869" s="1"/>
  <c r="B868"/>
  <c r="H868" s="1"/>
  <c r="B867"/>
  <c r="H867" s="1"/>
  <c r="B866"/>
  <c r="D866" s="1"/>
  <c r="B865"/>
  <c r="C865" s="1"/>
  <c r="E865" s="1"/>
  <c r="B864"/>
  <c r="H864" s="1"/>
  <c r="B863"/>
  <c r="H863" s="1"/>
  <c r="B862"/>
  <c r="D862" s="1"/>
  <c r="B861"/>
  <c r="C861" s="1"/>
  <c r="E861" s="1"/>
  <c r="B860"/>
  <c r="H860" s="1"/>
  <c r="B859"/>
  <c r="H859" s="1"/>
  <c r="B858"/>
  <c r="D858" s="1"/>
  <c r="B857"/>
  <c r="G857" s="1"/>
  <c r="B856"/>
  <c r="F856" s="1"/>
  <c r="B855"/>
  <c r="H855" s="1"/>
  <c r="B854"/>
  <c r="C854" s="1"/>
  <c r="E854" s="1"/>
  <c r="B853"/>
  <c r="F853" s="1"/>
  <c r="B852"/>
  <c r="D852" s="1"/>
  <c r="B851"/>
  <c r="H851" s="1"/>
  <c r="B850"/>
  <c r="C850" s="1"/>
  <c r="E850" s="1"/>
  <c r="B849"/>
  <c r="F849" s="1"/>
  <c r="B848"/>
  <c r="D848" s="1"/>
  <c r="B847"/>
  <c r="H847" s="1"/>
  <c r="B846"/>
  <c r="C846" s="1"/>
  <c r="E846" s="1"/>
  <c r="B845"/>
  <c r="F845" s="1"/>
  <c r="B844"/>
  <c r="D844" s="1"/>
  <c r="B843"/>
  <c r="H843" s="1"/>
  <c r="B842"/>
  <c r="C842" s="1"/>
  <c r="E842" s="1"/>
  <c r="B841"/>
  <c r="F841" s="1"/>
  <c r="B840"/>
  <c r="D840" s="1"/>
  <c r="B839"/>
  <c r="H839" s="1"/>
  <c r="B838"/>
  <c r="G838" s="1"/>
  <c r="B837"/>
  <c r="F837" s="1"/>
  <c r="B836"/>
  <c r="G836" s="1"/>
  <c r="B835"/>
  <c r="H835" s="1"/>
  <c r="B834"/>
  <c r="G834" s="1"/>
  <c r="B833"/>
  <c r="A833" s="1"/>
  <c r="B832"/>
  <c r="G832" s="1"/>
  <c r="B831"/>
  <c r="D831" s="1"/>
  <c r="B830"/>
  <c r="G830" s="1"/>
  <c r="B829"/>
  <c r="A829" s="1"/>
  <c r="B828"/>
  <c r="G828" s="1"/>
  <c r="B827"/>
  <c r="D827" s="1"/>
  <c r="B826"/>
  <c r="G826" s="1"/>
  <c r="B825"/>
  <c r="F825" s="1"/>
  <c r="B824"/>
  <c r="D824" s="1"/>
  <c r="B823"/>
  <c r="H823" s="1"/>
  <c r="B822"/>
  <c r="G822" s="1"/>
  <c r="B821"/>
  <c r="F821" s="1"/>
  <c r="B820"/>
  <c r="D820" s="1"/>
  <c r="B819"/>
  <c r="H819" s="1"/>
  <c r="B818"/>
  <c r="G818" s="1"/>
  <c r="B817"/>
  <c r="F817" s="1"/>
  <c r="B816"/>
  <c r="D816" s="1"/>
  <c r="B815"/>
  <c r="H815" s="1"/>
  <c r="B814"/>
  <c r="G814" s="1"/>
  <c r="B813"/>
  <c r="F813" s="1"/>
  <c r="B812"/>
  <c r="D812" s="1"/>
  <c r="B811"/>
  <c r="H811" s="1"/>
  <c r="B810"/>
  <c r="G810" s="1"/>
  <c r="B809"/>
  <c r="F809" s="1"/>
  <c r="B808"/>
  <c r="D808" s="1"/>
  <c r="B807"/>
  <c r="H807" s="1"/>
  <c r="B806"/>
  <c r="G806" s="1"/>
  <c r="B805"/>
  <c r="F805" s="1"/>
  <c r="B804"/>
  <c r="D804" s="1"/>
  <c r="B803"/>
  <c r="H803" s="1"/>
  <c r="B802"/>
  <c r="G802" s="1"/>
  <c r="B801"/>
  <c r="F801" s="1"/>
  <c r="B800"/>
  <c r="D800" s="1"/>
  <c r="B799"/>
  <c r="H799" s="1"/>
  <c r="B798"/>
  <c r="G798" s="1"/>
  <c r="B797"/>
  <c r="F797" s="1"/>
  <c r="B796"/>
  <c r="D796" s="1"/>
  <c r="B795"/>
  <c r="H795" s="1"/>
  <c r="B794"/>
  <c r="G794" s="1"/>
  <c r="B793"/>
  <c r="F793" s="1"/>
  <c r="B792"/>
  <c r="D792" s="1"/>
  <c r="B791"/>
  <c r="H791" s="1"/>
  <c r="B790"/>
  <c r="G790" s="1"/>
  <c r="B789"/>
  <c r="F789" s="1"/>
  <c r="B788"/>
  <c r="H788" s="1"/>
  <c r="B787"/>
  <c r="H787" s="1"/>
  <c r="B786"/>
  <c r="D786" s="1"/>
  <c r="B785"/>
  <c r="G785" s="1"/>
  <c r="B784"/>
  <c r="A784" s="1"/>
  <c r="B783"/>
  <c r="H783" s="1"/>
  <c r="B782"/>
  <c r="F782" s="1"/>
  <c r="B781"/>
  <c r="G781" s="1"/>
  <c r="B780"/>
  <c r="A780" s="1"/>
  <c r="B779"/>
  <c r="H779" s="1"/>
  <c r="B778"/>
  <c r="F778" s="1"/>
  <c r="B777"/>
  <c r="G777" s="1"/>
  <c r="B776"/>
  <c r="A776" s="1"/>
  <c r="B775"/>
  <c r="H775" s="1"/>
  <c r="B774"/>
  <c r="D774" s="1"/>
  <c r="B773"/>
  <c r="G773" s="1"/>
  <c r="B772"/>
  <c r="H772" s="1"/>
  <c r="B771"/>
  <c r="D771" s="1"/>
  <c r="B770"/>
  <c r="D770" s="1"/>
  <c r="B769"/>
  <c r="D769" s="1"/>
  <c r="B768"/>
  <c r="H768" s="1"/>
  <c r="B767"/>
  <c r="H767" s="1"/>
  <c r="B766"/>
  <c r="G766" s="1"/>
  <c r="B765"/>
  <c r="F765" s="1"/>
  <c r="B764"/>
  <c r="G764" s="1"/>
  <c r="B763"/>
  <c r="H763" s="1"/>
  <c r="B762"/>
  <c r="G762" s="1"/>
  <c r="B761"/>
  <c r="F761" s="1"/>
  <c r="B760"/>
  <c r="G760" s="1"/>
  <c r="B759"/>
  <c r="H759" s="1"/>
  <c r="B758"/>
  <c r="G758" s="1"/>
  <c r="B757"/>
  <c r="C757" s="1"/>
  <c r="E757" s="1"/>
  <c r="B756"/>
  <c r="F756" s="1"/>
  <c r="B755"/>
  <c r="H755" s="1"/>
  <c r="B754"/>
  <c r="G754" s="1"/>
  <c r="B753"/>
  <c r="D753" s="1"/>
  <c r="B752"/>
  <c r="F752" s="1"/>
  <c r="B751"/>
  <c r="H751" s="1"/>
  <c r="B750"/>
  <c r="G750" s="1"/>
  <c r="B749"/>
  <c r="D749" s="1"/>
  <c r="B748"/>
  <c r="F748" s="1"/>
  <c r="B747"/>
  <c r="H747" s="1"/>
  <c r="B746"/>
  <c r="D746" s="1"/>
  <c r="B745"/>
  <c r="G745" s="1"/>
  <c r="B744"/>
  <c r="H744" s="1"/>
  <c r="B743"/>
  <c r="H743" s="1"/>
  <c r="B742"/>
  <c r="D742" s="1"/>
  <c r="B741"/>
  <c r="G741" s="1"/>
  <c r="B740"/>
  <c r="A740" s="1"/>
  <c r="B739"/>
  <c r="H739" s="1"/>
  <c r="B738"/>
  <c r="D738" s="1"/>
  <c r="B737"/>
  <c r="G737" s="1"/>
  <c r="B736"/>
  <c r="H736" s="1"/>
  <c r="B735"/>
  <c r="H735" s="1"/>
  <c r="B734"/>
  <c r="D734" s="1"/>
  <c r="B733"/>
  <c r="G733" s="1"/>
  <c r="B732"/>
  <c r="H732" s="1"/>
  <c r="B731"/>
  <c r="H731" s="1"/>
  <c r="B730"/>
  <c r="D730" s="1"/>
  <c r="B729"/>
  <c r="G729" s="1"/>
  <c r="B728"/>
  <c r="H728" s="1"/>
  <c r="B727"/>
  <c r="H727" s="1"/>
  <c r="B726"/>
  <c r="D726" s="1"/>
  <c r="B725"/>
  <c r="G725" s="1"/>
  <c r="B724"/>
  <c r="H724" s="1"/>
  <c r="B723"/>
  <c r="H723" s="1"/>
  <c r="B722"/>
  <c r="D722" s="1"/>
  <c r="B721"/>
  <c r="G721" s="1"/>
  <c r="B720"/>
  <c r="H720" s="1"/>
  <c r="B719"/>
  <c r="H719" s="1"/>
  <c r="B718"/>
  <c r="D718" s="1"/>
  <c r="B717"/>
  <c r="G717" s="1"/>
  <c r="B716"/>
  <c r="H716" s="1"/>
  <c r="B715"/>
  <c r="H715" s="1"/>
  <c r="B714"/>
  <c r="D714" s="1"/>
  <c r="B713"/>
  <c r="G713" s="1"/>
  <c r="B712"/>
  <c r="D712" s="1"/>
  <c r="B711"/>
  <c r="H711" s="1"/>
  <c r="B710"/>
  <c r="G710" s="1"/>
  <c r="B709"/>
  <c r="C709" s="1"/>
  <c r="E709" s="1"/>
  <c r="B708"/>
  <c r="G708" s="1"/>
  <c r="B707"/>
  <c r="H707" s="1"/>
  <c r="B706"/>
  <c r="G706" s="1"/>
  <c r="B705"/>
  <c r="D705" s="1"/>
  <c r="B704"/>
  <c r="H704" s="1"/>
  <c r="B703"/>
  <c r="H703" s="1"/>
  <c r="B702"/>
  <c r="A702" s="1"/>
  <c r="B701"/>
  <c r="D701" s="1"/>
  <c r="B700"/>
  <c r="F700" s="1"/>
  <c r="B699"/>
  <c r="H699" s="1"/>
  <c r="B698"/>
  <c r="F698" s="1"/>
  <c r="B697"/>
  <c r="G697" s="1"/>
  <c r="B696"/>
  <c r="A696" s="1"/>
  <c r="B695"/>
  <c r="H695" s="1"/>
  <c r="B694"/>
  <c r="B693"/>
  <c r="F693" s="1"/>
  <c r="B692"/>
  <c r="C692" s="1"/>
  <c r="E692" s="1"/>
  <c r="B691"/>
  <c r="B690"/>
  <c r="H690" s="1"/>
  <c r="B689"/>
  <c r="F689" s="1"/>
  <c r="B688"/>
  <c r="C688" s="1"/>
  <c r="E688" s="1"/>
  <c r="B687"/>
  <c r="D687" s="1"/>
  <c r="B686"/>
  <c r="H686" s="1"/>
  <c r="B685"/>
  <c r="F685" s="1"/>
  <c r="B684"/>
  <c r="C684" s="1"/>
  <c r="E684" s="1"/>
  <c r="B683"/>
  <c r="D683" s="1"/>
  <c r="B682"/>
  <c r="H682" s="1"/>
  <c r="B681"/>
  <c r="F681" s="1"/>
  <c r="B680"/>
  <c r="C680" s="1"/>
  <c r="E680" s="1"/>
  <c r="B679"/>
  <c r="D679" s="1"/>
  <c r="B678"/>
  <c r="G678" s="1"/>
  <c r="B677"/>
  <c r="B676"/>
  <c r="D676" s="1"/>
  <c r="B675"/>
  <c r="G675" s="1"/>
  <c r="B674"/>
  <c r="H674" s="1"/>
  <c r="B673"/>
  <c r="G673" s="1"/>
  <c r="B672"/>
  <c r="F672" s="1"/>
  <c r="B671"/>
  <c r="B670"/>
  <c r="H670" s="1"/>
  <c r="B669"/>
  <c r="F669" s="1"/>
  <c r="B668"/>
  <c r="G668" s="1"/>
  <c r="B667"/>
  <c r="B666"/>
  <c r="A666" s="1"/>
  <c r="B665"/>
  <c r="H665" s="1"/>
  <c r="B664"/>
  <c r="F664" s="1"/>
  <c r="B663"/>
  <c r="G663" s="1"/>
  <c r="B662"/>
  <c r="H662" s="1"/>
  <c r="B661"/>
  <c r="H661" s="1"/>
  <c r="B660"/>
  <c r="F660" s="1"/>
  <c r="B659"/>
  <c r="G659" s="1"/>
  <c r="B658"/>
  <c r="H658" s="1"/>
  <c r="B657"/>
  <c r="H657" s="1"/>
  <c r="B656"/>
  <c r="D656" s="1"/>
  <c r="B655"/>
  <c r="F655" s="1"/>
  <c r="B654"/>
  <c r="G654" s="1"/>
  <c r="B653"/>
  <c r="H653" s="1"/>
  <c r="B652"/>
  <c r="G652" s="1"/>
  <c r="B651"/>
  <c r="F651" s="1"/>
  <c r="B650"/>
  <c r="G650" s="1"/>
  <c r="B649"/>
  <c r="H649" s="1"/>
  <c r="B648"/>
  <c r="G648" s="1"/>
  <c r="B647"/>
  <c r="F647" s="1"/>
  <c r="B646"/>
  <c r="G646" s="1"/>
  <c r="B645"/>
  <c r="H645" s="1"/>
  <c r="B644"/>
  <c r="F644" s="1"/>
  <c r="B643"/>
  <c r="G643" s="1"/>
  <c r="B642"/>
  <c r="H642" s="1"/>
  <c r="B641"/>
  <c r="H641" s="1"/>
  <c r="B640"/>
  <c r="F640" s="1"/>
  <c r="B639"/>
  <c r="G639" s="1"/>
  <c r="B638"/>
  <c r="F638" s="1"/>
  <c r="B637"/>
  <c r="H637" s="1"/>
  <c r="B636"/>
  <c r="C636" s="1"/>
  <c r="E636" s="1"/>
  <c r="B635"/>
  <c r="G635" s="1"/>
  <c r="B634"/>
  <c r="F634" s="1"/>
  <c r="B633"/>
  <c r="H633" s="1"/>
  <c r="B632"/>
  <c r="C632" s="1"/>
  <c r="E632" s="1"/>
  <c r="B631"/>
  <c r="G631" s="1"/>
  <c r="B630"/>
  <c r="F630" s="1"/>
  <c r="B629"/>
  <c r="H629" s="1"/>
  <c r="B628"/>
  <c r="C628" s="1"/>
  <c r="E628" s="1"/>
  <c r="B627"/>
  <c r="G627" s="1"/>
  <c r="B626"/>
  <c r="F626" s="1"/>
  <c r="B625"/>
  <c r="H625" s="1"/>
  <c r="B624"/>
  <c r="C624" s="1"/>
  <c r="E624" s="1"/>
  <c r="B623"/>
  <c r="G623" s="1"/>
  <c r="B622"/>
  <c r="F622" s="1"/>
  <c r="B621"/>
  <c r="H621" s="1"/>
  <c r="B620"/>
  <c r="C620" s="1"/>
  <c r="E620" s="1"/>
  <c r="B619"/>
  <c r="G619" s="1"/>
  <c r="B618"/>
  <c r="F618" s="1"/>
  <c r="B617"/>
  <c r="H617" s="1"/>
  <c r="B616"/>
  <c r="C616" s="1"/>
  <c r="E616" s="1"/>
  <c r="B615"/>
  <c r="G615" s="1"/>
  <c r="B614"/>
  <c r="F614" s="1"/>
  <c r="B613"/>
  <c r="H613" s="1"/>
  <c r="B612"/>
  <c r="C612" s="1"/>
  <c r="E612" s="1"/>
  <c r="B611"/>
  <c r="G611" s="1"/>
  <c r="B610"/>
  <c r="F610" s="1"/>
  <c r="B609"/>
  <c r="H609" s="1"/>
  <c r="B608"/>
  <c r="C608" s="1"/>
  <c r="E608" s="1"/>
  <c r="B607"/>
  <c r="G607" s="1"/>
  <c r="B606"/>
  <c r="F606" s="1"/>
  <c r="B605"/>
  <c r="H605" s="1"/>
  <c r="B604"/>
  <c r="C604" s="1"/>
  <c r="E604" s="1"/>
  <c r="B603"/>
  <c r="G603" s="1"/>
  <c r="B602"/>
  <c r="B601"/>
  <c r="H601" s="1"/>
  <c r="B600"/>
  <c r="B599"/>
  <c r="D599" s="1"/>
  <c r="B598"/>
  <c r="D598" s="1"/>
  <c r="B597"/>
  <c r="A597" s="1"/>
  <c r="B596"/>
  <c r="F596" s="1"/>
  <c r="B595"/>
  <c r="H595" s="1"/>
  <c r="B594"/>
  <c r="D594" s="1"/>
  <c r="B593"/>
  <c r="G593" s="1"/>
  <c r="B592"/>
  <c r="F592" s="1"/>
  <c r="B591"/>
  <c r="H591" s="1"/>
  <c r="B590"/>
  <c r="D590" s="1"/>
  <c r="B589"/>
  <c r="G589" s="1"/>
  <c r="B588"/>
  <c r="F588" s="1"/>
  <c r="B587"/>
  <c r="H587" s="1"/>
  <c r="B586"/>
  <c r="D586" s="1"/>
  <c r="B585"/>
  <c r="G585" s="1"/>
  <c r="B584"/>
  <c r="F584" s="1"/>
  <c r="B583"/>
  <c r="H583" s="1"/>
  <c r="B582"/>
  <c r="D582" s="1"/>
  <c r="B581"/>
  <c r="G581" s="1"/>
  <c r="B580"/>
  <c r="F580" s="1"/>
  <c r="B579"/>
  <c r="H579" s="1"/>
  <c r="B578"/>
  <c r="D578" s="1"/>
  <c r="B577"/>
  <c r="G577" s="1"/>
  <c r="B576"/>
  <c r="F576" s="1"/>
  <c r="B575"/>
  <c r="H575" s="1"/>
  <c r="B574"/>
  <c r="D574" s="1"/>
  <c r="B573"/>
  <c r="G573" s="1"/>
  <c r="B572"/>
  <c r="F572" s="1"/>
  <c r="B571"/>
  <c r="H571" s="1"/>
  <c r="B570"/>
  <c r="D570" s="1"/>
  <c r="B569"/>
  <c r="G569" s="1"/>
  <c r="B568"/>
  <c r="F568" s="1"/>
  <c r="B567"/>
  <c r="H567" s="1"/>
  <c r="B566"/>
  <c r="D566" s="1"/>
  <c r="B565"/>
  <c r="G565" s="1"/>
  <c r="B564"/>
  <c r="F564" s="1"/>
  <c r="B563"/>
  <c r="H563" s="1"/>
  <c r="B562"/>
  <c r="D562" s="1"/>
  <c r="B561"/>
  <c r="G561" s="1"/>
  <c r="B560"/>
  <c r="F560" s="1"/>
  <c r="B559"/>
  <c r="H559" s="1"/>
  <c r="B558"/>
  <c r="D558" s="1"/>
  <c r="B557"/>
  <c r="C557" s="1"/>
  <c r="E557" s="1"/>
  <c r="B556"/>
  <c r="G556" s="1"/>
  <c r="B555"/>
  <c r="F555" s="1"/>
  <c r="B554"/>
  <c r="H554" s="1"/>
  <c r="B553"/>
  <c r="D553" s="1"/>
  <c r="B552"/>
  <c r="G552" s="1"/>
  <c r="B551"/>
  <c r="F551" s="1"/>
  <c r="B550"/>
  <c r="H550" s="1"/>
  <c r="B549"/>
  <c r="D549" s="1"/>
  <c r="B548"/>
  <c r="G548" s="1"/>
  <c r="B547"/>
  <c r="B546"/>
  <c r="H546" s="1"/>
  <c r="B545"/>
  <c r="D545" s="1"/>
  <c r="B544"/>
  <c r="D544" s="1"/>
  <c r="B543"/>
  <c r="G543" s="1"/>
  <c r="B542"/>
  <c r="H542" s="1"/>
  <c r="B541"/>
  <c r="D541" s="1"/>
  <c r="B540"/>
  <c r="A540" s="1"/>
  <c r="B539"/>
  <c r="C539" s="1"/>
  <c r="E539" s="1"/>
  <c r="B538"/>
  <c r="F538" s="1"/>
  <c r="B537"/>
  <c r="H537" s="1"/>
  <c r="B536"/>
  <c r="G536" s="1"/>
  <c r="B535"/>
  <c r="C535" s="1"/>
  <c r="E535" s="1"/>
  <c r="B534"/>
  <c r="F534" s="1"/>
  <c r="B533"/>
  <c r="H533" s="1"/>
  <c r="B532"/>
  <c r="G532" s="1"/>
  <c r="B531"/>
  <c r="C531" s="1"/>
  <c r="E531" s="1"/>
  <c r="B530"/>
  <c r="F530" s="1"/>
  <c r="B529"/>
  <c r="H529" s="1"/>
  <c r="B528"/>
  <c r="G528" s="1"/>
  <c r="B527"/>
  <c r="C527" s="1"/>
  <c r="E527" s="1"/>
  <c r="B526"/>
  <c r="F526" s="1"/>
  <c r="B525"/>
  <c r="H525" s="1"/>
  <c r="B524"/>
  <c r="G524" s="1"/>
  <c r="B523"/>
  <c r="C523" s="1"/>
  <c r="E523" s="1"/>
  <c r="B522"/>
  <c r="F522" s="1"/>
  <c r="B521"/>
  <c r="H521" s="1"/>
  <c r="B520"/>
  <c r="G520" s="1"/>
  <c r="B519"/>
  <c r="C519" s="1"/>
  <c r="E519" s="1"/>
  <c r="B518"/>
  <c r="F518" s="1"/>
  <c r="B517"/>
  <c r="H517" s="1"/>
  <c r="B516"/>
  <c r="G516" s="1"/>
  <c r="B515"/>
  <c r="C515" s="1"/>
  <c r="E515" s="1"/>
  <c r="B514"/>
  <c r="F514" s="1"/>
  <c r="B513"/>
  <c r="H513" s="1"/>
  <c r="B512"/>
  <c r="G512" s="1"/>
  <c r="B511"/>
  <c r="C511" s="1"/>
  <c r="E511" s="1"/>
  <c r="B510"/>
  <c r="F510" s="1"/>
  <c r="B509"/>
  <c r="H509" s="1"/>
  <c r="B508"/>
  <c r="G508" s="1"/>
  <c r="B507"/>
  <c r="C507" s="1"/>
  <c r="E507" s="1"/>
  <c r="B506"/>
  <c r="F506" s="1"/>
  <c r="B505"/>
  <c r="H505" s="1"/>
  <c r="B504"/>
  <c r="G504" s="1"/>
  <c r="B503"/>
  <c r="C503" s="1"/>
  <c r="E503" s="1"/>
  <c r="B502"/>
  <c r="F502" s="1"/>
  <c r="B501"/>
  <c r="H501" s="1"/>
  <c r="B500"/>
  <c r="G500" s="1"/>
  <c r="B499"/>
  <c r="C499" s="1"/>
  <c r="E499" s="1"/>
  <c r="B498"/>
  <c r="F498" s="1"/>
  <c r="B497"/>
  <c r="H497" s="1"/>
  <c r="B496"/>
  <c r="G496" s="1"/>
  <c r="B495"/>
  <c r="C495" s="1"/>
  <c r="E495" s="1"/>
  <c r="B494"/>
  <c r="F494" s="1"/>
  <c r="B493"/>
  <c r="H493" s="1"/>
  <c r="B492"/>
  <c r="G492" s="1"/>
  <c r="B491"/>
  <c r="C491" s="1"/>
  <c r="E491" s="1"/>
  <c r="B490"/>
  <c r="F490" s="1"/>
  <c r="B489"/>
  <c r="H489" s="1"/>
  <c r="B488"/>
  <c r="G488" s="1"/>
  <c r="B487"/>
  <c r="C487" s="1"/>
  <c r="E487" s="1"/>
  <c r="B486"/>
  <c r="F486" s="1"/>
  <c r="B485"/>
  <c r="H485" s="1"/>
  <c r="B484"/>
  <c r="G484" s="1"/>
  <c r="B483"/>
  <c r="C483" s="1"/>
  <c r="E483" s="1"/>
  <c r="B482"/>
  <c r="F482" s="1"/>
  <c r="B481"/>
  <c r="H481" s="1"/>
  <c r="B480"/>
  <c r="G480" s="1"/>
  <c r="B479"/>
  <c r="C479" s="1"/>
  <c r="E479" s="1"/>
  <c r="B478"/>
  <c r="F478" s="1"/>
  <c r="B477"/>
  <c r="H477" s="1"/>
  <c r="B476"/>
  <c r="G476" s="1"/>
  <c r="B475"/>
  <c r="C475" s="1"/>
  <c r="E475" s="1"/>
  <c r="B474"/>
  <c r="F474" s="1"/>
  <c r="B473"/>
  <c r="H473" s="1"/>
  <c r="B472"/>
  <c r="G472" s="1"/>
  <c r="B471"/>
  <c r="C471" s="1"/>
  <c r="E471" s="1"/>
  <c r="B470"/>
  <c r="F470" s="1"/>
  <c r="B469"/>
  <c r="H469" s="1"/>
  <c r="B468"/>
  <c r="G468" s="1"/>
  <c r="B467"/>
  <c r="C467" s="1"/>
  <c r="E467" s="1"/>
  <c r="B466"/>
  <c r="F466" s="1"/>
  <c r="B465"/>
  <c r="H465" s="1"/>
  <c r="B464"/>
  <c r="G464" s="1"/>
  <c r="B463"/>
  <c r="C463" s="1"/>
  <c r="E463" s="1"/>
  <c r="B462"/>
  <c r="F462" s="1"/>
  <c r="B461"/>
  <c r="H461" s="1"/>
  <c r="B460"/>
  <c r="G460" s="1"/>
  <c r="B459"/>
  <c r="C459" s="1"/>
  <c r="E459" s="1"/>
  <c r="B458"/>
  <c r="F458" s="1"/>
  <c r="B457"/>
  <c r="H457" s="1"/>
  <c r="B456"/>
  <c r="G456" s="1"/>
  <c r="B455"/>
  <c r="H455" s="1"/>
  <c r="B454"/>
  <c r="F454" s="1"/>
  <c r="B453"/>
  <c r="H453" s="1"/>
  <c r="B452"/>
  <c r="G452" s="1"/>
  <c r="B451"/>
  <c r="H451" s="1"/>
  <c r="B450"/>
  <c r="F450" s="1"/>
  <c r="B449"/>
  <c r="H449" s="1"/>
  <c r="B448"/>
  <c r="G448" s="1"/>
  <c r="B447"/>
  <c r="C447" s="1"/>
  <c r="E447" s="1"/>
  <c r="B446"/>
  <c r="F446" s="1"/>
  <c r="B445"/>
  <c r="H445" s="1"/>
  <c r="B444"/>
  <c r="G444" s="1"/>
  <c r="B443"/>
  <c r="C443" s="1"/>
  <c r="E443" s="1"/>
  <c r="B442"/>
  <c r="F442" s="1"/>
  <c r="B441"/>
  <c r="H441" s="1"/>
  <c r="B440"/>
  <c r="G440" s="1"/>
  <c r="B439"/>
  <c r="C439" s="1"/>
  <c r="E439" s="1"/>
  <c r="B438"/>
  <c r="F438" s="1"/>
  <c r="B437"/>
  <c r="H437" s="1"/>
  <c r="B436"/>
  <c r="G436" s="1"/>
  <c r="B435"/>
  <c r="C435" s="1"/>
  <c r="E435" s="1"/>
  <c r="B434"/>
  <c r="F434" s="1"/>
  <c r="B433"/>
  <c r="H433" s="1"/>
  <c r="B432"/>
  <c r="G432" s="1"/>
  <c r="B431"/>
  <c r="C431" s="1"/>
  <c r="E431" s="1"/>
  <c r="B430"/>
  <c r="F430" s="1"/>
  <c r="B429"/>
  <c r="H429" s="1"/>
  <c r="B428"/>
  <c r="G428" s="1"/>
  <c r="B427"/>
  <c r="C427" s="1"/>
  <c r="E427" s="1"/>
  <c r="B426"/>
  <c r="F426" s="1"/>
  <c r="B425"/>
  <c r="H425" s="1"/>
  <c r="B424"/>
  <c r="G424" s="1"/>
  <c r="B423"/>
  <c r="C423" s="1"/>
  <c r="E423" s="1"/>
  <c r="B422"/>
  <c r="F422" s="1"/>
  <c r="B421"/>
  <c r="H421" s="1"/>
  <c r="B420"/>
  <c r="G420" s="1"/>
  <c r="B419"/>
  <c r="C419" s="1"/>
  <c r="E419" s="1"/>
  <c r="B418"/>
  <c r="F418" s="1"/>
  <c r="B417"/>
  <c r="H417" s="1"/>
  <c r="B416"/>
  <c r="G416" s="1"/>
  <c r="B415"/>
  <c r="C415" s="1"/>
  <c r="E415" s="1"/>
  <c r="B414"/>
  <c r="F414" s="1"/>
  <c r="B413"/>
  <c r="H413" s="1"/>
  <c r="B412"/>
  <c r="G412" s="1"/>
  <c r="B411"/>
  <c r="C411" s="1"/>
  <c r="E411" s="1"/>
  <c r="B410"/>
  <c r="F410" s="1"/>
  <c r="B409"/>
  <c r="H409" s="1"/>
  <c r="B408"/>
  <c r="G408" s="1"/>
  <c r="B407"/>
  <c r="C407" s="1"/>
  <c r="E407" s="1"/>
  <c r="B406"/>
  <c r="F406" s="1"/>
  <c r="B405"/>
  <c r="H405" s="1"/>
  <c r="B404"/>
  <c r="G404" s="1"/>
  <c r="B403"/>
  <c r="C403" s="1"/>
  <c r="E403" s="1"/>
  <c r="B402"/>
  <c r="F402" s="1"/>
  <c r="B401"/>
  <c r="H401" s="1"/>
  <c r="B400"/>
  <c r="G400" s="1"/>
  <c r="B399"/>
  <c r="C399" s="1"/>
  <c r="E399" s="1"/>
  <c r="B398"/>
  <c r="F398" s="1"/>
  <c r="B397"/>
  <c r="H397" s="1"/>
  <c r="B396"/>
  <c r="G396" s="1"/>
  <c r="B395"/>
  <c r="C395" s="1"/>
  <c r="E395" s="1"/>
  <c r="B394"/>
  <c r="F394" s="1"/>
  <c r="B393"/>
  <c r="H393" s="1"/>
  <c r="B392"/>
  <c r="G392" s="1"/>
  <c r="B391"/>
  <c r="C391" s="1"/>
  <c r="E391" s="1"/>
  <c r="B390"/>
  <c r="F390" s="1"/>
  <c r="B389"/>
  <c r="H389" s="1"/>
  <c r="B388"/>
  <c r="G388" s="1"/>
  <c r="B387"/>
  <c r="C387" s="1"/>
  <c r="E387" s="1"/>
  <c r="B386"/>
  <c r="F386" s="1"/>
  <c r="B385"/>
  <c r="H385" s="1"/>
  <c r="B384"/>
  <c r="G384" s="1"/>
  <c r="B383"/>
  <c r="C383" s="1"/>
  <c r="E383" s="1"/>
  <c r="B382"/>
  <c r="F382" s="1"/>
  <c r="B381"/>
  <c r="H381" s="1"/>
  <c r="B380"/>
  <c r="G380" s="1"/>
  <c r="B379"/>
  <c r="C379" s="1"/>
  <c r="E379" s="1"/>
  <c r="B378"/>
  <c r="F378" s="1"/>
  <c r="B377"/>
  <c r="H377" s="1"/>
  <c r="B376"/>
  <c r="G376" s="1"/>
  <c r="B375"/>
  <c r="C375" s="1"/>
  <c r="E375" s="1"/>
  <c r="B374"/>
  <c r="F374" s="1"/>
  <c r="B373"/>
  <c r="H373" s="1"/>
  <c r="B372"/>
  <c r="G372" s="1"/>
  <c r="B371"/>
  <c r="C371" s="1"/>
  <c r="E371" s="1"/>
  <c r="B370"/>
  <c r="F370" s="1"/>
  <c r="B369"/>
  <c r="H369" s="1"/>
  <c r="B368"/>
  <c r="G368" s="1"/>
  <c r="B367"/>
  <c r="C367" s="1"/>
  <c r="E367" s="1"/>
  <c r="B366"/>
  <c r="F366" s="1"/>
  <c r="B365"/>
  <c r="H365" s="1"/>
  <c r="B364"/>
  <c r="G364" s="1"/>
  <c r="B363"/>
  <c r="C363" s="1"/>
  <c r="E363" s="1"/>
  <c r="B362"/>
  <c r="F362" s="1"/>
  <c r="B361"/>
  <c r="H361" s="1"/>
  <c r="B360"/>
  <c r="G360" s="1"/>
  <c r="B359"/>
  <c r="C359" s="1"/>
  <c r="E359" s="1"/>
  <c r="B358"/>
  <c r="F358" s="1"/>
  <c r="B357"/>
  <c r="H357" s="1"/>
  <c r="B356"/>
  <c r="G356" s="1"/>
  <c r="B355"/>
  <c r="C355" s="1"/>
  <c r="E355" s="1"/>
  <c r="B354"/>
  <c r="F354" s="1"/>
  <c r="B353"/>
  <c r="H353" s="1"/>
  <c r="B352"/>
  <c r="G352" s="1"/>
  <c r="B351"/>
  <c r="C351" s="1"/>
  <c r="E351" s="1"/>
  <c r="B350"/>
  <c r="F350" s="1"/>
  <c r="B349"/>
  <c r="H349" s="1"/>
  <c r="B348"/>
  <c r="G348" s="1"/>
  <c r="B347"/>
  <c r="C347" s="1"/>
  <c r="E347" s="1"/>
  <c r="B346"/>
  <c r="F346" s="1"/>
  <c r="B345"/>
  <c r="H345" s="1"/>
  <c r="B344"/>
  <c r="G344" s="1"/>
  <c r="B343"/>
  <c r="C343" s="1"/>
  <c r="E343" s="1"/>
  <c r="B342"/>
  <c r="F342" s="1"/>
  <c r="B341"/>
  <c r="H341" s="1"/>
  <c r="B340"/>
  <c r="G340" s="1"/>
  <c r="B339"/>
  <c r="C339" s="1"/>
  <c r="E339" s="1"/>
  <c r="B338"/>
  <c r="F338" s="1"/>
  <c r="B337"/>
  <c r="H337" s="1"/>
  <c r="B336"/>
  <c r="G336" s="1"/>
  <c r="B335"/>
  <c r="C335" s="1"/>
  <c r="E335" s="1"/>
  <c r="B334"/>
  <c r="F334" s="1"/>
  <c r="B333"/>
  <c r="H333" s="1"/>
  <c r="B332"/>
  <c r="G332" s="1"/>
  <c r="B331"/>
  <c r="C331" s="1"/>
  <c r="E331" s="1"/>
  <c r="B330"/>
  <c r="F330" s="1"/>
  <c r="B329"/>
  <c r="H329" s="1"/>
  <c r="B328"/>
  <c r="G328" s="1"/>
  <c r="B327"/>
  <c r="C327" s="1"/>
  <c r="E327" s="1"/>
  <c r="B326"/>
  <c r="F326" s="1"/>
  <c r="B325"/>
  <c r="H325" s="1"/>
  <c r="B324"/>
  <c r="G324" s="1"/>
  <c r="B323"/>
  <c r="C323" s="1"/>
  <c r="E323" s="1"/>
  <c r="B322"/>
  <c r="F322" s="1"/>
  <c r="B321"/>
  <c r="H321" s="1"/>
  <c r="B320"/>
  <c r="G320" s="1"/>
  <c r="B319"/>
  <c r="G319" s="1"/>
  <c r="B318"/>
  <c r="A318" s="1"/>
  <c r="B317"/>
  <c r="H317" s="1"/>
  <c r="B316"/>
  <c r="H316" s="1"/>
  <c r="B315"/>
  <c r="F315" s="1"/>
  <c r="B314"/>
  <c r="G314" s="1"/>
  <c r="B313"/>
  <c r="H313" s="1"/>
  <c r="B312"/>
  <c r="B311"/>
  <c r="H311" s="1"/>
  <c r="B310"/>
  <c r="F310" s="1"/>
  <c r="B309"/>
  <c r="G309" s="1"/>
  <c r="B308"/>
  <c r="D308" s="1"/>
  <c r="B307"/>
  <c r="H307" s="1"/>
  <c r="B306"/>
  <c r="G306" s="1"/>
  <c r="B305"/>
  <c r="D305" s="1"/>
  <c r="B304"/>
  <c r="G304" s="1"/>
  <c r="B303"/>
  <c r="H303" s="1"/>
  <c r="B302"/>
  <c r="G302" s="1"/>
  <c r="B301"/>
  <c r="F301" s="1"/>
  <c r="B300"/>
  <c r="G300" s="1"/>
  <c r="B299"/>
  <c r="H299" s="1"/>
  <c r="B298"/>
  <c r="G298" s="1"/>
  <c r="B297"/>
  <c r="C297" s="1"/>
  <c r="E297" s="1"/>
  <c r="B296"/>
  <c r="G296" s="1"/>
  <c r="B295"/>
  <c r="H295" s="1"/>
  <c r="B294"/>
  <c r="G294" s="1"/>
  <c r="B293"/>
  <c r="C293" s="1"/>
  <c r="E293" s="1"/>
  <c r="B292"/>
  <c r="B291"/>
  <c r="H291" s="1"/>
  <c r="B290"/>
  <c r="G290" s="1"/>
  <c r="B289"/>
  <c r="C289" s="1"/>
  <c r="E289" s="1"/>
  <c r="B288"/>
  <c r="G288" s="1"/>
  <c r="B287"/>
  <c r="H287" s="1"/>
  <c r="B286"/>
  <c r="G286" s="1"/>
  <c r="B285"/>
  <c r="C285" s="1"/>
  <c r="E285" s="1"/>
  <c r="B284"/>
  <c r="G284" s="1"/>
  <c r="B283"/>
  <c r="A283" s="1"/>
  <c r="B282"/>
  <c r="H282" s="1"/>
  <c r="B281"/>
  <c r="G281" s="1"/>
  <c r="B280"/>
  <c r="D280" s="1"/>
  <c r="B279"/>
  <c r="F279" s="1"/>
  <c r="B278"/>
  <c r="H278" s="1"/>
  <c r="B277"/>
  <c r="F277" s="1"/>
  <c r="B276"/>
  <c r="D276" s="1"/>
  <c r="B275"/>
  <c r="H275" s="1"/>
  <c r="B274"/>
  <c r="H274" s="1"/>
  <c r="B273"/>
  <c r="G273" s="1"/>
  <c r="B272"/>
  <c r="B271"/>
  <c r="D271" s="1"/>
  <c r="B270"/>
  <c r="G270" s="1"/>
  <c r="B269"/>
  <c r="H269" s="1"/>
  <c r="B268"/>
  <c r="G268" s="1"/>
  <c r="B267"/>
  <c r="B266"/>
  <c r="G266" s="1"/>
  <c r="B265"/>
  <c r="H265" s="1"/>
  <c r="B264"/>
  <c r="G264" s="1"/>
  <c r="B263"/>
  <c r="A263" s="1"/>
  <c r="B262"/>
  <c r="F262" s="1"/>
  <c r="B261"/>
  <c r="G261" s="1"/>
  <c r="B260"/>
  <c r="H260" s="1"/>
  <c r="B259"/>
  <c r="B258"/>
  <c r="G258" s="1"/>
  <c r="B257"/>
  <c r="H257" s="1"/>
  <c r="B256"/>
  <c r="H256" s="1"/>
  <c r="B255"/>
  <c r="C255" s="1"/>
  <c r="E255" s="1"/>
  <c r="B254"/>
  <c r="G254" s="1"/>
  <c r="B253"/>
  <c r="F253" s="1"/>
  <c r="B252"/>
  <c r="H252" s="1"/>
  <c r="B251"/>
  <c r="C251" s="1"/>
  <c r="E251" s="1"/>
  <c r="B250"/>
  <c r="F250" s="1"/>
  <c r="B249"/>
  <c r="G249" s="1"/>
  <c r="B248"/>
  <c r="H248" s="1"/>
  <c r="B247"/>
  <c r="G247" s="1"/>
  <c r="B246"/>
  <c r="D246" s="1"/>
  <c r="B245"/>
  <c r="C245" s="1"/>
  <c r="E245" s="1"/>
  <c r="B244"/>
  <c r="H244" s="1"/>
  <c r="B243"/>
  <c r="C243" s="1"/>
  <c r="E243" s="1"/>
  <c r="B242"/>
  <c r="D242" s="1"/>
  <c r="B241"/>
  <c r="H241" s="1"/>
  <c r="B240"/>
  <c r="H240" s="1"/>
  <c r="B239"/>
  <c r="G239" s="1"/>
  <c r="B238"/>
  <c r="G238" s="1"/>
  <c r="B237"/>
  <c r="F237" s="1"/>
  <c r="B236"/>
  <c r="H236" s="1"/>
  <c r="B235"/>
  <c r="C235" s="1"/>
  <c r="E235" s="1"/>
  <c r="B234"/>
  <c r="G234" s="1"/>
  <c r="B233"/>
  <c r="F233" s="1"/>
  <c r="B232"/>
  <c r="B231"/>
  <c r="G231" s="1"/>
  <c r="B230"/>
  <c r="F230" s="1"/>
  <c r="B229"/>
  <c r="H229" s="1"/>
  <c r="B228"/>
  <c r="H228" s="1"/>
  <c r="B227"/>
  <c r="G227" s="1"/>
  <c r="B226"/>
  <c r="H226" s="1"/>
  <c r="B225"/>
  <c r="G225" s="1"/>
  <c r="B224"/>
  <c r="H224" s="1"/>
  <c r="B223"/>
  <c r="G223" s="1"/>
  <c r="B222"/>
  <c r="D222" s="1"/>
  <c r="B221"/>
  <c r="F221" s="1"/>
  <c r="B220"/>
  <c r="H220" s="1"/>
  <c r="B219"/>
  <c r="F219" s="1"/>
  <c r="B218"/>
  <c r="C218" s="1"/>
  <c r="E218" s="1"/>
  <c r="B217"/>
  <c r="H217" s="1"/>
  <c r="B216"/>
  <c r="H216" s="1"/>
  <c r="B215"/>
  <c r="D215" s="1"/>
  <c r="B214"/>
  <c r="C214" s="1"/>
  <c r="E214" s="1"/>
  <c r="B213"/>
  <c r="H213" s="1"/>
  <c r="B212"/>
  <c r="H212" s="1"/>
  <c r="B211"/>
  <c r="D211" s="1"/>
  <c r="B210"/>
  <c r="C210" s="1"/>
  <c r="E210" s="1"/>
  <c r="B209"/>
  <c r="A209" s="1"/>
  <c r="B208"/>
  <c r="C208" s="1"/>
  <c r="E208" s="1"/>
  <c r="B207"/>
  <c r="H207" s="1"/>
  <c r="B206"/>
  <c r="C206" s="1"/>
  <c r="E206" s="1"/>
  <c r="B205"/>
  <c r="G205" s="1"/>
  <c r="B204"/>
  <c r="C204" s="1"/>
  <c r="E204" s="1"/>
  <c r="B203"/>
  <c r="H203" s="1"/>
  <c r="B202"/>
  <c r="C202" s="1"/>
  <c r="E202" s="1"/>
  <c r="B201"/>
  <c r="G201" s="1"/>
  <c r="B200"/>
  <c r="C200" s="1"/>
  <c r="E200" s="1"/>
  <c r="B199"/>
  <c r="H199" s="1"/>
  <c r="B198"/>
  <c r="G198" s="1"/>
  <c r="B197"/>
  <c r="D197" s="1"/>
  <c r="B196"/>
  <c r="G196" s="1"/>
  <c r="B195"/>
  <c r="H195" s="1"/>
  <c r="B194"/>
  <c r="G194" s="1"/>
  <c r="B193"/>
  <c r="F193" s="1"/>
  <c r="B192"/>
  <c r="D192" s="1"/>
  <c r="B191"/>
  <c r="H191" s="1"/>
  <c r="B190"/>
  <c r="C190" s="1"/>
  <c r="E190" s="1"/>
  <c r="B189"/>
  <c r="G189" s="1"/>
  <c r="B188"/>
  <c r="H188" s="1"/>
  <c r="B187"/>
  <c r="H187" s="1"/>
  <c r="B186"/>
  <c r="F186" s="1"/>
  <c r="B185"/>
  <c r="G185" s="1"/>
  <c r="B184"/>
  <c r="C184" s="1"/>
  <c r="E184" s="1"/>
  <c r="B183"/>
  <c r="H183" s="1"/>
  <c r="B182"/>
  <c r="D182" s="1"/>
  <c r="B181"/>
  <c r="F181" s="1"/>
  <c r="B180"/>
  <c r="H180" s="1"/>
  <c r="B179"/>
  <c r="H179" s="1"/>
  <c r="B178"/>
  <c r="D178" s="1"/>
  <c r="B177"/>
  <c r="F177" s="1"/>
  <c r="B176"/>
  <c r="B175"/>
  <c r="B174"/>
  <c r="D174" s="1"/>
  <c r="B173"/>
  <c r="F173" s="1"/>
  <c r="B172"/>
  <c r="H172" s="1"/>
  <c r="B171"/>
  <c r="H171" s="1"/>
  <c r="B170"/>
  <c r="D170" s="1"/>
  <c r="B169"/>
  <c r="F169" s="1"/>
  <c r="B168"/>
  <c r="H168" s="1"/>
  <c r="B167"/>
  <c r="H167" s="1"/>
  <c r="B166"/>
  <c r="D166" s="1"/>
  <c r="B165"/>
  <c r="F165" s="1"/>
  <c r="B164"/>
  <c r="H164" s="1"/>
  <c r="B163"/>
  <c r="H163" s="1"/>
  <c r="B162"/>
  <c r="D162" s="1"/>
  <c r="B161"/>
  <c r="F161" s="1"/>
  <c r="B160"/>
  <c r="H160" s="1"/>
  <c r="B159"/>
  <c r="H159" s="1"/>
  <c r="B158"/>
  <c r="D158" s="1"/>
  <c r="B157"/>
  <c r="F157" s="1"/>
  <c r="B156"/>
  <c r="H156" s="1"/>
  <c r="B155"/>
  <c r="H155" s="1"/>
  <c r="B154"/>
  <c r="H154" s="1"/>
  <c r="B153"/>
  <c r="F153" s="1"/>
  <c r="B152"/>
  <c r="H152" s="1"/>
  <c r="B151"/>
  <c r="H151" s="1"/>
  <c r="B150"/>
  <c r="G150" s="1"/>
  <c r="B149"/>
  <c r="F149" s="1"/>
  <c r="B148"/>
  <c r="H148" s="1"/>
  <c r="B147"/>
  <c r="H147" s="1"/>
  <c r="B146"/>
  <c r="F146" s="1"/>
  <c r="B145"/>
  <c r="F145" s="1"/>
  <c r="B144"/>
  <c r="H144" s="1"/>
  <c r="B143"/>
  <c r="H143" s="1"/>
  <c r="B142"/>
  <c r="H142" s="1"/>
  <c r="B141"/>
  <c r="F141" s="1"/>
  <c r="B140"/>
  <c r="H140" s="1"/>
  <c r="B139"/>
  <c r="H139" s="1"/>
  <c r="B138"/>
  <c r="H138" s="1"/>
  <c r="B137"/>
  <c r="H137" s="1"/>
  <c r="B136"/>
  <c r="F136" s="1"/>
  <c r="B135"/>
  <c r="H135" s="1"/>
  <c r="B134"/>
  <c r="B133"/>
  <c r="F133" s="1"/>
  <c r="B132"/>
  <c r="H132" s="1"/>
  <c r="B131"/>
  <c r="H131" s="1"/>
  <c r="B130"/>
  <c r="F130" s="1"/>
  <c r="B129"/>
  <c r="F129" s="1"/>
  <c r="B128"/>
  <c r="H128" s="1"/>
  <c r="B127"/>
  <c r="H127" s="1"/>
  <c r="B126"/>
  <c r="H126" s="1"/>
  <c r="B125"/>
  <c r="H125" s="1"/>
  <c r="B124"/>
  <c r="F124" s="1"/>
  <c r="B123"/>
  <c r="H123" s="1"/>
  <c r="B122"/>
  <c r="F122" s="1"/>
  <c r="B121"/>
  <c r="F121" s="1"/>
  <c r="B120"/>
  <c r="H120" s="1"/>
  <c r="B119"/>
  <c r="H119" s="1"/>
  <c r="B118"/>
  <c r="F118" s="1"/>
  <c r="B117"/>
  <c r="F117" s="1"/>
  <c r="B116"/>
  <c r="H116" s="1"/>
  <c r="B115"/>
  <c r="H115" s="1"/>
  <c r="B114"/>
  <c r="H114" s="1"/>
  <c r="B113"/>
  <c r="H113" s="1"/>
  <c r="B112"/>
  <c r="F112" s="1"/>
  <c r="B111"/>
  <c r="H111" s="1"/>
  <c r="B110"/>
  <c r="F110" s="1"/>
  <c r="B109"/>
  <c r="F109" s="1"/>
  <c r="B108"/>
  <c r="H108" s="1"/>
  <c r="B107"/>
  <c r="H107" s="1"/>
  <c r="B106"/>
  <c r="F106" s="1"/>
  <c r="B105"/>
  <c r="F105" s="1"/>
  <c r="B104"/>
  <c r="H104" s="1"/>
  <c r="B103"/>
  <c r="H103" s="1"/>
  <c r="B102"/>
  <c r="H102" s="1"/>
  <c r="B101"/>
  <c r="F101" s="1"/>
  <c r="B100"/>
  <c r="H100" s="1"/>
  <c r="B99"/>
  <c r="F99" s="1"/>
  <c r="B98"/>
  <c r="F98" s="1"/>
  <c r="B97"/>
  <c r="F97" s="1"/>
  <c r="B96"/>
  <c r="H96" s="1"/>
  <c r="B95"/>
  <c r="H95" s="1"/>
  <c r="B94"/>
  <c r="F94" s="1"/>
  <c r="B93"/>
  <c r="F93" s="1"/>
  <c r="B92"/>
  <c r="H92" s="1"/>
  <c r="B91"/>
  <c r="H91" s="1"/>
  <c r="B90"/>
  <c r="H90" s="1"/>
  <c r="B89"/>
  <c r="H89" s="1"/>
  <c r="B88"/>
  <c r="F88" s="1"/>
  <c r="B87"/>
  <c r="H87" s="1"/>
  <c r="B86"/>
  <c r="F86" s="1"/>
  <c r="B85"/>
  <c r="F85" s="1"/>
  <c r="B84"/>
  <c r="H84" s="1"/>
  <c r="B83"/>
  <c r="H83" s="1"/>
  <c r="B82"/>
  <c r="F82" s="1"/>
  <c r="B81"/>
  <c r="F81" s="1"/>
  <c r="B80"/>
  <c r="H80" s="1"/>
  <c r="B79"/>
  <c r="H79" s="1"/>
  <c r="B78"/>
  <c r="H78" s="1"/>
  <c r="B77"/>
  <c r="F77" s="1"/>
  <c r="B76"/>
  <c r="F76" s="1"/>
  <c r="B75"/>
  <c r="H75" s="1"/>
  <c r="B74"/>
  <c r="F74" s="1"/>
  <c r="B73"/>
  <c r="F73" s="1"/>
  <c r="B72"/>
  <c r="H72" s="1"/>
  <c r="B71"/>
  <c r="H71" s="1"/>
  <c r="B70"/>
  <c r="F70" s="1"/>
  <c r="B69"/>
  <c r="F69" s="1"/>
  <c r="B68"/>
  <c r="H68" s="1"/>
  <c r="B67"/>
  <c r="H67" s="1"/>
  <c r="B66"/>
  <c r="H66" s="1"/>
  <c r="B65"/>
  <c r="H65" s="1"/>
  <c r="B64"/>
  <c r="F64" s="1"/>
  <c r="B63"/>
  <c r="H63" s="1"/>
  <c r="B62"/>
  <c r="F62" s="1"/>
  <c r="B61"/>
  <c r="F61" s="1"/>
  <c r="B60"/>
  <c r="H60" s="1"/>
  <c r="B59"/>
  <c r="H59" s="1"/>
  <c r="B58"/>
  <c r="F58" s="1"/>
  <c r="B57"/>
  <c r="F57" s="1"/>
  <c r="B56"/>
  <c r="H56" s="1"/>
  <c r="B55"/>
  <c r="H55" s="1"/>
  <c r="B54"/>
  <c r="F54" s="1"/>
  <c r="B53"/>
  <c r="F53" s="1"/>
  <c r="B52"/>
  <c r="H52" s="1"/>
  <c r="B51"/>
  <c r="H51" s="1"/>
  <c r="B50"/>
  <c r="A50" s="1"/>
  <c r="B49"/>
  <c r="H49" s="1"/>
  <c r="B48"/>
  <c r="F48" s="1"/>
  <c r="B47"/>
  <c r="F47" s="1"/>
  <c r="B46"/>
  <c r="H46" s="1"/>
  <c r="B45"/>
  <c r="F45" s="1"/>
  <c r="B44"/>
  <c r="F44" s="1"/>
  <c r="B43"/>
  <c r="H43" s="1"/>
  <c r="B42"/>
  <c r="H42" s="1"/>
  <c r="B41"/>
  <c r="H41" s="1"/>
  <c r="B40"/>
  <c r="F40" s="1"/>
  <c r="B39"/>
  <c r="H39" s="1"/>
  <c r="B38"/>
  <c r="H38" s="1"/>
  <c r="B37"/>
  <c r="H37" s="1"/>
  <c r="B36"/>
  <c r="F36" s="1"/>
  <c r="B35"/>
  <c r="F35" s="1"/>
  <c r="B34"/>
  <c r="H34" s="1"/>
  <c r="B33"/>
  <c r="F33" s="1"/>
  <c r="B32"/>
  <c r="F32" s="1"/>
  <c r="B31"/>
  <c r="H31" s="1"/>
  <c r="B30"/>
  <c r="H30" s="1"/>
  <c r="B29"/>
  <c r="H29" s="1"/>
  <c r="B28"/>
  <c r="F28" s="1"/>
  <c r="B27"/>
  <c r="H27" s="1"/>
  <c r="B26"/>
  <c r="H26" s="1"/>
  <c r="B25"/>
  <c r="H25" s="1"/>
  <c r="B24"/>
  <c r="F24" s="1"/>
  <c r="B23"/>
  <c r="F23" s="1"/>
  <c r="B22"/>
  <c r="H22" s="1"/>
  <c r="B21"/>
  <c r="F21" s="1"/>
  <c r="B19"/>
  <c r="F19" s="1"/>
  <c r="B18"/>
  <c r="H18" s="1"/>
  <c r="B17"/>
  <c r="H17" s="1"/>
  <c r="B16"/>
  <c r="H16" s="1"/>
  <c r="B15"/>
  <c r="B14"/>
  <c r="F14" s="1"/>
  <c r="B13"/>
  <c r="H13" s="1"/>
  <c r="B12"/>
  <c r="A12" s="1"/>
  <c r="B11"/>
  <c r="H11" s="1"/>
  <c r="B10"/>
  <c r="H10" s="1"/>
  <c r="B9"/>
  <c r="F9" s="1"/>
  <c r="B8"/>
  <c r="B7"/>
  <c r="B6"/>
  <c r="H6" s="1"/>
  <c r="B5"/>
  <c r="F5" s="1"/>
  <c r="B4"/>
  <c r="A4" s="1"/>
  <c r="B3"/>
  <c r="B2"/>
  <c r="A2" s="1"/>
  <c r="A995"/>
  <c r="A992"/>
  <c r="A988"/>
  <c r="A985"/>
  <c r="A984"/>
  <c r="A979"/>
  <c r="A976"/>
  <c r="A972"/>
  <c r="A971"/>
  <c r="A963"/>
  <c r="A960"/>
  <c r="A955"/>
  <c r="A952"/>
  <c r="A951"/>
  <c r="A944"/>
  <c r="A940"/>
  <c r="A935"/>
  <c r="A932"/>
  <c r="A928"/>
  <c r="A923"/>
  <c r="A919"/>
  <c r="A916"/>
  <c r="A914"/>
  <c r="A912"/>
  <c r="A907"/>
  <c r="A900"/>
  <c r="A899"/>
  <c r="A891"/>
  <c r="A888"/>
  <c r="A884"/>
  <c r="A879"/>
  <c r="A873"/>
  <c r="A872"/>
  <c r="A871"/>
  <c r="A868"/>
  <c r="A867"/>
  <c r="A859"/>
  <c r="A856"/>
  <c r="A852"/>
  <c r="A835"/>
  <c r="A832"/>
  <c r="A828"/>
  <c r="A801"/>
  <c r="A788"/>
  <c r="A783"/>
  <c r="A775"/>
  <c r="A774"/>
  <c r="A769"/>
  <c r="A764"/>
  <c r="A758"/>
  <c r="A752"/>
  <c r="A747"/>
  <c r="A744"/>
  <c r="A742"/>
  <c r="A739"/>
  <c r="A727"/>
  <c r="A719"/>
  <c r="A712"/>
  <c r="A709"/>
  <c r="A708"/>
  <c r="A707"/>
  <c r="A700"/>
  <c r="A695"/>
  <c r="A685"/>
  <c r="A671"/>
  <c r="A668"/>
  <c r="A667"/>
  <c r="A660"/>
  <c r="A656"/>
  <c r="A655"/>
  <c r="A652"/>
  <c r="A650"/>
  <c r="A648"/>
  <c r="A644"/>
  <c r="A636"/>
  <c r="A633"/>
  <c r="A627"/>
  <c r="A622"/>
  <c r="A619"/>
  <c r="A616"/>
  <c r="A612"/>
  <c r="A607"/>
  <c r="A604"/>
  <c r="A603"/>
  <c r="A600"/>
  <c r="A596"/>
  <c r="A589"/>
  <c r="A588"/>
  <c r="A580"/>
  <c r="A576"/>
  <c r="A572"/>
  <c r="A568"/>
  <c r="A567"/>
  <c r="A560"/>
  <c r="A551"/>
  <c r="A548"/>
  <c r="A547"/>
  <c r="A544"/>
  <c r="A543"/>
  <c r="A536"/>
  <c r="A533"/>
  <c r="A532"/>
  <c r="A531"/>
  <c r="A528"/>
  <c r="A527"/>
  <c r="A520"/>
  <c r="A517"/>
  <c r="A516"/>
  <c r="A503"/>
  <c r="A500"/>
  <c r="A499"/>
  <c r="A496"/>
  <c r="A492"/>
  <c r="A487"/>
  <c r="A484"/>
  <c r="A468"/>
  <c r="A462"/>
  <c r="A460"/>
  <c r="A452"/>
  <c r="A446"/>
  <c r="A440"/>
  <c r="A436"/>
  <c r="A433"/>
  <c r="A420"/>
  <c r="A412"/>
  <c r="A407"/>
  <c r="A400"/>
  <c r="A396"/>
  <c r="A392"/>
  <c r="A388"/>
  <c r="A384"/>
  <c r="A380"/>
  <c r="A372"/>
  <c r="A364"/>
  <c r="A360"/>
  <c r="A356"/>
  <c r="A352"/>
  <c r="A344"/>
  <c r="A339"/>
  <c r="A337"/>
  <c r="A336"/>
  <c r="A335"/>
  <c r="A333"/>
  <c r="A332"/>
  <c r="A331"/>
  <c r="A325"/>
  <c r="A324"/>
  <c r="A320"/>
  <c r="A316"/>
  <c r="A312"/>
  <c r="A308"/>
  <c r="A304"/>
  <c r="A300"/>
  <c r="A294"/>
  <c r="A292"/>
  <c r="A288"/>
  <c r="A284"/>
  <c r="A282"/>
  <c r="A280"/>
  <c r="A272"/>
  <c r="A256"/>
  <c r="A248"/>
  <c r="A247"/>
  <c r="A244"/>
  <c r="A240"/>
  <c r="A232"/>
  <c r="A228"/>
  <c r="A224"/>
  <c r="A216"/>
  <c r="A208"/>
  <c r="A204"/>
  <c r="A200"/>
  <c r="A192"/>
  <c r="A188"/>
  <c r="A184"/>
  <c r="A176"/>
  <c r="A172"/>
  <c r="A168"/>
  <c r="A160"/>
  <c r="A156"/>
  <c r="A151"/>
  <c r="A144"/>
  <c r="A140"/>
  <c r="A132"/>
  <c r="A128"/>
  <c r="A124"/>
  <c r="A114"/>
  <c r="A112"/>
  <c r="A108"/>
  <c r="A104"/>
  <c r="A98"/>
  <c r="A92"/>
  <c r="A91"/>
  <c r="A84"/>
  <c r="A80"/>
  <c r="A76"/>
  <c r="A72"/>
  <c r="A68"/>
  <c r="A64"/>
  <c r="A56"/>
  <c r="A52"/>
  <c r="A48"/>
  <c r="A44"/>
  <c r="A36"/>
  <c r="A28"/>
  <c r="A24"/>
  <c r="A15"/>
  <c r="A11"/>
  <c r="A7"/>
  <c r="A3"/>
  <c r="E2" i="8"/>
  <c r="C2"/>
  <c r="Y696" i="1"/>
  <c r="Y667"/>
  <c r="Y601"/>
  <c r="Y597"/>
  <c r="Y318"/>
  <c r="Y312"/>
  <c r="Y283"/>
  <c r="Y272"/>
  <c r="Y263"/>
  <c r="Y209"/>
  <c r="Y20"/>
  <c r="Y15"/>
  <c r="A700" i="3"/>
  <c r="G700" s="1"/>
  <c r="K700" s="1"/>
  <c r="A699"/>
  <c r="G699" s="1"/>
  <c r="K699" s="1"/>
  <c r="A698"/>
  <c r="G698" s="1"/>
  <c r="K698" s="1"/>
  <c r="A697"/>
  <c r="A696"/>
  <c r="G696" s="1"/>
  <c r="K696" s="1"/>
  <c r="A695"/>
  <c r="G695" s="1"/>
  <c r="K695" s="1"/>
  <c r="A694"/>
  <c r="G694" s="1"/>
  <c r="K694" s="1"/>
  <c r="A693"/>
  <c r="A692"/>
  <c r="G692" s="1"/>
  <c r="K692" s="1"/>
  <c r="A691"/>
  <c r="G691" s="1"/>
  <c r="K691" s="1"/>
  <c r="A690"/>
  <c r="G690" s="1"/>
  <c r="K690" s="1"/>
  <c r="A689"/>
  <c r="A688"/>
  <c r="G688" s="1"/>
  <c r="K688" s="1"/>
  <c r="A687"/>
  <c r="G687" s="1"/>
  <c r="K687" s="1"/>
  <c r="A686"/>
  <c r="A685"/>
  <c r="A684"/>
  <c r="G684" s="1"/>
  <c r="K684" s="1"/>
  <c r="A683"/>
  <c r="G683" s="1"/>
  <c r="K683" s="1"/>
  <c r="A682"/>
  <c r="G682" s="1"/>
  <c r="K682" s="1"/>
  <c r="A681"/>
  <c r="A680"/>
  <c r="G680" s="1"/>
  <c r="K680" s="1"/>
  <c r="A679"/>
  <c r="G679" s="1"/>
  <c r="K679" s="1"/>
  <c r="A678"/>
  <c r="A677"/>
  <c r="A676"/>
  <c r="G676" s="1"/>
  <c r="K676" s="1"/>
  <c r="A675"/>
  <c r="G675" s="1"/>
  <c r="K675" s="1"/>
  <c r="A674"/>
  <c r="G674" s="1"/>
  <c r="K674" s="1"/>
  <c r="A673"/>
  <c r="A672"/>
  <c r="G672" s="1"/>
  <c r="K672" s="1"/>
  <c r="A671"/>
  <c r="G671" s="1"/>
  <c r="K671" s="1"/>
  <c r="A670"/>
  <c r="A669"/>
  <c r="A668"/>
  <c r="G668" s="1"/>
  <c r="K668" s="1"/>
  <c r="A667"/>
  <c r="G667" s="1"/>
  <c r="K667" s="1"/>
  <c r="A666"/>
  <c r="G666" s="1"/>
  <c r="K666" s="1"/>
  <c r="A665"/>
  <c r="A664"/>
  <c r="G664" s="1"/>
  <c r="K664" s="1"/>
  <c r="A663"/>
  <c r="G663" s="1"/>
  <c r="K663" s="1"/>
  <c r="A662"/>
  <c r="A661"/>
  <c r="A660"/>
  <c r="G660" s="1"/>
  <c r="K660" s="1"/>
  <c r="A659"/>
  <c r="G659" s="1"/>
  <c r="K659" s="1"/>
  <c r="A658"/>
  <c r="G658" s="1"/>
  <c r="K658" s="1"/>
  <c r="A657"/>
  <c r="A656"/>
  <c r="G656" s="1"/>
  <c r="K656" s="1"/>
  <c r="A655"/>
  <c r="G655" s="1"/>
  <c r="K655" s="1"/>
  <c r="A654"/>
  <c r="A653"/>
  <c r="A652"/>
  <c r="G652" s="1"/>
  <c r="K652" s="1"/>
  <c r="A651"/>
  <c r="G651" s="1"/>
  <c r="K651" s="1"/>
  <c r="A650"/>
  <c r="G650" s="1"/>
  <c r="K650" s="1"/>
  <c r="A649"/>
  <c r="A648"/>
  <c r="G648" s="1"/>
  <c r="K648" s="1"/>
  <c r="A647"/>
  <c r="G647" s="1"/>
  <c r="K647" s="1"/>
  <c r="A646"/>
  <c r="A645"/>
  <c r="A644"/>
  <c r="G644" s="1"/>
  <c r="K644" s="1"/>
  <c r="A643"/>
  <c r="G643" s="1"/>
  <c r="K643" s="1"/>
  <c r="A642"/>
  <c r="G642" s="1"/>
  <c r="K642" s="1"/>
  <c r="A641"/>
  <c r="A640"/>
  <c r="G640" s="1"/>
  <c r="K640" s="1"/>
  <c r="A639"/>
  <c r="G639" s="1"/>
  <c r="K639" s="1"/>
  <c r="A638"/>
  <c r="A637"/>
  <c r="A636"/>
  <c r="G636" s="1"/>
  <c r="K636" s="1"/>
  <c r="A635"/>
  <c r="G635" s="1"/>
  <c r="K635" s="1"/>
  <c r="A634"/>
  <c r="G634" s="1"/>
  <c r="K634" s="1"/>
  <c r="A633"/>
  <c r="A632"/>
  <c r="G632" s="1"/>
  <c r="K632" s="1"/>
  <c r="A631"/>
  <c r="G631" s="1"/>
  <c r="K631" s="1"/>
  <c r="A630"/>
  <c r="A629"/>
  <c r="A628"/>
  <c r="G628" s="1"/>
  <c r="K628" s="1"/>
  <c r="A627"/>
  <c r="G627" s="1"/>
  <c r="K627" s="1"/>
  <c r="A626"/>
  <c r="G626" s="1"/>
  <c r="K626" s="1"/>
  <c r="A625"/>
  <c r="A624"/>
  <c r="G624" s="1"/>
  <c r="K624" s="1"/>
  <c r="A623"/>
  <c r="G623" s="1"/>
  <c r="K623" s="1"/>
  <c r="A622"/>
  <c r="A621"/>
  <c r="A620"/>
  <c r="G620" s="1"/>
  <c r="K620" s="1"/>
  <c r="A619"/>
  <c r="G619" s="1"/>
  <c r="K619" s="1"/>
  <c r="A618"/>
  <c r="G618" s="1"/>
  <c r="K618" s="1"/>
  <c r="A617"/>
  <c r="A616"/>
  <c r="G616" s="1"/>
  <c r="K616" s="1"/>
  <c r="A615"/>
  <c r="G615" s="1"/>
  <c r="K615" s="1"/>
  <c r="A614"/>
  <c r="A613"/>
  <c r="A612"/>
  <c r="G612" s="1"/>
  <c r="K612" s="1"/>
  <c r="A611"/>
  <c r="G611" s="1"/>
  <c r="K611" s="1"/>
  <c r="A610"/>
  <c r="G610" s="1"/>
  <c r="K610" s="1"/>
  <c r="A609"/>
  <c r="A608"/>
  <c r="G608" s="1"/>
  <c r="K608" s="1"/>
  <c r="A607"/>
  <c r="G607" s="1"/>
  <c r="K607" s="1"/>
  <c r="A606"/>
  <c r="A605"/>
  <c r="A604"/>
  <c r="G604" s="1"/>
  <c r="K604" s="1"/>
  <c r="A603"/>
  <c r="G603" s="1"/>
  <c r="K603" s="1"/>
  <c r="A602"/>
  <c r="G602" s="1"/>
  <c r="K602" s="1"/>
  <c r="G600"/>
  <c r="K600" s="1"/>
  <c r="A599"/>
  <c r="G599" s="1"/>
  <c r="K599" s="1"/>
  <c r="A598"/>
  <c r="A597"/>
  <c r="G597" s="1"/>
  <c r="K597" s="1"/>
  <c r="A596"/>
  <c r="G596" s="1"/>
  <c r="K596" s="1"/>
  <c r="A595"/>
  <c r="G595" s="1"/>
  <c r="K595" s="1"/>
  <c r="A594"/>
  <c r="G594" s="1"/>
  <c r="K594" s="1"/>
  <c r="A593"/>
  <c r="A592"/>
  <c r="G592" s="1"/>
  <c r="K592" s="1"/>
  <c r="A591"/>
  <c r="G591" s="1"/>
  <c r="K591" s="1"/>
  <c r="A590"/>
  <c r="A589"/>
  <c r="A588"/>
  <c r="G588" s="1"/>
  <c r="K588" s="1"/>
  <c r="A587"/>
  <c r="G587" s="1"/>
  <c r="K587" s="1"/>
  <c r="A586"/>
  <c r="G586" s="1"/>
  <c r="K586" s="1"/>
  <c r="A585"/>
  <c r="A584"/>
  <c r="G584" s="1"/>
  <c r="K584" s="1"/>
  <c r="A583"/>
  <c r="G583" s="1"/>
  <c r="K583" s="1"/>
  <c r="A582"/>
  <c r="A581"/>
  <c r="A580"/>
  <c r="G580" s="1"/>
  <c r="K580" s="1"/>
  <c r="A579"/>
  <c r="G579" s="1"/>
  <c r="K579" s="1"/>
  <c r="A578"/>
  <c r="G578" s="1"/>
  <c r="K578" s="1"/>
  <c r="A577"/>
  <c r="A576"/>
  <c r="G576" s="1"/>
  <c r="K576" s="1"/>
  <c r="A575"/>
  <c r="G575" s="1"/>
  <c r="K575" s="1"/>
  <c r="A574"/>
  <c r="A573"/>
  <c r="A572"/>
  <c r="G572" s="1"/>
  <c r="K572" s="1"/>
  <c r="A571"/>
  <c r="G571" s="1"/>
  <c r="K571" s="1"/>
  <c r="A570"/>
  <c r="G570" s="1"/>
  <c r="K570" s="1"/>
  <c r="A569"/>
  <c r="A568"/>
  <c r="G568" s="1"/>
  <c r="K568" s="1"/>
  <c r="A567"/>
  <c r="G567" s="1"/>
  <c r="K567" s="1"/>
  <c r="A566"/>
  <c r="A565"/>
  <c r="A564"/>
  <c r="G564" s="1"/>
  <c r="K564" s="1"/>
  <c r="A563"/>
  <c r="G563" s="1"/>
  <c r="K563" s="1"/>
  <c r="A562"/>
  <c r="G562" s="1"/>
  <c r="K562" s="1"/>
  <c r="A561"/>
  <c r="A560"/>
  <c r="G560" s="1"/>
  <c r="K560" s="1"/>
  <c r="A559"/>
  <c r="G559" s="1"/>
  <c r="K559" s="1"/>
  <c r="A558"/>
  <c r="A557"/>
  <c r="G557" s="1"/>
  <c r="K557" s="1"/>
  <c r="A556"/>
  <c r="G556" s="1"/>
  <c r="K556" s="1"/>
  <c r="A555"/>
  <c r="G555" s="1"/>
  <c r="K555" s="1"/>
  <c r="A554"/>
  <c r="G554" s="1"/>
  <c r="K554" s="1"/>
  <c r="A553"/>
  <c r="A552"/>
  <c r="G552" s="1"/>
  <c r="K552" s="1"/>
  <c r="A551"/>
  <c r="G551" s="1"/>
  <c r="K551" s="1"/>
  <c r="A550"/>
  <c r="A549"/>
  <c r="A548"/>
  <c r="G548" s="1"/>
  <c r="K548" s="1"/>
  <c r="A547"/>
  <c r="G547" s="1"/>
  <c r="K547" s="1"/>
  <c r="A546"/>
  <c r="G546" s="1"/>
  <c r="K546" s="1"/>
  <c r="A545"/>
  <c r="A544"/>
  <c r="G544" s="1"/>
  <c r="K544" s="1"/>
  <c r="A543"/>
  <c r="G543" s="1"/>
  <c r="K543" s="1"/>
  <c r="A542"/>
  <c r="A541"/>
  <c r="A540"/>
  <c r="G540" s="1"/>
  <c r="K540" s="1"/>
  <c r="A539"/>
  <c r="G539" s="1"/>
  <c r="K539" s="1"/>
  <c r="A538"/>
  <c r="G538" s="1"/>
  <c r="K538" s="1"/>
  <c r="A537"/>
  <c r="A536"/>
  <c r="G536" s="1"/>
  <c r="K536" s="1"/>
  <c r="A535"/>
  <c r="G535" s="1"/>
  <c r="K535" s="1"/>
  <c r="A534"/>
  <c r="A533"/>
  <c r="A532"/>
  <c r="G532" s="1"/>
  <c r="K532" s="1"/>
  <c r="A531"/>
  <c r="G531" s="1"/>
  <c r="K531" s="1"/>
  <c r="A530"/>
  <c r="G530" s="1"/>
  <c r="K530" s="1"/>
  <c r="A529"/>
  <c r="A528"/>
  <c r="G528" s="1"/>
  <c r="K528" s="1"/>
  <c r="A527"/>
  <c r="G527" s="1"/>
  <c r="K527" s="1"/>
  <c r="A526"/>
  <c r="A525"/>
  <c r="A524"/>
  <c r="G524" s="1"/>
  <c r="K524" s="1"/>
  <c r="A523"/>
  <c r="G523" s="1"/>
  <c r="K523" s="1"/>
  <c r="A522"/>
  <c r="G522" s="1"/>
  <c r="K522" s="1"/>
  <c r="A521"/>
  <c r="A520"/>
  <c r="G520" s="1"/>
  <c r="K520" s="1"/>
  <c r="A519"/>
  <c r="G519" s="1"/>
  <c r="K519" s="1"/>
  <c r="A518"/>
  <c r="A517"/>
  <c r="A516"/>
  <c r="G516" s="1"/>
  <c r="K516" s="1"/>
  <c r="A515"/>
  <c r="G515" s="1"/>
  <c r="K515" s="1"/>
  <c r="A514"/>
  <c r="G514" s="1"/>
  <c r="K514" s="1"/>
  <c r="A513"/>
  <c r="A512"/>
  <c r="G512" s="1"/>
  <c r="K512" s="1"/>
  <c r="A511"/>
  <c r="G511" s="1"/>
  <c r="K511" s="1"/>
  <c r="A510"/>
  <c r="A509"/>
  <c r="A508"/>
  <c r="G508" s="1"/>
  <c r="K508" s="1"/>
  <c r="A507"/>
  <c r="G507" s="1"/>
  <c r="K507" s="1"/>
  <c r="A506"/>
  <c r="G506" s="1"/>
  <c r="K506" s="1"/>
  <c r="A505"/>
  <c r="A504"/>
  <c r="G504" s="1"/>
  <c r="K504" s="1"/>
  <c r="A503"/>
  <c r="G503" s="1"/>
  <c r="K503" s="1"/>
  <c r="A502"/>
  <c r="A501"/>
  <c r="A500"/>
  <c r="G500" s="1"/>
  <c r="K500" s="1"/>
  <c r="A499"/>
  <c r="G499" s="1"/>
  <c r="K499" s="1"/>
  <c r="A498"/>
  <c r="G498" s="1"/>
  <c r="K498" s="1"/>
  <c r="A497"/>
  <c r="A496"/>
  <c r="G496" s="1"/>
  <c r="K496" s="1"/>
  <c r="A495"/>
  <c r="G495" s="1"/>
  <c r="K495" s="1"/>
  <c r="A494"/>
  <c r="A493"/>
  <c r="A492"/>
  <c r="G492" s="1"/>
  <c r="K492" s="1"/>
  <c r="A491"/>
  <c r="G491" s="1"/>
  <c r="K491" s="1"/>
  <c r="A490"/>
  <c r="G490" s="1"/>
  <c r="K490" s="1"/>
  <c r="A489"/>
  <c r="A488"/>
  <c r="G488" s="1"/>
  <c r="K488" s="1"/>
  <c r="A487"/>
  <c r="G487" s="1"/>
  <c r="K487" s="1"/>
  <c r="A486"/>
  <c r="A485"/>
  <c r="A484"/>
  <c r="G484" s="1"/>
  <c r="K484" s="1"/>
  <c r="A483"/>
  <c r="G483" s="1"/>
  <c r="K483" s="1"/>
  <c r="A482"/>
  <c r="G482" s="1"/>
  <c r="K482" s="1"/>
  <c r="A481"/>
  <c r="A480"/>
  <c r="G480" s="1"/>
  <c r="K480" s="1"/>
  <c r="A479"/>
  <c r="G479" s="1"/>
  <c r="K479" s="1"/>
  <c r="A478"/>
  <c r="A477"/>
  <c r="A476"/>
  <c r="G476" s="1"/>
  <c r="K476" s="1"/>
  <c r="A475"/>
  <c r="G475" s="1"/>
  <c r="K475" s="1"/>
  <c r="A474"/>
  <c r="G474" s="1"/>
  <c r="K474" s="1"/>
  <c r="A473"/>
  <c r="A472"/>
  <c r="G472" s="1"/>
  <c r="K472" s="1"/>
  <c r="A471"/>
  <c r="G471" s="1"/>
  <c r="K471" s="1"/>
  <c r="A470"/>
  <c r="A469"/>
  <c r="A468"/>
  <c r="G468" s="1"/>
  <c r="K468" s="1"/>
  <c r="A467"/>
  <c r="G467" s="1"/>
  <c r="K467" s="1"/>
  <c r="A466"/>
  <c r="G466" s="1"/>
  <c r="K466" s="1"/>
  <c r="A465"/>
  <c r="A464"/>
  <c r="G464" s="1"/>
  <c r="K464" s="1"/>
  <c r="A463"/>
  <c r="G463" s="1"/>
  <c r="K463" s="1"/>
  <c r="A462"/>
  <c r="G462" s="1"/>
  <c r="K462" s="1"/>
  <c r="A461"/>
  <c r="A460"/>
  <c r="G460" s="1"/>
  <c r="K460" s="1"/>
  <c r="A459"/>
  <c r="G459" s="1"/>
  <c r="K459" s="1"/>
  <c r="A458"/>
  <c r="G458" s="1"/>
  <c r="K458" s="1"/>
  <c r="A457"/>
  <c r="A456"/>
  <c r="G456" s="1"/>
  <c r="K456" s="1"/>
  <c r="A455"/>
  <c r="G455" s="1"/>
  <c r="K455" s="1"/>
  <c r="A454"/>
  <c r="G454" s="1"/>
  <c r="K454" s="1"/>
  <c r="A453"/>
  <c r="A452"/>
  <c r="G452" s="1"/>
  <c r="K452" s="1"/>
  <c r="A451"/>
  <c r="G451" s="1"/>
  <c r="K451" s="1"/>
  <c r="A450"/>
  <c r="G450" s="1"/>
  <c r="K450" s="1"/>
  <c r="A449"/>
  <c r="A448"/>
  <c r="G448" s="1"/>
  <c r="K448" s="1"/>
  <c r="A447"/>
  <c r="G447" s="1"/>
  <c r="K447" s="1"/>
  <c r="A446"/>
  <c r="G446" s="1"/>
  <c r="K446" s="1"/>
  <c r="A445"/>
  <c r="A444"/>
  <c r="G444" s="1"/>
  <c r="K444" s="1"/>
  <c r="A443"/>
  <c r="G443" s="1"/>
  <c r="K443" s="1"/>
  <c r="A442"/>
  <c r="G442" s="1"/>
  <c r="K442" s="1"/>
  <c r="A441"/>
  <c r="A440"/>
  <c r="G440" s="1"/>
  <c r="K440" s="1"/>
  <c r="A439"/>
  <c r="G439" s="1"/>
  <c r="K439" s="1"/>
  <c r="A438"/>
  <c r="G438" s="1"/>
  <c r="K438" s="1"/>
  <c r="A437"/>
  <c r="A436"/>
  <c r="G436" s="1"/>
  <c r="K436" s="1"/>
  <c r="A435"/>
  <c r="G435" s="1"/>
  <c r="K435" s="1"/>
  <c r="A434"/>
  <c r="G434" s="1"/>
  <c r="K434" s="1"/>
  <c r="A433"/>
  <c r="A432"/>
  <c r="G432" s="1"/>
  <c r="K432" s="1"/>
  <c r="A431"/>
  <c r="G431" s="1"/>
  <c r="K431" s="1"/>
  <c r="A430"/>
  <c r="G430" s="1"/>
  <c r="K430" s="1"/>
  <c r="A429"/>
  <c r="A428"/>
  <c r="G428" s="1"/>
  <c r="K428" s="1"/>
  <c r="A427"/>
  <c r="G427" s="1"/>
  <c r="K427" s="1"/>
  <c r="A426"/>
  <c r="G426" s="1"/>
  <c r="K426" s="1"/>
  <c r="A425"/>
  <c r="A424"/>
  <c r="G424" s="1"/>
  <c r="K424" s="1"/>
  <c r="A423"/>
  <c r="G423" s="1"/>
  <c r="K423" s="1"/>
  <c r="A422"/>
  <c r="G422" s="1"/>
  <c r="K422" s="1"/>
  <c r="A421"/>
  <c r="A420"/>
  <c r="G420" s="1"/>
  <c r="K420" s="1"/>
  <c r="A419"/>
  <c r="G419" s="1"/>
  <c r="K419" s="1"/>
  <c r="A418"/>
  <c r="G418" s="1"/>
  <c r="K418" s="1"/>
  <c r="A417"/>
  <c r="A416"/>
  <c r="G416" s="1"/>
  <c r="K416" s="1"/>
  <c r="A415"/>
  <c r="G415" s="1"/>
  <c r="K415" s="1"/>
  <c r="A414"/>
  <c r="G414" s="1"/>
  <c r="K414" s="1"/>
  <c r="A413"/>
  <c r="A412"/>
  <c r="G412" s="1"/>
  <c r="K412" s="1"/>
  <c r="A411"/>
  <c r="G411" s="1"/>
  <c r="K411" s="1"/>
  <c r="A410"/>
  <c r="G410" s="1"/>
  <c r="K410" s="1"/>
  <c r="A409"/>
  <c r="A408"/>
  <c r="G408" s="1"/>
  <c r="K408" s="1"/>
  <c r="A407"/>
  <c r="G407" s="1"/>
  <c r="K407" s="1"/>
  <c r="A406"/>
  <c r="G406" s="1"/>
  <c r="K406" s="1"/>
  <c r="A405"/>
  <c r="A404"/>
  <c r="G404" s="1"/>
  <c r="K404" s="1"/>
  <c r="A403"/>
  <c r="G403" s="1"/>
  <c r="K403" s="1"/>
  <c r="A402"/>
  <c r="G402" s="1"/>
  <c r="K402" s="1"/>
  <c r="A401"/>
  <c r="A400"/>
  <c r="G400" s="1"/>
  <c r="K400" s="1"/>
  <c r="A399"/>
  <c r="G399" s="1"/>
  <c r="K399" s="1"/>
  <c r="A398"/>
  <c r="G398" s="1"/>
  <c r="K398" s="1"/>
  <c r="A397"/>
  <c r="A396"/>
  <c r="G396" s="1"/>
  <c r="K396" s="1"/>
  <c r="A395"/>
  <c r="G395" s="1"/>
  <c r="K395" s="1"/>
  <c r="A394"/>
  <c r="G394" s="1"/>
  <c r="K394" s="1"/>
  <c r="A393"/>
  <c r="A392"/>
  <c r="G392" s="1"/>
  <c r="K392" s="1"/>
  <c r="A391"/>
  <c r="G391" s="1"/>
  <c r="K391" s="1"/>
  <c r="A390"/>
  <c r="G390" s="1"/>
  <c r="K390" s="1"/>
  <c r="A389"/>
  <c r="A388"/>
  <c r="G388" s="1"/>
  <c r="K388" s="1"/>
  <c r="A387"/>
  <c r="G387" s="1"/>
  <c r="K387" s="1"/>
  <c r="A386"/>
  <c r="G386" s="1"/>
  <c r="K386" s="1"/>
  <c r="A385"/>
  <c r="A384"/>
  <c r="G384" s="1"/>
  <c r="K384" s="1"/>
  <c r="A383"/>
  <c r="G383" s="1"/>
  <c r="K383" s="1"/>
  <c r="A382"/>
  <c r="G382" s="1"/>
  <c r="K382" s="1"/>
  <c r="A381"/>
  <c r="A380"/>
  <c r="G380" s="1"/>
  <c r="K380" s="1"/>
  <c r="A379"/>
  <c r="G379" s="1"/>
  <c r="K379" s="1"/>
  <c r="A378"/>
  <c r="G378" s="1"/>
  <c r="K378" s="1"/>
  <c r="A377"/>
  <c r="A376"/>
  <c r="G376" s="1"/>
  <c r="K376" s="1"/>
  <c r="A375"/>
  <c r="G375" s="1"/>
  <c r="K375" s="1"/>
  <c r="A374"/>
  <c r="G374" s="1"/>
  <c r="K374" s="1"/>
  <c r="A373"/>
  <c r="A372"/>
  <c r="G372" s="1"/>
  <c r="K372" s="1"/>
  <c r="A371"/>
  <c r="G371" s="1"/>
  <c r="K371" s="1"/>
  <c r="A370"/>
  <c r="G370" s="1"/>
  <c r="K370" s="1"/>
  <c r="A369"/>
  <c r="A368"/>
  <c r="G368" s="1"/>
  <c r="K368" s="1"/>
  <c r="A367"/>
  <c r="G367" s="1"/>
  <c r="K367" s="1"/>
  <c r="A366"/>
  <c r="G366" s="1"/>
  <c r="K366" s="1"/>
  <c r="A365"/>
  <c r="A364"/>
  <c r="G364" s="1"/>
  <c r="K364" s="1"/>
  <c r="A363"/>
  <c r="G363" s="1"/>
  <c r="K363" s="1"/>
  <c r="A362"/>
  <c r="G362" s="1"/>
  <c r="K362" s="1"/>
  <c r="A361"/>
  <c r="A360"/>
  <c r="G360" s="1"/>
  <c r="K360" s="1"/>
  <c r="A359"/>
  <c r="G359" s="1"/>
  <c r="K359" s="1"/>
  <c r="A358"/>
  <c r="G358" s="1"/>
  <c r="K358" s="1"/>
  <c r="A357"/>
  <c r="A356"/>
  <c r="G356" s="1"/>
  <c r="K356" s="1"/>
  <c r="A355"/>
  <c r="G355" s="1"/>
  <c r="K355" s="1"/>
  <c r="A354"/>
  <c r="G354" s="1"/>
  <c r="K354" s="1"/>
  <c r="A353"/>
  <c r="A352"/>
  <c r="G352" s="1"/>
  <c r="K352" s="1"/>
  <c r="A351"/>
  <c r="G351" s="1"/>
  <c r="K351" s="1"/>
  <c r="A350"/>
  <c r="G350" s="1"/>
  <c r="K350" s="1"/>
  <c r="A349"/>
  <c r="A348"/>
  <c r="G348" s="1"/>
  <c r="K348" s="1"/>
  <c r="A347"/>
  <c r="G347" s="1"/>
  <c r="K347" s="1"/>
  <c r="A346"/>
  <c r="G346" s="1"/>
  <c r="K346" s="1"/>
  <c r="A345"/>
  <c r="A344"/>
  <c r="G344" s="1"/>
  <c r="K344" s="1"/>
  <c r="A343"/>
  <c r="G343" s="1"/>
  <c r="K343" s="1"/>
  <c r="A342"/>
  <c r="G342" s="1"/>
  <c r="K342" s="1"/>
  <c r="A341"/>
  <c r="A340"/>
  <c r="G340" s="1"/>
  <c r="K340" s="1"/>
  <c r="A339"/>
  <c r="G339" s="1"/>
  <c r="K339" s="1"/>
  <c r="A338"/>
  <c r="G338" s="1"/>
  <c r="K338" s="1"/>
  <c r="A337"/>
  <c r="A336"/>
  <c r="G336" s="1"/>
  <c r="K336" s="1"/>
  <c r="A335"/>
  <c r="G335" s="1"/>
  <c r="K335" s="1"/>
  <c r="A334"/>
  <c r="G334" s="1"/>
  <c r="K334" s="1"/>
  <c r="A333"/>
  <c r="A332"/>
  <c r="G332" s="1"/>
  <c r="K332" s="1"/>
  <c r="A331"/>
  <c r="G331" s="1"/>
  <c r="K331" s="1"/>
  <c r="A330"/>
  <c r="G330" s="1"/>
  <c r="K330" s="1"/>
  <c r="A329"/>
  <c r="A328"/>
  <c r="G328" s="1"/>
  <c r="K328" s="1"/>
  <c r="A327"/>
  <c r="G327" s="1"/>
  <c r="K327" s="1"/>
  <c r="A326"/>
  <c r="G326" s="1"/>
  <c r="K326" s="1"/>
  <c r="A325"/>
  <c r="A324"/>
  <c r="G324" s="1"/>
  <c r="K324" s="1"/>
  <c r="A323"/>
  <c r="G323" s="1"/>
  <c r="K323" s="1"/>
  <c r="A322"/>
  <c r="G322" s="1"/>
  <c r="K322" s="1"/>
  <c r="A321"/>
  <c r="A320"/>
  <c r="G320" s="1"/>
  <c r="K320" s="1"/>
  <c r="A319"/>
  <c r="G319" s="1"/>
  <c r="K319" s="1"/>
  <c r="A318"/>
  <c r="G318" s="1"/>
  <c r="K318" s="1"/>
  <c r="A317"/>
  <c r="A316"/>
  <c r="G316" s="1"/>
  <c r="K316" s="1"/>
  <c r="A315"/>
  <c r="G315" s="1"/>
  <c r="K315" s="1"/>
  <c r="A314"/>
  <c r="G314" s="1"/>
  <c r="K314" s="1"/>
  <c r="A313"/>
  <c r="A312"/>
  <c r="G312" s="1"/>
  <c r="K312" s="1"/>
  <c r="A311"/>
  <c r="G311" s="1"/>
  <c r="K311" s="1"/>
  <c r="A310"/>
  <c r="G310" s="1"/>
  <c r="K310" s="1"/>
  <c r="A309"/>
  <c r="A308"/>
  <c r="G308" s="1"/>
  <c r="K308" s="1"/>
  <c r="A307"/>
  <c r="G307" s="1"/>
  <c r="K307" s="1"/>
  <c r="A306"/>
  <c r="G306" s="1"/>
  <c r="K306" s="1"/>
  <c r="A305"/>
  <c r="A304"/>
  <c r="G304" s="1"/>
  <c r="K304" s="1"/>
  <c r="A303"/>
  <c r="G303" s="1"/>
  <c r="K303" s="1"/>
  <c r="A302"/>
  <c r="G302" s="1"/>
  <c r="K302" s="1"/>
  <c r="A301"/>
  <c r="A300"/>
  <c r="G300" s="1"/>
  <c r="K300" s="1"/>
  <c r="A299"/>
  <c r="G299" s="1"/>
  <c r="K299" s="1"/>
  <c r="A298"/>
  <c r="G298" s="1"/>
  <c r="K298" s="1"/>
  <c r="A297"/>
  <c r="A296"/>
  <c r="G296" s="1"/>
  <c r="K296" s="1"/>
  <c r="A295"/>
  <c r="G295" s="1"/>
  <c r="K295" s="1"/>
  <c r="A294"/>
  <c r="G294" s="1"/>
  <c r="K294" s="1"/>
  <c r="A293"/>
  <c r="A291"/>
  <c r="G291" s="1"/>
  <c r="K291" s="1"/>
  <c r="A290"/>
  <c r="G290" s="1"/>
  <c r="K290" s="1"/>
  <c r="A288"/>
  <c r="A287"/>
  <c r="G287" s="1"/>
  <c r="K287" s="1"/>
  <c r="A286"/>
  <c r="G286" s="1"/>
  <c r="K286" s="1"/>
  <c r="A285"/>
  <c r="A284"/>
  <c r="G284" s="1"/>
  <c r="K284" s="1"/>
  <c r="A283"/>
  <c r="G283" s="1"/>
  <c r="K283" s="1"/>
  <c r="A282"/>
  <c r="G282" s="1"/>
  <c r="K282" s="1"/>
  <c r="A281"/>
  <c r="A280"/>
  <c r="G280" s="1"/>
  <c r="K280" s="1"/>
  <c r="A279"/>
  <c r="G279" s="1"/>
  <c r="K279" s="1"/>
  <c r="A278"/>
  <c r="G278" s="1"/>
  <c r="K278" s="1"/>
  <c r="A277"/>
  <c r="A276"/>
  <c r="G276" s="1"/>
  <c r="K276" s="1"/>
  <c r="A275"/>
  <c r="G275" s="1"/>
  <c r="K275" s="1"/>
  <c r="A274"/>
  <c r="G274" s="1"/>
  <c r="K274" s="1"/>
  <c r="A273"/>
  <c r="A272"/>
  <c r="G272" s="1"/>
  <c r="K272" s="1"/>
  <c r="A271"/>
  <c r="G271" s="1"/>
  <c r="K271" s="1"/>
  <c r="A270"/>
  <c r="G270" s="1"/>
  <c r="K270" s="1"/>
  <c r="A269"/>
  <c r="A268"/>
  <c r="G268" s="1"/>
  <c r="K268" s="1"/>
  <c r="A267"/>
  <c r="G267" s="1"/>
  <c r="K267" s="1"/>
  <c r="A266"/>
  <c r="G266" s="1"/>
  <c r="K266" s="1"/>
  <c r="A265"/>
  <c r="A264"/>
  <c r="G264" s="1"/>
  <c r="K264" s="1"/>
  <c r="A263"/>
  <c r="G263" s="1"/>
  <c r="K263" s="1"/>
  <c r="A262"/>
  <c r="G262" s="1"/>
  <c r="K262" s="1"/>
  <c r="A261"/>
  <c r="A260"/>
  <c r="G260" s="1"/>
  <c r="K260" s="1"/>
  <c r="A259"/>
  <c r="G259" s="1"/>
  <c r="K259" s="1"/>
  <c r="A258"/>
  <c r="G258" s="1"/>
  <c r="K258" s="1"/>
  <c r="A257"/>
  <c r="A256"/>
  <c r="G256" s="1"/>
  <c r="K256" s="1"/>
  <c r="A255"/>
  <c r="G255" s="1"/>
  <c r="K255" s="1"/>
  <c r="A254"/>
  <c r="G254" s="1"/>
  <c r="K254" s="1"/>
  <c r="A253"/>
  <c r="A252"/>
  <c r="G252" s="1"/>
  <c r="K252" s="1"/>
  <c r="A251"/>
  <c r="G251" s="1"/>
  <c r="K251" s="1"/>
  <c r="A250"/>
  <c r="G250" s="1"/>
  <c r="K250" s="1"/>
  <c r="A249"/>
  <c r="A248"/>
  <c r="G248" s="1"/>
  <c r="K248" s="1"/>
  <c r="A247"/>
  <c r="G247" s="1"/>
  <c r="K247" s="1"/>
  <c r="A246"/>
  <c r="G246" s="1"/>
  <c r="K246" s="1"/>
  <c r="A245"/>
  <c r="A244"/>
  <c r="G244" s="1"/>
  <c r="K244" s="1"/>
  <c r="A243"/>
  <c r="G243" s="1"/>
  <c r="K243" s="1"/>
  <c r="A242"/>
  <c r="G242" s="1"/>
  <c r="K242" s="1"/>
  <c r="A241"/>
  <c r="A240"/>
  <c r="G240" s="1"/>
  <c r="K240" s="1"/>
  <c r="A239"/>
  <c r="G239" s="1"/>
  <c r="K239" s="1"/>
  <c r="A238"/>
  <c r="G238" s="1"/>
  <c r="K238" s="1"/>
  <c r="A237"/>
  <c r="A236"/>
  <c r="G236" s="1"/>
  <c r="K236" s="1"/>
  <c r="A235"/>
  <c r="G235" s="1"/>
  <c r="K235" s="1"/>
  <c r="A234"/>
  <c r="G234" s="1"/>
  <c r="K234" s="1"/>
  <c r="A233"/>
  <c r="G233" s="1"/>
  <c r="K233" s="1"/>
  <c r="A232"/>
  <c r="G232" s="1"/>
  <c r="K232" s="1"/>
  <c r="A231"/>
  <c r="G231" s="1"/>
  <c r="K231" s="1"/>
  <c r="A230"/>
  <c r="G230" s="1"/>
  <c r="K230" s="1"/>
  <c r="A229"/>
  <c r="G229" s="1"/>
  <c r="K229" s="1"/>
  <c r="A228"/>
  <c r="G228" s="1"/>
  <c r="K228" s="1"/>
  <c r="A227"/>
  <c r="G227" s="1"/>
  <c r="K227" s="1"/>
  <c r="A226"/>
  <c r="G226" s="1"/>
  <c r="K226" s="1"/>
  <c r="A225"/>
  <c r="G225" s="1"/>
  <c r="K225" s="1"/>
  <c r="A224"/>
  <c r="G224" s="1"/>
  <c r="K224" s="1"/>
  <c r="A223"/>
  <c r="G223" s="1"/>
  <c r="K223" s="1"/>
  <c r="A222"/>
  <c r="G222" s="1"/>
  <c r="K222" s="1"/>
  <c r="A221"/>
  <c r="G221" s="1"/>
  <c r="K221" s="1"/>
  <c r="A220"/>
  <c r="G220" s="1"/>
  <c r="K220" s="1"/>
  <c r="A219"/>
  <c r="G219" s="1"/>
  <c r="K219" s="1"/>
  <c r="A218"/>
  <c r="G218" s="1"/>
  <c r="K218" s="1"/>
  <c r="A217"/>
  <c r="G217" s="1"/>
  <c r="K217" s="1"/>
  <c r="A216"/>
  <c r="G216" s="1"/>
  <c r="K216" s="1"/>
  <c r="A215"/>
  <c r="G215" s="1"/>
  <c r="K215" s="1"/>
  <c r="A214"/>
  <c r="G214" s="1"/>
  <c r="K214" s="1"/>
  <c r="A213"/>
  <c r="G213" s="1"/>
  <c r="K213" s="1"/>
  <c r="A212"/>
  <c r="G212" s="1"/>
  <c r="K212" s="1"/>
  <c r="A211"/>
  <c r="G211" s="1"/>
  <c r="K211" s="1"/>
  <c r="A210"/>
  <c r="G210" s="1"/>
  <c r="K210" s="1"/>
  <c r="A209"/>
  <c r="G209" s="1"/>
  <c r="K209" s="1"/>
  <c r="A208"/>
  <c r="G208" s="1"/>
  <c r="K208" s="1"/>
  <c r="A207"/>
  <c r="G207" s="1"/>
  <c r="K207" s="1"/>
  <c r="A206"/>
  <c r="G206" s="1"/>
  <c r="K206" s="1"/>
  <c r="A205"/>
  <c r="G205" s="1"/>
  <c r="K205" s="1"/>
  <c r="A204"/>
  <c r="G204" s="1"/>
  <c r="K204" s="1"/>
  <c r="A203"/>
  <c r="G203" s="1"/>
  <c r="K203" s="1"/>
  <c r="A202"/>
  <c r="G202" s="1"/>
  <c r="K202" s="1"/>
  <c r="A201"/>
  <c r="G201" s="1"/>
  <c r="K201" s="1"/>
  <c r="A200"/>
  <c r="G200" s="1"/>
  <c r="K200" s="1"/>
  <c r="A199"/>
  <c r="G199" s="1"/>
  <c r="K199" s="1"/>
  <c r="A198"/>
  <c r="G198" s="1"/>
  <c r="K198" s="1"/>
  <c r="A197"/>
  <c r="G197" s="1"/>
  <c r="K197" s="1"/>
  <c r="A196"/>
  <c r="G196" s="1"/>
  <c r="K196" s="1"/>
  <c r="A195"/>
  <c r="G195" s="1"/>
  <c r="K195" s="1"/>
  <c r="A194"/>
  <c r="G194" s="1"/>
  <c r="K194" s="1"/>
  <c r="A193"/>
  <c r="G193" s="1"/>
  <c r="K193" s="1"/>
  <c r="A192"/>
  <c r="G192" s="1"/>
  <c r="K192" s="1"/>
  <c r="A191"/>
  <c r="G191" s="1"/>
  <c r="K191" s="1"/>
  <c r="A190"/>
  <c r="G190" s="1"/>
  <c r="K190" s="1"/>
  <c r="A189"/>
  <c r="G189" s="1"/>
  <c r="K189" s="1"/>
  <c r="A188"/>
  <c r="G188" s="1"/>
  <c r="K188" s="1"/>
  <c r="A187"/>
  <c r="G187" s="1"/>
  <c r="K187" s="1"/>
  <c r="A186"/>
  <c r="G186" s="1"/>
  <c r="K186" s="1"/>
  <c r="A185"/>
  <c r="G185" s="1"/>
  <c r="K185" s="1"/>
  <c r="A184"/>
  <c r="G184" s="1"/>
  <c r="K184" s="1"/>
  <c r="A183"/>
  <c r="G183" s="1"/>
  <c r="K183" s="1"/>
  <c r="A182"/>
  <c r="G182" s="1"/>
  <c r="K182" s="1"/>
  <c r="A181"/>
  <c r="G181" s="1"/>
  <c r="K181" s="1"/>
  <c r="A180"/>
  <c r="G180" s="1"/>
  <c r="K180" s="1"/>
  <c r="A179"/>
  <c r="G179" s="1"/>
  <c r="K179" s="1"/>
  <c r="A178"/>
  <c r="G178" s="1"/>
  <c r="K178" s="1"/>
  <c r="A177"/>
  <c r="G177" s="1"/>
  <c r="K177" s="1"/>
  <c r="A176"/>
  <c r="G176" s="1"/>
  <c r="K176" s="1"/>
  <c r="A175"/>
  <c r="G175" s="1"/>
  <c r="K175" s="1"/>
  <c r="A174"/>
  <c r="G174" s="1"/>
  <c r="K174" s="1"/>
  <c r="A173"/>
  <c r="G173" s="1"/>
  <c r="K173" s="1"/>
  <c r="A172"/>
  <c r="G172" s="1"/>
  <c r="K172" s="1"/>
  <c r="A171"/>
  <c r="G171" s="1"/>
  <c r="K171" s="1"/>
  <c r="A170"/>
  <c r="G170" s="1"/>
  <c r="K170" s="1"/>
  <c r="A169"/>
  <c r="G169" s="1"/>
  <c r="K169" s="1"/>
  <c r="A168"/>
  <c r="G168" s="1"/>
  <c r="K168" s="1"/>
  <c r="A167"/>
  <c r="G167" s="1"/>
  <c r="K167" s="1"/>
  <c r="A166"/>
  <c r="G166" s="1"/>
  <c r="K166" s="1"/>
  <c r="A165"/>
  <c r="G165" s="1"/>
  <c r="K165" s="1"/>
  <c r="A164"/>
  <c r="G164" s="1"/>
  <c r="K164" s="1"/>
  <c r="A163"/>
  <c r="G163" s="1"/>
  <c r="K163" s="1"/>
  <c r="A162"/>
  <c r="G162" s="1"/>
  <c r="K162" s="1"/>
  <c r="A161"/>
  <c r="G161" s="1"/>
  <c r="K161" s="1"/>
  <c r="A160"/>
  <c r="G160" s="1"/>
  <c r="K160" s="1"/>
  <c r="A159"/>
  <c r="G159" s="1"/>
  <c r="K159" s="1"/>
  <c r="A158"/>
  <c r="G158" s="1"/>
  <c r="K158" s="1"/>
  <c r="A157"/>
  <c r="G157" s="1"/>
  <c r="K157" s="1"/>
  <c r="A156"/>
  <c r="G156" s="1"/>
  <c r="K156" s="1"/>
  <c r="A155"/>
  <c r="G155" s="1"/>
  <c r="K155" s="1"/>
  <c r="A154"/>
  <c r="G154" s="1"/>
  <c r="K154" s="1"/>
  <c r="A153"/>
  <c r="G153" s="1"/>
  <c r="K153" s="1"/>
  <c r="A152"/>
  <c r="G152" s="1"/>
  <c r="K152" s="1"/>
  <c r="A151"/>
  <c r="G151" s="1"/>
  <c r="K151" s="1"/>
  <c r="A150"/>
  <c r="G150" s="1"/>
  <c r="K150" s="1"/>
  <c r="A149"/>
  <c r="G149" s="1"/>
  <c r="K149" s="1"/>
  <c r="A148"/>
  <c r="G148" s="1"/>
  <c r="K148" s="1"/>
  <c r="A147"/>
  <c r="G147" s="1"/>
  <c r="K147" s="1"/>
  <c r="A146"/>
  <c r="G146" s="1"/>
  <c r="K146" s="1"/>
  <c r="A145"/>
  <c r="G145" s="1"/>
  <c r="K145" s="1"/>
  <c r="A144"/>
  <c r="G144" s="1"/>
  <c r="K144" s="1"/>
  <c r="A143"/>
  <c r="G143" s="1"/>
  <c r="K143" s="1"/>
  <c r="A142"/>
  <c r="G142" s="1"/>
  <c r="K142" s="1"/>
  <c r="A141"/>
  <c r="G141" s="1"/>
  <c r="K141" s="1"/>
  <c r="A140"/>
  <c r="G140" s="1"/>
  <c r="K140" s="1"/>
  <c r="A139"/>
  <c r="G139" s="1"/>
  <c r="K139" s="1"/>
  <c r="A138"/>
  <c r="G138" s="1"/>
  <c r="K138" s="1"/>
  <c r="A137"/>
  <c r="G137" s="1"/>
  <c r="K137" s="1"/>
  <c r="A136"/>
  <c r="G136" s="1"/>
  <c r="K136" s="1"/>
  <c r="A135"/>
  <c r="G135" s="1"/>
  <c r="K135" s="1"/>
  <c r="A134"/>
  <c r="G134" s="1"/>
  <c r="K134" s="1"/>
  <c r="A133"/>
  <c r="G133" s="1"/>
  <c r="K133" s="1"/>
  <c r="A132"/>
  <c r="G132" s="1"/>
  <c r="K132" s="1"/>
  <c r="A131"/>
  <c r="G131" s="1"/>
  <c r="K131" s="1"/>
  <c r="A130"/>
  <c r="G130" s="1"/>
  <c r="K130" s="1"/>
  <c r="A129"/>
  <c r="G129" s="1"/>
  <c r="K129" s="1"/>
  <c r="A128"/>
  <c r="G128" s="1"/>
  <c r="K128" s="1"/>
  <c r="A127"/>
  <c r="G127" s="1"/>
  <c r="K127" s="1"/>
  <c r="A126"/>
  <c r="G126" s="1"/>
  <c r="K126" s="1"/>
  <c r="A125"/>
  <c r="G125" s="1"/>
  <c r="K125" s="1"/>
  <c r="A124"/>
  <c r="G124" s="1"/>
  <c r="K124" s="1"/>
  <c r="A123"/>
  <c r="G123" s="1"/>
  <c r="K123" s="1"/>
  <c r="A122"/>
  <c r="G122" s="1"/>
  <c r="K122" s="1"/>
  <c r="A121"/>
  <c r="G121" s="1"/>
  <c r="K121" s="1"/>
  <c r="A120"/>
  <c r="G120" s="1"/>
  <c r="K120" s="1"/>
  <c r="A119"/>
  <c r="G119" s="1"/>
  <c r="K119" s="1"/>
  <c r="A118"/>
  <c r="G118" s="1"/>
  <c r="K118" s="1"/>
  <c r="A117"/>
  <c r="G117" s="1"/>
  <c r="K117" s="1"/>
  <c r="A116"/>
  <c r="G116" s="1"/>
  <c r="K116" s="1"/>
  <c r="A115"/>
  <c r="G115" s="1"/>
  <c r="K115" s="1"/>
  <c r="A114"/>
  <c r="G114" s="1"/>
  <c r="K114" s="1"/>
  <c r="A113"/>
  <c r="G113" s="1"/>
  <c r="K113" s="1"/>
  <c r="A112"/>
  <c r="G112" s="1"/>
  <c r="K112" s="1"/>
  <c r="A111"/>
  <c r="G111" s="1"/>
  <c r="K111" s="1"/>
  <c r="A110"/>
  <c r="G110" s="1"/>
  <c r="K110" s="1"/>
  <c r="A109"/>
  <c r="G109" s="1"/>
  <c r="K109" s="1"/>
  <c r="A108"/>
  <c r="G108" s="1"/>
  <c r="K108" s="1"/>
  <c r="A107"/>
  <c r="G107" s="1"/>
  <c r="K107" s="1"/>
  <c r="A106"/>
  <c r="G106" s="1"/>
  <c r="K106" s="1"/>
  <c r="A105"/>
  <c r="G105" s="1"/>
  <c r="K105" s="1"/>
  <c r="A104"/>
  <c r="G104" s="1"/>
  <c r="K104" s="1"/>
  <c r="A103"/>
  <c r="G103" s="1"/>
  <c r="K103" s="1"/>
  <c r="A102"/>
  <c r="G102" s="1"/>
  <c r="K102" s="1"/>
  <c r="A101"/>
  <c r="G101" s="1"/>
  <c r="K101" s="1"/>
  <c r="A100"/>
  <c r="A99"/>
  <c r="G99" s="1"/>
  <c r="K99" s="1"/>
  <c r="A98"/>
  <c r="A97"/>
  <c r="A96"/>
  <c r="A95"/>
  <c r="G95" s="1"/>
  <c r="K95" s="1"/>
  <c r="A94"/>
  <c r="G94" s="1"/>
  <c r="K94" s="1"/>
  <c r="A93"/>
  <c r="G93" s="1"/>
  <c r="K93" s="1"/>
  <c r="A92"/>
  <c r="A91"/>
  <c r="G91" s="1"/>
  <c r="K91" s="1"/>
  <c r="A90"/>
  <c r="A89"/>
  <c r="G89" s="1"/>
  <c r="K89" s="1"/>
  <c r="A88"/>
  <c r="A87"/>
  <c r="G87" s="1"/>
  <c r="K87" s="1"/>
  <c r="A86"/>
  <c r="A85"/>
  <c r="G85" s="1"/>
  <c r="K85" s="1"/>
  <c r="A84"/>
  <c r="A83"/>
  <c r="G83" s="1"/>
  <c r="K83" s="1"/>
  <c r="A82"/>
  <c r="A81"/>
  <c r="G81" s="1"/>
  <c r="K81" s="1"/>
  <c r="A80"/>
  <c r="A79"/>
  <c r="G79" s="1"/>
  <c r="K79" s="1"/>
  <c r="A78"/>
  <c r="G78" s="1"/>
  <c r="K78" s="1"/>
  <c r="A77"/>
  <c r="G77" s="1"/>
  <c r="K77" s="1"/>
  <c r="A76"/>
  <c r="G76" s="1"/>
  <c r="K76" s="1"/>
  <c r="A75"/>
  <c r="G75" s="1"/>
  <c r="K75" s="1"/>
  <c r="A74"/>
  <c r="A73"/>
  <c r="G73" s="1"/>
  <c r="K73" s="1"/>
  <c r="A72"/>
  <c r="A71"/>
  <c r="G71" s="1"/>
  <c r="K71" s="1"/>
  <c r="A70"/>
  <c r="A69"/>
  <c r="G69" s="1"/>
  <c r="K69" s="1"/>
  <c r="A68"/>
  <c r="A67"/>
  <c r="G67" s="1"/>
  <c r="K67" s="1"/>
  <c r="A66"/>
  <c r="A65"/>
  <c r="G65" s="1"/>
  <c r="K65" s="1"/>
  <c r="A64"/>
  <c r="A63"/>
  <c r="G63" s="1"/>
  <c r="K63" s="1"/>
  <c r="A62"/>
  <c r="G62" s="1"/>
  <c r="K62" s="1"/>
  <c r="A61"/>
  <c r="G61" s="1"/>
  <c r="K61" s="1"/>
  <c r="A60"/>
  <c r="A59"/>
  <c r="G59" s="1"/>
  <c r="K59" s="1"/>
  <c r="A58"/>
  <c r="A57"/>
  <c r="G57" s="1"/>
  <c r="K57" s="1"/>
  <c r="A56"/>
  <c r="A55"/>
  <c r="G55" s="1"/>
  <c r="K55" s="1"/>
  <c r="A54"/>
  <c r="A53"/>
  <c r="G53" s="1"/>
  <c r="K53" s="1"/>
  <c r="A52"/>
  <c r="A51"/>
  <c r="G51" s="1"/>
  <c r="K51" s="1"/>
  <c r="A50"/>
  <c r="A49"/>
  <c r="G49" s="1"/>
  <c r="K49" s="1"/>
  <c r="A48"/>
  <c r="A47"/>
  <c r="G47" s="1"/>
  <c r="K47" s="1"/>
  <c r="A46"/>
  <c r="G46" s="1"/>
  <c r="K46" s="1"/>
  <c r="A45"/>
  <c r="G45" s="1"/>
  <c r="K45" s="1"/>
  <c r="A44"/>
  <c r="A43"/>
  <c r="G43" s="1"/>
  <c r="K43" s="1"/>
  <c r="A42"/>
  <c r="A41"/>
  <c r="G41" s="1"/>
  <c r="K41" s="1"/>
  <c r="A40"/>
  <c r="A39"/>
  <c r="A38"/>
  <c r="A37"/>
  <c r="G37" s="1"/>
  <c r="K37" s="1"/>
  <c r="A36"/>
  <c r="A35"/>
  <c r="G35" s="1"/>
  <c r="K35" s="1"/>
  <c r="A34"/>
  <c r="A33"/>
  <c r="G33" s="1"/>
  <c r="K33" s="1"/>
  <c r="A32"/>
  <c r="A31"/>
  <c r="A30"/>
  <c r="G30" s="1"/>
  <c r="K30" s="1"/>
  <c r="A29"/>
  <c r="G29" s="1"/>
  <c r="A28"/>
  <c r="A27"/>
  <c r="G27" s="1"/>
  <c r="K27" s="1"/>
  <c r="A26"/>
  <c r="A25"/>
  <c r="G25" s="1"/>
  <c r="K25" s="1"/>
  <c r="A24"/>
  <c r="A23"/>
  <c r="G23" s="1"/>
  <c r="K23" s="1"/>
  <c r="A22"/>
  <c r="A21"/>
  <c r="G21" s="1"/>
  <c r="K21" s="1"/>
  <c r="A20"/>
  <c r="A19"/>
  <c r="A18"/>
  <c r="A17"/>
  <c r="G17" s="1"/>
  <c r="K17" s="1"/>
  <c r="A16"/>
  <c r="A15"/>
  <c r="A14"/>
  <c r="G14" s="1"/>
  <c r="K14" s="1"/>
  <c r="A13"/>
  <c r="G13" s="1"/>
  <c r="K13" s="1"/>
  <c r="Y557" i="1"/>
  <c r="C540" i="5"/>
  <c r="E540" s="1"/>
  <c r="Y1001" i="1"/>
  <c r="Y1000"/>
  <c r="Y999"/>
  <c r="Y998"/>
  <c r="Y997"/>
  <c r="Y996"/>
  <c r="Y995"/>
  <c r="Y994"/>
  <c r="Y993"/>
  <c r="Y992"/>
  <c r="Y991"/>
  <c r="Y990"/>
  <c r="Y989"/>
  <c r="Y988"/>
  <c r="Y987"/>
  <c r="Y986"/>
  <c r="Y985"/>
  <c r="Y984"/>
  <c r="Y983"/>
  <c r="Y982"/>
  <c r="Y981"/>
  <c r="Y980"/>
  <c r="Y979"/>
  <c r="Y978"/>
  <c r="Y977"/>
  <c r="Y976"/>
  <c r="Y975"/>
  <c r="Y974"/>
  <c r="Y973"/>
  <c r="Y972"/>
  <c r="Y971"/>
  <c r="Y970"/>
  <c r="Y969"/>
  <c r="Y968"/>
  <c r="Y967"/>
  <c r="Y966"/>
  <c r="Y965"/>
  <c r="Y964"/>
  <c r="Y963"/>
  <c r="Y962"/>
  <c r="Y961"/>
  <c r="Y960"/>
  <c r="Y959"/>
  <c r="Y958"/>
  <c r="Y957"/>
  <c r="Y956"/>
  <c r="Y955"/>
  <c r="Y954"/>
  <c r="Y953"/>
  <c r="Y952"/>
  <c r="Y951"/>
  <c r="Y950"/>
  <c r="Y949"/>
  <c r="Y948"/>
  <c r="Y947"/>
  <c r="Y946"/>
  <c r="Y945"/>
  <c r="Y944"/>
  <c r="Y943"/>
  <c r="Y942"/>
  <c r="Y941"/>
  <c r="Y940"/>
  <c r="Y939"/>
  <c r="Y938"/>
  <c r="Y937"/>
  <c r="Y936"/>
  <c r="Y935"/>
  <c r="Y934"/>
  <c r="Y933"/>
  <c r="Y932"/>
  <c r="Y931"/>
  <c r="Y930"/>
  <c r="Y929"/>
  <c r="Y928"/>
  <c r="Y927"/>
  <c r="Y926"/>
  <c r="Y925"/>
  <c r="Y924"/>
  <c r="Y923"/>
  <c r="Y922"/>
  <c r="Y921"/>
  <c r="Y920"/>
  <c r="Y919"/>
  <c r="Y918"/>
  <c r="Y917"/>
  <c r="Y916"/>
  <c r="Y915"/>
  <c r="Y914"/>
  <c r="Y913"/>
  <c r="Y912"/>
  <c r="Y911"/>
  <c r="Y910"/>
  <c r="Y909"/>
  <c r="Y908"/>
  <c r="Y907"/>
  <c r="Y906"/>
  <c r="Y905"/>
  <c r="Y904"/>
  <c r="Y903"/>
  <c r="Y902"/>
  <c r="Y901"/>
  <c r="Y900"/>
  <c r="Y899"/>
  <c r="Y898"/>
  <c r="Y897"/>
  <c r="Y896"/>
  <c r="Y895"/>
  <c r="Y894"/>
  <c r="Y893"/>
  <c r="Y892"/>
  <c r="Y891"/>
  <c r="Y890"/>
  <c r="Y889"/>
  <c r="Y888"/>
  <c r="Y887"/>
  <c r="Y886"/>
  <c r="Y885"/>
  <c r="Y884"/>
  <c r="Y883"/>
  <c r="Y882"/>
  <c r="Y881"/>
  <c r="Y880"/>
  <c r="Y879"/>
  <c r="Y878"/>
  <c r="Y877"/>
  <c r="Y876"/>
  <c r="Y875"/>
  <c r="Y874"/>
  <c r="Y873"/>
  <c r="Y872"/>
  <c r="Y871"/>
  <c r="Y870"/>
  <c r="Y869"/>
  <c r="Y868"/>
  <c r="Y867"/>
  <c r="Y866"/>
  <c r="Y865"/>
  <c r="Y864"/>
  <c r="Y863"/>
  <c r="Y862"/>
  <c r="Y861"/>
  <c r="Y860"/>
  <c r="Y859"/>
  <c r="Y858"/>
  <c r="Y857"/>
  <c r="Y856"/>
  <c r="Y855"/>
  <c r="Y854"/>
  <c r="Y853"/>
  <c r="Y852"/>
  <c r="Y851"/>
  <c r="Y850"/>
  <c r="Y849"/>
  <c r="Y848"/>
  <c r="Y847"/>
  <c r="Y846"/>
  <c r="Y845"/>
  <c r="Y844"/>
  <c r="Y843"/>
  <c r="Y842"/>
  <c r="Y841"/>
  <c r="Y840"/>
  <c r="Y839"/>
  <c r="Y838"/>
  <c r="Y837"/>
  <c r="Y836"/>
  <c r="Y835"/>
  <c r="Y834"/>
  <c r="Y833"/>
  <c r="Y832"/>
  <c r="Y831"/>
  <c r="Y830"/>
  <c r="Y829"/>
  <c r="Y828"/>
  <c r="Y827"/>
  <c r="Y826"/>
  <c r="Y825"/>
  <c r="Y824"/>
  <c r="Y823"/>
  <c r="Y822"/>
  <c r="Y821"/>
  <c r="Y820"/>
  <c r="Y819"/>
  <c r="Y818"/>
  <c r="Y817"/>
  <c r="Y816"/>
  <c r="Y815"/>
  <c r="Y814"/>
  <c r="Y813"/>
  <c r="Y812"/>
  <c r="Y811"/>
  <c r="Y810"/>
  <c r="Y809"/>
  <c r="Y808"/>
  <c r="Y807"/>
  <c r="Y806"/>
  <c r="Y805"/>
  <c r="Y804"/>
  <c r="Y803"/>
  <c r="Y802"/>
  <c r="Y801"/>
  <c r="Y800"/>
  <c r="Y799"/>
  <c r="Y798"/>
  <c r="Y797"/>
  <c r="Y796"/>
  <c r="Y795"/>
  <c r="Y794"/>
  <c r="Y793"/>
  <c r="Y792"/>
  <c r="Y791"/>
  <c r="Y790"/>
  <c r="Y789"/>
  <c r="Y788"/>
  <c r="Y787"/>
  <c r="Y786"/>
  <c r="Y785"/>
  <c r="Y784"/>
  <c r="Y783"/>
  <c r="Y782"/>
  <c r="Y781"/>
  <c r="Y780"/>
  <c r="Y779"/>
  <c r="Y778"/>
  <c r="Y777"/>
  <c r="Y776"/>
  <c r="Y775"/>
  <c r="Y774"/>
  <c r="Y773"/>
  <c r="Y772"/>
  <c r="Y771"/>
  <c r="Y770"/>
  <c r="Y769"/>
  <c r="Y768"/>
  <c r="Y767"/>
  <c r="Y766"/>
  <c r="Y765"/>
  <c r="Y764"/>
  <c r="Y763"/>
  <c r="Y762"/>
  <c r="Y761"/>
  <c r="Y760"/>
  <c r="Y759"/>
  <c r="Y758"/>
  <c r="Y757"/>
  <c r="Y756"/>
  <c r="Y755"/>
  <c r="Y754"/>
  <c r="Y753"/>
  <c r="Y752"/>
  <c r="Y751"/>
  <c r="Y750"/>
  <c r="Y749"/>
  <c r="Y748"/>
  <c r="Y747"/>
  <c r="Y746"/>
  <c r="Y745"/>
  <c r="Y744"/>
  <c r="Y743"/>
  <c r="Y742"/>
  <c r="Y741"/>
  <c r="Y740"/>
  <c r="Y739"/>
  <c r="Y738"/>
  <c r="Y737"/>
  <c r="Y736"/>
  <c r="Y735"/>
  <c r="Y734"/>
  <c r="Y733"/>
  <c r="Y732"/>
  <c r="Y731"/>
  <c r="Y730"/>
  <c r="Y729"/>
  <c r="Y728"/>
  <c r="Y727"/>
  <c r="Y726"/>
  <c r="Y725"/>
  <c r="Y724"/>
  <c r="Y723"/>
  <c r="Y722"/>
  <c r="Y721"/>
  <c r="Y720"/>
  <c r="Y719"/>
  <c r="Y718"/>
  <c r="Y717"/>
  <c r="Y716"/>
  <c r="Y715"/>
  <c r="Y714"/>
  <c r="Y713"/>
  <c r="Y712"/>
  <c r="Y711"/>
  <c r="Y710"/>
  <c r="Y709"/>
  <c r="Y708"/>
  <c r="Y707"/>
  <c r="Y706"/>
  <c r="Y705"/>
  <c r="Y704"/>
  <c r="Y703"/>
  <c r="Y702"/>
  <c r="Y701"/>
  <c r="Y700"/>
  <c r="Y699"/>
  <c r="Y698"/>
  <c r="Y697"/>
  <c r="Y695"/>
  <c r="Y693"/>
  <c r="Y692"/>
  <c r="Y691"/>
  <c r="Y690"/>
  <c r="Y689"/>
  <c r="Y688"/>
  <c r="Y687"/>
  <c r="Y686"/>
  <c r="Y685"/>
  <c r="Y684"/>
  <c r="Y683"/>
  <c r="Y682"/>
  <c r="Y681"/>
  <c r="Y680"/>
  <c r="Y679"/>
  <c r="Y678"/>
  <c r="Y677"/>
  <c r="Y676"/>
  <c r="Y675"/>
  <c r="Y674"/>
  <c r="Y673"/>
  <c r="Y672"/>
  <c r="Y671"/>
  <c r="Y670"/>
  <c r="Y669"/>
  <c r="Y668"/>
  <c r="Y666"/>
  <c r="Y665"/>
  <c r="Y664"/>
  <c r="Y663"/>
  <c r="Y662"/>
  <c r="Y661"/>
  <c r="Y660"/>
  <c r="Y659"/>
  <c r="Y658"/>
  <c r="Y657"/>
  <c r="Y656"/>
  <c r="Y655"/>
  <c r="Y654"/>
  <c r="Y653"/>
  <c r="Y652"/>
  <c r="Y651"/>
  <c r="Y650"/>
  <c r="Y649"/>
  <c r="Y648"/>
  <c r="Y647"/>
  <c r="Y646"/>
  <c r="Y645"/>
  <c r="Y644"/>
  <c r="Y643"/>
  <c r="Y642"/>
  <c r="Y641"/>
  <c r="Y640"/>
  <c r="Y639"/>
  <c r="Y638"/>
  <c r="Y637"/>
  <c r="Y636"/>
  <c r="Y635"/>
  <c r="Y634"/>
  <c r="Y633"/>
  <c r="Y632"/>
  <c r="Y631"/>
  <c r="Y630"/>
  <c r="Y629"/>
  <c r="Y628"/>
  <c r="Y627"/>
  <c r="Y626"/>
  <c r="Y625"/>
  <c r="Y624"/>
  <c r="Y623"/>
  <c r="Y622"/>
  <c r="Y621"/>
  <c r="Y620"/>
  <c r="Y619"/>
  <c r="Y618"/>
  <c r="Y617"/>
  <c r="Y616"/>
  <c r="Y615"/>
  <c r="Y614"/>
  <c r="Y613"/>
  <c r="Y612"/>
  <c r="Y611"/>
  <c r="Y610"/>
  <c r="Y609"/>
  <c r="Y608"/>
  <c r="Y607"/>
  <c r="Y606"/>
  <c r="Y605"/>
  <c r="Y604"/>
  <c r="Y603"/>
  <c r="Y602"/>
  <c r="Y599"/>
  <c r="Y598"/>
  <c r="Y596"/>
  <c r="Y595"/>
  <c r="Y594"/>
  <c r="Y593"/>
  <c r="Y592"/>
  <c r="Y591"/>
  <c r="Y590"/>
  <c r="Y589"/>
  <c r="Y588"/>
  <c r="Y587"/>
  <c r="Y586"/>
  <c r="Y585"/>
  <c r="Y584"/>
  <c r="Y583"/>
  <c r="Y582"/>
  <c r="Y581"/>
  <c r="Y580"/>
  <c r="Y579"/>
  <c r="Y578"/>
  <c r="Y577"/>
  <c r="Y576"/>
  <c r="Y575"/>
  <c r="Y574"/>
  <c r="Y573"/>
  <c r="Y572"/>
  <c r="Y571"/>
  <c r="Y570"/>
  <c r="Y569"/>
  <c r="Y568"/>
  <c r="Y567"/>
  <c r="Y566"/>
  <c r="Y565"/>
  <c r="Y564"/>
  <c r="Y563"/>
  <c r="Y562"/>
  <c r="Y561"/>
  <c r="Y560"/>
  <c r="Y559"/>
  <c r="Y558"/>
  <c r="Y556"/>
  <c r="Y555"/>
  <c r="Y554"/>
  <c r="Y553"/>
  <c r="Y552"/>
  <c r="Y551"/>
  <c r="Y550"/>
  <c r="Y549"/>
  <c r="Y548"/>
  <c r="Y547"/>
  <c r="Y546"/>
  <c r="Y545"/>
  <c r="Y544"/>
  <c r="Y543"/>
  <c r="Y542"/>
  <c r="Y541"/>
  <c r="Y539"/>
  <c r="Y538"/>
  <c r="Y537"/>
  <c r="Y536"/>
  <c r="Y535"/>
  <c r="Y534"/>
  <c r="Y533"/>
  <c r="Y532"/>
  <c r="Y531"/>
  <c r="Y530"/>
  <c r="Y529"/>
  <c r="Y528"/>
  <c r="Y527"/>
  <c r="Y526"/>
  <c r="Y525"/>
  <c r="Y524"/>
  <c r="Y523"/>
  <c r="Y522"/>
  <c r="Y521"/>
  <c r="Y520"/>
  <c r="Y519"/>
  <c r="Y518"/>
  <c r="Y517"/>
  <c r="Y516"/>
  <c r="Y515"/>
  <c r="Y514"/>
  <c r="Y513"/>
  <c r="Y512"/>
  <c r="Y511"/>
  <c r="Y510"/>
  <c r="Y509"/>
  <c r="Y508"/>
  <c r="Y507"/>
  <c r="Y506"/>
  <c r="Y505"/>
  <c r="Y504"/>
  <c r="Y503"/>
  <c r="Y502"/>
  <c r="Y501"/>
  <c r="Y500"/>
  <c r="Y499"/>
  <c r="Y498"/>
  <c r="Y497"/>
  <c r="Y496"/>
  <c r="Y495"/>
  <c r="Y494"/>
  <c r="Y493"/>
  <c r="Y492"/>
  <c r="Y491"/>
  <c r="Y490"/>
  <c r="Y489"/>
  <c r="Y488"/>
  <c r="Y487"/>
  <c r="Y486"/>
  <c r="Y485"/>
  <c r="Y484"/>
  <c r="Y483"/>
  <c r="Y482"/>
  <c r="Y481"/>
  <c r="Y480"/>
  <c r="Y479"/>
  <c r="Y478"/>
  <c r="Y477"/>
  <c r="Y476"/>
  <c r="Y475"/>
  <c r="Y474"/>
  <c r="Y473"/>
  <c r="Y472"/>
  <c r="Y471"/>
  <c r="Y470"/>
  <c r="Y469"/>
  <c r="Y468"/>
  <c r="Y467"/>
  <c r="Y466"/>
  <c r="Y465"/>
  <c r="Y464"/>
  <c r="Y463"/>
  <c r="Y462"/>
  <c r="Y461"/>
  <c r="Y460"/>
  <c r="Y459"/>
  <c r="Y458"/>
  <c r="Y457"/>
  <c r="Y456"/>
  <c r="Y455"/>
  <c r="Y454"/>
  <c r="Y453"/>
  <c r="Y452"/>
  <c r="Y451"/>
  <c r="Y450"/>
  <c r="Y449"/>
  <c r="Y448"/>
  <c r="Y447"/>
  <c r="Y446"/>
  <c r="Y445"/>
  <c r="Y444"/>
  <c r="Y443"/>
  <c r="Y442"/>
  <c r="Y441"/>
  <c r="Y440"/>
  <c r="Y439"/>
  <c r="Y438"/>
  <c r="Y437"/>
  <c r="Y436"/>
  <c r="Y435"/>
  <c r="Y434"/>
  <c r="Y433"/>
  <c r="Y432"/>
  <c r="Y431"/>
  <c r="Y430"/>
  <c r="Y429"/>
  <c r="Y428"/>
  <c r="Y427"/>
  <c r="Y426"/>
  <c r="Y425"/>
  <c r="Y424"/>
  <c r="Y423"/>
  <c r="Y422"/>
  <c r="Y421"/>
  <c r="Y420"/>
  <c r="Y419"/>
  <c r="Y418"/>
  <c r="Y417"/>
  <c r="Y416"/>
  <c r="Y415"/>
  <c r="Y414"/>
  <c r="Y413"/>
  <c r="Y412"/>
  <c r="Y411"/>
  <c r="Y410"/>
  <c r="Y409"/>
  <c r="Y408"/>
  <c r="Y407"/>
  <c r="Y406"/>
  <c r="Y405"/>
  <c r="Y404"/>
  <c r="Y403"/>
  <c r="Y402"/>
  <c r="Y401"/>
  <c r="Y400"/>
  <c r="Y399"/>
  <c r="Y398"/>
  <c r="Y397"/>
  <c r="Y396"/>
  <c r="Y395"/>
  <c r="Y394"/>
  <c r="Y393"/>
  <c r="Y392"/>
  <c r="Y391"/>
  <c r="Y390"/>
  <c r="Y389"/>
  <c r="Y388"/>
  <c r="Y387"/>
  <c r="Y386"/>
  <c r="Y385"/>
  <c r="Y384"/>
  <c r="Y383"/>
  <c r="Y382"/>
  <c r="Y381"/>
  <c r="Y380"/>
  <c r="Y379"/>
  <c r="Y378"/>
  <c r="Y377"/>
  <c r="Y376"/>
  <c r="Y375"/>
  <c r="Y374"/>
  <c r="Y373"/>
  <c r="Y372"/>
  <c r="Y371"/>
  <c r="Y370"/>
  <c r="Y369"/>
  <c r="Y368"/>
  <c r="Y367"/>
  <c r="Y366"/>
  <c r="Y365"/>
  <c r="Y364"/>
  <c r="Y363"/>
  <c r="Y362"/>
  <c r="Y361"/>
  <c r="Y360"/>
  <c r="Y359"/>
  <c r="Y358"/>
  <c r="Y357"/>
  <c r="Y356"/>
  <c r="Y355"/>
  <c r="Y354"/>
  <c r="Y353"/>
  <c r="Y352"/>
  <c r="Y351"/>
  <c r="Y350"/>
  <c r="Y349"/>
  <c r="Y348"/>
  <c r="Y347"/>
  <c r="Y346"/>
  <c r="Y345"/>
  <c r="Y344"/>
  <c r="Y343"/>
  <c r="Y342"/>
  <c r="Y341"/>
  <c r="Y340"/>
  <c r="Y339"/>
  <c r="Y338"/>
  <c r="Y337"/>
  <c r="Y336"/>
  <c r="Y335"/>
  <c r="Y334"/>
  <c r="Y333"/>
  <c r="Y332"/>
  <c r="Y331"/>
  <c r="Y330"/>
  <c r="Y329"/>
  <c r="Y328"/>
  <c r="Y327"/>
  <c r="Y326"/>
  <c r="Y325"/>
  <c r="Y324"/>
  <c r="Y323"/>
  <c r="Y322"/>
  <c r="Y321"/>
  <c r="Y320"/>
  <c r="Y319"/>
  <c r="Y317"/>
  <c r="Y316"/>
  <c r="Y315"/>
  <c r="Y314"/>
  <c r="Y313"/>
  <c r="Y311"/>
  <c r="Y310"/>
  <c r="Y309"/>
  <c r="Y308"/>
  <c r="Y307"/>
  <c r="Y306"/>
  <c r="Y305"/>
  <c r="Y304"/>
  <c r="Y303"/>
  <c r="Y302"/>
  <c r="Y301"/>
  <c r="Y300"/>
  <c r="Y299"/>
  <c r="Y298"/>
  <c r="Y297"/>
  <c r="Y296"/>
  <c r="Y295"/>
  <c r="Y294"/>
  <c r="Y293"/>
  <c r="Y292"/>
  <c r="Y291"/>
  <c r="Y290"/>
  <c r="Y289"/>
  <c r="Y288"/>
  <c r="Y287"/>
  <c r="Y286"/>
  <c r="Y285"/>
  <c r="Y284"/>
  <c r="Y282"/>
  <c r="Y281"/>
  <c r="Y280"/>
  <c r="Y279"/>
  <c r="Y278"/>
  <c r="Y277"/>
  <c r="Y276"/>
  <c r="Y275"/>
  <c r="Y274"/>
  <c r="Y273"/>
  <c r="Y271"/>
  <c r="Y270"/>
  <c r="Y269"/>
  <c r="Y268"/>
  <c r="Y267"/>
  <c r="Y266"/>
  <c r="Y265"/>
  <c r="Y264"/>
  <c r="Y262"/>
  <c r="Y261"/>
  <c r="Y260"/>
  <c r="Y259"/>
  <c r="Y258"/>
  <c r="Y257"/>
  <c r="Y256"/>
  <c r="Y255"/>
  <c r="Y254"/>
  <c r="Y253"/>
  <c r="Y252"/>
  <c r="Y251"/>
  <c r="Y250"/>
  <c r="Y249"/>
  <c r="Y248"/>
  <c r="Y247"/>
  <c r="Y246"/>
  <c r="Y245"/>
  <c r="Y244"/>
  <c r="Y243"/>
  <c r="Y242"/>
  <c r="Y241"/>
  <c r="Y240"/>
  <c r="Y239"/>
  <c r="Y238"/>
  <c r="Y237"/>
  <c r="Y236"/>
  <c r="Y235"/>
  <c r="Y234"/>
  <c r="Y233"/>
  <c r="Y232"/>
  <c r="Y231"/>
  <c r="Y230"/>
  <c r="Y229"/>
  <c r="Y228"/>
  <c r="Y227"/>
  <c r="Y226"/>
  <c r="Y225"/>
  <c r="Y224"/>
  <c r="Y223"/>
  <c r="Y222"/>
  <c r="Y221"/>
  <c r="Y220"/>
  <c r="Y219"/>
  <c r="Y218"/>
  <c r="Y217"/>
  <c r="Y216"/>
  <c r="Y215"/>
  <c r="Y214"/>
  <c r="Y213"/>
  <c r="Y212"/>
  <c r="Y211"/>
  <c r="Y210"/>
  <c r="Y208"/>
  <c r="Y207"/>
  <c r="Y206"/>
  <c r="Y205"/>
  <c r="Y204"/>
  <c r="Y203"/>
  <c r="Y202"/>
  <c r="Y201"/>
  <c r="Y200"/>
  <c r="Y199"/>
  <c r="Y198"/>
  <c r="Y197"/>
  <c r="Y196"/>
  <c r="Y195"/>
  <c r="Y194"/>
  <c r="Y193"/>
  <c r="Y192"/>
  <c r="Y191"/>
  <c r="Y190"/>
  <c r="Y189"/>
  <c r="Y188"/>
  <c r="Y187"/>
  <c r="Y186"/>
  <c r="Y185"/>
  <c r="Y184"/>
  <c r="Y183"/>
  <c r="Y182"/>
  <c r="Y181"/>
  <c r="Y180"/>
  <c r="Y179"/>
  <c r="Y178"/>
  <c r="Y177"/>
  <c r="Y176"/>
  <c r="Y175"/>
  <c r="Y174"/>
  <c r="Y173"/>
  <c r="Y172"/>
  <c r="Y171"/>
  <c r="Y170"/>
  <c r="Y169"/>
  <c r="Y168"/>
  <c r="Y167"/>
  <c r="Y166"/>
  <c r="Y165"/>
  <c r="Y164"/>
  <c r="Y163"/>
  <c r="Y162"/>
  <c r="Y161"/>
  <c r="Y160"/>
  <c r="Y159"/>
  <c r="Y158"/>
  <c r="Y157"/>
  <c r="Y156"/>
  <c r="Y155"/>
  <c r="Y154"/>
  <c r="Y153"/>
  <c r="Y152"/>
  <c r="Y151"/>
  <c r="Y150"/>
  <c r="Y149"/>
  <c r="Y148"/>
  <c r="Y147"/>
  <c r="Y146"/>
  <c r="Y145"/>
  <c r="Y144"/>
  <c r="Y143"/>
  <c r="Y142"/>
  <c r="Y141"/>
  <c r="Y140"/>
  <c r="Y139"/>
  <c r="Y138"/>
  <c r="Y137"/>
  <c r="Y136"/>
  <c r="Y135"/>
  <c r="Y134"/>
  <c r="Y133"/>
  <c r="Y132"/>
  <c r="Y131"/>
  <c r="Y130"/>
  <c r="Y129"/>
  <c r="Y128"/>
  <c r="Y127"/>
  <c r="Y126"/>
  <c r="Y125"/>
  <c r="Y124"/>
  <c r="Y123"/>
  <c r="Y122"/>
  <c r="Y121"/>
  <c r="Y120"/>
  <c r="Y119"/>
  <c r="Y118"/>
  <c r="Y117"/>
  <c r="Y116"/>
  <c r="Y115"/>
  <c r="Y114"/>
  <c r="Y113"/>
  <c r="Y112"/>
  <c r="Y111"/>
  <c r="Y110"/>
  <c r="Y109"/>
  <c r="Y108"/>
  <c r="Y107"/>
  <c r="Y106"/>
  <c r="Y105"/>
  <c r="Y104"/>
  <c r="Y103"/>
  <c r="Y102"/>
  <c r="Y101"/>
  <c r="A12" i="3"/>
  <c r="A11"/>
  <c r="A10"/>
  <c r="G10" s="1"/>
  <c r="K10" s="1"/>
  <c r="A9"/>
  <c r="A8"/>
  <c r="G8" s="1"/>
  <c r="K8" s="1"/>
  <c r="F14" i="8" s="1"/>
  <c r="A7" i="3"/>
  <c r="A6"/>
  <c r="A5"/>
  <c r="Y540" i="1"/>
  <c r="Y100"/>
  <c r="Y99"/>
  <c r="Y98"/>
  <c r="Y97"/>
  <c r="Y96"/>
  <c r="Y95"/>
  <c r="Y94"/>
  <c r="Y93"/>
  <c r="Y92"/>
  <c r="Y91"/>
  <c r="Y90"/>
  <c r="Y89"/>
  <c r="Y88"/>
  <c r="Y87"/>
  <c r="Y86"/>
  <c r="Y85"/>
  <c r="Y84"/>
  <c r="Y83"/>
  <c r="Y82"/>
  <c r="Y81"/>
  <c r="Y80"/>
  <c r="Y79"/>
  <c r="Y78"/>
  <c r="Y77"/>
  <c r="Y76"/>
  <c r="Y75"/>
  <c r="Y74"/>
  <c r="Y73"/>
  <c r="Y72"/>
  <c r="Y71"/>
  <c r="Y70"/>
  <c r="Y69"/>
  <c r="Y68"/>
  <c r="Y67"/>
  <c r="Y66"/>
  <c r="Y65"/>
  <c r="Y64"/>
  <c r="Y63"/>
  <c r="Y62"/>
  <c r="Y61"/>
  <c r="Y60"/>
  <c r="Y59"/>
  <c r="Y58"/>
  <c r="Y57"/>
  <c r="Y56"/>
  <c r="Y55"/>
  <c r="Y54"/>
  <c r="Y53"/>
  <c r="Y52"/>
  <c r="Y51"/>
  <c r="Y49"/>
  <c r="Y48"/>
  <c r="Y47"/>
  <c r="Y46"/>
  <c r="Y45"/>
  <c r="Y44"/>
  <c r="Y43"/>
  <c r="Y42"/>
  <c r="Y41"/>
  <c r="Y40"/>
  <c r="Y39"/>
  <c r="Y38"/>
  <c r="Y37"/>
  <c r="Y36"/>
  <c r="Y35"/>
  <c r="Y34"/>
  <c r="Y33"/>
  <c r="Y32"/>
  <c r="Y31"/>
  <c r="Y30"/>
  <c r="Y29"/>
  <c r="Y28"/>
  <c r="Y27"/>
  <c r="Y26"/>
  <c r="Y25"/>
  <c r="Y24"/>
  <c r="Y23"/>
  <c r="Y22"/>
  <c r="Y21"/>
  <c r="Y19"/>
  <c r="Y18"/>
  <c r="Y17"/>
  <c r="Y16"/>
  <c r="Y14"/>
  <c r="Y13"/>
  <c r="Y12"/>
  <c r="Y11"/>
  <c r="Y10"/>
  <c r="Y9"/>
  <c r="Y8"/>
  <c r="Y7"/>
  <c r="Y6"/>
  <c r="Y5"/>
  <c r="Y4"/>
  <c r="B100" i="9"/>
  <c r="A100" s="1"/>
  <c r="B99"/>
  <c r="A99" s="1"/>
  <c r="B98"/>
  <c r="A98" s="1"/>
  <c r="B97"/>
  <c r="A97" s="1"/>
  <c r="B96"/>
  <c r="A96" s="1"/>
  <c r="B95"/>
  <c r="A95" s="1"/>
  <c r="B94"/>
  <c r="A94" s="1"/>
  <c r="B93"/>
  <c r="A93" s="1"/>
  <c r="B92"/>
  <c r="A92" s="1"/>
  <c r="B91"/>
  <c r="A91" s="1"/>
  <c r="B90"/>
  <c r="A90" s="1"/>
  <c r="B89"/>
  <c r="A89" s="1"/>
  <c r="B88"/>
  <c r="A88" s="1"/>
  <c r="B87"/>
  <c r="A87" s="1"/>
  <c r="B86"/>
  <c r="A86" s="1"/>
  <c r="B85"/>
  <c r="A85" s="1"/>
  <c r="B84"/>
  <c r="A84" s="1"/>
  <c r="B83"/>
  <c r="A83" s="1"/>
  <c r="B82"/>
  <c r="A82" s="1"/>
  <c r="B81"/>
  <c r="A81" s="1"/>
  <c r="B80"/>
  <c r="A80" s="1"/>
  <c r="B79"/>
  <c r="A79" s="1"/>
  <c r="B78"/>
  <c r="A78" s="1"/>
  <c r="B77"/>
  <c r="A77" s="1"/>
  <c r="B76"/>
  <c r="A76" s="1"/>
  <c r="B75"/>
  <c r="A75" s="1"/>
  <c r="B74"/>
  <c r="A74" s="1"/>
  <c r="B73"/>
  <c r="A73" s="1"/>
  <c r="B72"/>
  <c r="A72" s="1"/>
  <c r="B71"/>
  <c r="A71" s="1"/>
  <c r="B70"/>
  <c r="A70" s="1"/>
  <c r="B69"/>
  <c r="A69" s="1"/>
  <c r="B68"/>
  <c r="A68" s="1"/>
  <c r="B67"/>
  <c r="A67" s="1"/>
  <c r="B66"/>
  <c r="A66" s="1"/>
  <c r="B65"/>
  <c r="A65" s="1"/>
  <c r="B64"/>
  <c r="A64" s="1"/>
  <c r="B63"/>
  <c r="A63" s="1"/>
  <c r="B62"/>
  <c r="A62" s="1"/>
  <c r="B61"/>
  <c r="A61" s="1"/>
  <c r="B60"/>
  <c r="A60" s="1"/>
  <c r="B59"/>
  <c r="A59" s="1"/>
  <c r="B58"/>
  <c r="A58" s="1"/>
  <c r="B57"/>
  <c r="A57" s="1"/>
  <c r="B56"/>
  <c r="A56" s="1"/>
  <c r="B55"/>
  <c r="A55" s="1"/>
  <c r="B54"/>
  <c r="A54" s="1"/>
  <c r="B53"/>
  <c r="A53" s="1"/>
  <c r="B52"/>
  <c r="A52" s="1"/>
  <c r="B51"/>
  <c r="A51" s="1"/>
  <c r="B50"/>
  <c r="B49"/>
  <c r="A49" s="1"/>
  <c r="B48"/>
  <c r="A48" s="1"/>
  <c r="B47"/>
  <c r="A47" s="1"/>
  <c r="B46"/>
  <c r="A46" s="1"/>
  <c r="B45"/>
  <c r="A45" s="1"/>
  <c r="B44"/>
  <c r="A44" s="1"/>
  <c r="B43"/>
  <c r="A43" s="1"/>
  <c r="B42"/>
  <c r="A42" s="1"/>
  <c r="B41"/>
  <c r="A41" s="1"/>
  <c r="B40"/>
  <c r="A40" s="1"/>
  <c r="B39"/>
  <c r="A39" s="1"/>
  <c r="B38"/>
  <c r="A38" s="1"/>
  <c r="B37"/>
  <c r="A37" s="1"/>
  <c r="B36"/>
  <c r="A36" s="1"/>
  <c r="B35"/>
  <c r="A35" s="1"/>
  <c r="B34"/>
  <c r="A34" s="1"/>
  <c r="B33"/>
  <c r="A33" s="1"/>
  <c r="B32"/>
  <c r="A32" s="1"/>
  <c r="B31"/>
  <c r="A31" s="1"/>
  <c r="B30"/>
  <c r="A30" s="1"/>
  <c r="B29"/>
  <c r="A29" s="1"/>
  <c r="B28"/>
  <c r="A28" s="1"/>
  <c r="B27"/>
  <c r="A27" s="1"/>
  <c r="B26"/>
  <c r="A26" s="1"/>
  <c r="B25"/>
  <c r="A25" s="1"/>
  <c r="B24"/>
  <c r="A24" s="1"/>
  <c r="B23"/>
  <c r="A23" s="1"/>
  <c r="B22"/>
  <c r="A22" s="1"/>
  <c r="B21"/>
  <c r="A21" s="1"/>
  <c r="B20"/>
  <c r="B19"/>
  <c r="A19" s="1"/>
  <c r="B18"/>
  <c r="A18" s="1"/>
  <c r="B17"/>
  <c r="A17" s="1"/>
  <c r="B16"/>
  <c r="A16" s="1"/>
  <c r="B15"/>
  <c r="C15" s="1"/>
  <c r="B14"/>
  <c r="A14" s="1"/>
  <c r="B13"/>
  <c r="A13" s="1"/>
  <c r="B12"/>
  <c r="C12" s="1"/>
  <c r="B11"/>
  <c r="A11" s="1"/>
  <c r="B10"/>
  <c r="A10" s="1"/>
  <c r="B9"/>
  <c r="A9" s="1"/>
  <c r="B8"/>
  <c r="C8" s="1"/>
  <c r="B7"/>
  <c r="C7" s="1"/>
  <c r="B6"/>
  <c r="C6" s="1"/>
  <c r="B5"/>
  <c r="C5" s="1"/>
  <c r="B4"/>
  <c r="C4" s="1"/>
  <c r="B3"/>
  <c r="C3" s="1"/>
  <c r="B2"/>
  <c r="C2" s="1"/>
  <c r="D91" i="3"/>
  <c r="D76"/>
  <c r="D55"/>
  <c r="F95"/>
  <c r="F82"/>
  <c r="F66"/>
  <c r="F39"/>
  <c r="F34"/>
  <c r="F27"/>
  <c r="F18"/>
  <c r="H92"/>
  <c r="H90"/>
  <c r="H74"/>
  <c r="H58"/>
  <c r="H42"/>
  <c r="H26"/>
  <c r="I98"/>
  <c r="I82"/>
  <c r="I66"/>
  <c r="I50"/>
  <c r="I34"/>
  <c r="I18"/>
  <c r="J96"/>
  <c r="J94"/>
  <c r="J83"/>
  <c r="J82"/>
  <c r="J66"/>
  <c r="J46"/>
  <c r="J43"/>
  <c r="J22"/>
  <c r="A2"/>
  <c r="J49" i="8"/>
  <c r="E17"/>
  <c r="A4" i="3"/>
  <c r="A3"/>
  <c r="G3" s="1"/>
  <c r="K3" s="1"/>
  <c r="F9" i="8" s="1"/>
  <c r="D142" i="5"/>
  <c r="D110"/>
  <c r="D94"/>
  <c r="D78"/>
  <c r="D42"/>
  <c r="D26"/>
  <c r="B20"/>
  <c r="A20" s="1"/>
  <c r="D18"/>
  <c r="D14"/>
  <c r="D10"/>
  <c r="D62" l="1"/>
  <c r="D126"/>
  <c r="J35" i="3"/>
  <c r="F63"/>
  <c r="F83"/>
  <c r="A17" i="5"/>
  <c r="A66"/>
  <c r="A95"/>
  <c r="A162"/>
  <c r="A178"/>
  <c r="A194"/>
  <c r="A210"/>
  <c r="A254"/>
  <c r="A322"/>
  <c r="A426"/>
  <c r="A734"/>
  <c r="A922"/>
  <c r="A934"/>
  <c r="A34"/>
  <c r="A65"/>
  <c r="A126"/>
  <c r="A142"/>
  <c r="A249"/>
  <c r="A330"/>
  <c r="A334"/>
  <c r="A338"/>
  <c r="A366"/>
  <c r="A398"/>
  <c r="A483"/>
  <c r="A509"/>
  <c r="A557"/>
  <c r="A571"/>
  <c r="A587"/>
  <c r="A623"/>
  <c r="A643"/>
  <c r="A651"/>
  <c r="F71" i="3"/>
  <c r="D23"/>
  <c r="A218" i="5"/>
  <c r="A234"/>
  <c r="A266"/>
  <c r="A350"/>
  <c r="A382"/>
  <c r="A434"/>
  <c r="A450"/>
  <c r="A518"/>
  <c r="C15" i="8"/>
  <c r="C13"/>
  <c r="C11"/>
  <c r="C9"/>
  <c r="D9" s="1"/>
  <c r="B80" i="17"/>
  <c r="L80" s="1"/>
  <c r="L82" s="1"/>
  <c r="I39" i="8"/>
  <c r="J39" s="1"/>
  <c r="J41" s="1"/>
  <c r="C14"/>
  <c r="C12"/>
  <c r="C10"/>
  <c r="H28" i="17"/>
  <c r="I28" s="1"/>
  <c r="G2" i="3"/>
  <c r="K2" s="1"/>
  <c r="J5"/>
  <c r="G5"/>
  <c r="K5" s="1"/>
  <c r="F11" i="8" s="1"/>
  <c r="H7" i="3"/>
  <c r="G7"/>
  <c r="K7" s="1"/>
  <c r="F13" i="8" s="1"/>
  <c r="I9" i="3"/>
  <c r="G9"/>
  <c r="K9" s="1"/>
  <c r="F15" i="8" s="1"/>
  <c r="H4" i="3"/>
  <c r="G4"/>
  <c r="K4" s="1"/>
  <c r="F10" i="8" s="1"/>
  <c r="F6" i="3"/>
  <c r="G6"/>
  <c r="K6" s="1"/>
  <c r="F12" i="8" s="1"/>
  <c r="I12" i="3"/>
  <c r="G12"/>
  <c r="K12" s="1"/>
  <c r="I19" i="16" s="1"/>
  <c r="F16" i="3"/>
  <c r="G16"/>
  <c r="K16" s="1"/>
  <c r="D18"/>
  <c r="G18"/>
  <c r="K18" s="1"/>
  <c r="H20"/>
  <c r="G20"/>
  <c r="K20" s="1"/>
  <c r="I20" i="16" s="1"/>
  <c r="D22" i="3"/>
  <c r="G22"/>
  <c r="K22" s="1"/>
  <c r="F24"/>
  <c r="G24"/>
  <c r="K24" s="1"/>
  <c r="D26"/>
  <c r="G26"/>
  <c r="K26" s="1"/>
  <c r="D32"/>
  <c r="G32"/>
  <c r="K32" s="1"/>
  <c r="D34"/>
  <c r="G34"/>
  <c r="K34" s="1"/>
  <c r="F36"/>
  <c r="G36"/>
  <c r="K36" s="1"/>
  <c r="D38"/>
  <c r="G38"/>
  <c r="K38" s="1"/>
  <c r="F40"/>
  <c r="G40"/>
  <c r="K40" s="1"/>
  <c r="D42"/>
  <c r="G42"/>
  <c r="K42" s="1"/>
  <c r="D44"/>
  <c r="G44"/>
  <c r="K44" s="1"/>
  <c r="F48"/>
  <c r="G48"/>
  <c r="K48" s="1"/>
  <c r="D50"/>
  <c r="F50" s="1"/>
  <c r="G50"/>
  <c r="K50" s="1"/>
  <c r="F52"/>
  <c r="G52"/>
  <c r="K52" s="1"/>
  <c r="D54"/>
  <c r="G54"/>
  <c r="K54" s="1"/>
  <c r="F56"/>
  <c r="G56"/>
  <c r="K56" s="1"/>
  <c r="D58"/>
  <c r="G58"/>
  <c r="K58" s="1"/>
  <c r="D60"/>
  <c r="G60"/>
  <c r="K60" s="1"/>
  <c r="D64"/>
  <c r="G64"/>
  <c r="K64" s="1"/>
  <c r="D66"/>
  <c r="G66"/>
  <c r="K66" s="1"/>
  <c r="F68"/>
  <c r="G68"/>
  <c r="K68" s="1"/>
  <c r="D70"/>
  <c r="G70"/>
  <c r="K70" s="1"/>
  <c r="F72"/>
  <c r="G72"/>
  <c r="K72" s="1"/>
  <c r="D74"/>
  <c r="G74"/>
  <c r="K74" s="1"/>
  <c r="D80"/>
  <c r="G80"/>
  <c r="K80" s="1"/>
  <c r="D82"/>
  <c r="G82"/>
  <c r="K82" s="1"/>
  <c r="I84"/>
  <c r="G84"/>
  <c r="K84" s="1"/>
  <c r="D86"/>
  <c r="G86"/>
  <c r="K86" s="1"/>
  <c r="F88"/>
  <c r="G88"/>
  <c r="K88" s="1"/>
  <c r="D90"/>
  <c r="G90"/>
  <c r="K90" s="1"/>
  <c r="F92"/>
  <c r="G92"/>
  <c r="K92" s="1"/>
  <c r="F96"/>
  <c r="G96"/>
  <c r="K96" s="1"/>
  <c r="D98"/>
  <c r="G98"/>
  <c r="K98" s="1"/>
  <c r="I100"/>
  <c r="G100"/>
  <c r="K100" s="1"/>
  <c r="F470"/>
  <c r="G470"/>
  <c r="K470" s="1"/>
  <c r="F478"/>
  <c r="G478"/>
  <c r="K478" s="1"/>
  <c r="F486"/>
  <c r="G486"/>
  <c r="K486" s="1"/>
  <c r="F494"/>
  <c r="G494"/>
  <c r="K494" s="1"/>
  <c r="F502"/>
  <c r="G502"/>
  <c r="K502" s="1"/>
  <c r="F510"/>
  <c r="G510"/>
  <c r="K510" s="1"/>
  <c r="F518"/>
  <c r="G518"/>
  <c r="K518" s="1"/>
  <c r="F526"/>
  <c r="G526"/>
  <c r="K526" s="1"/>
  <c r="F534"/>
  <c r="G534"/>
  <c r="K534" s="1"/>
  <c r="F542"/>
  <c r="G542"/>
  <c r="K542" s="1"/>
  <c r="F550"/>
  <c r="G550"/>
  <c r="K550" s="1"/>
  <c r="F558"/>
  <c r="G558"/>
  <c r="K558" s="1"/>
  <c r="F566"/>
  <c r="G566"/>
  <c r="K566" s="1"/>
  <c r="F574"/>
  <c r="G574"/>
  <c r="K574" s="1"/>
  <c r="F582"/>
  <c r="G582"/>
  <c r="K582" s="1"/>
  <c r="F590"/>
  <c r="G590"/>
  <c r="K590" s="1"/>
  <c r="F598"/>
  <c r="G598"/>
  <c r="K598" s="1"/>
  <c r="F606"/>
  <c r="G606"/>
  <c r="K606" s="1"/>
  <c r="F614"/>
  <c r="G614"/>
  <c r="K614" s="1"/>
  <c r="F622"/>
  <c r="G622"/>
  <c r="K622" s="1"/>
  <c r="F630"/>
  <c r="G630"/>
  <c r="K630" s="1"/>
  <c r="F638"/>
  <c r="G638"/>
  <c r="K638" s="1"/>
  <c r="F646"/>
  <c r="G646"/>
  <c r="K646" s="1"/>
  <c r="F654"/>
  <c r="G654"/>
  <c r="K654" s="1"/>
  <c r="F662"/>
  <c r="G662"/>
  <c r="K662" s="1"/>
  <c r="F670"/>
  <c r="G670"/>
  <c r="K670" s="1"/>
  <c r="F678"/>
  <c r="G678"/>
  <c r="K678" s="1"/>
  <c r="F686"/>
  <c r="G686"/>
  <c r="K686" s="1"/>
  <c r="C209" i="5"/>
  <c r="E209" s="1"/>
  <c r="C597"/>
  <c r="E597" s="1"/>
  <c r="A29"/>
  <c r="A79"/>
  <c r="A81"/>
  <c r="A87"/>
  <c r="A125"/>
  <c r="A133"/>
  <c r="A141"/>
  <c r="A155"/>
  <c r="A159"/>
  <c r="A273"/>
  <c r="A281"/>
  <c r="A295"/>
  <c r="A373"/>
  <c r="A381"/>
  <c r="A401"/>
  <c r="A421"/>
  <c r="A427"/>
  <c r="A447"/>
  <c r="A461"/>
  <c r="A467"/>
  <c r="A481"/>
  <c r="A491"/>
  <c r="A495"/>
  <c r="A497"/>
  <c r="A507"/>
  <c r="A523"/>
  <c r="A535"/>
  <c r="A539"/>
  <c r="A555"/>
  <c r="A559"/>
  <c r="A563"/>
  <c r="A579"/>
  <c r="A583"/>
  <c r="A595"/>
  <c r="A599"/>
  <c r="A601"/>
  <c r="A611"/>
  <c r="A625"/>
  <c r="A631"/>
  <c r="A635"/>
  <c r="A639"/>
  <c r="A663"/>
  <c r="A675"/>
  <c r="A691"/>
  <c r="A699"/>
  <c r="A701"/>
  <c r="A711"/>
  <c r="A715"/>
  <c r="A723"/>
  <c r="A731"/>
  <c r="A735"/>
  <c r="A741"/>
  <c r="A751"/>
  <c r="A753"/>
  <c r="A759"/>
  <c r="A767"/>
  <c r="A779"/>
  <c r="A817"/>
  <c r="A839"/>
  <c r="A855"/>
  <c r="A857"/>
  <c r="A863"/>
  <c r="A875"/>
  <c r="A883"/>
  <c r="A887"/>
  <c r="A889"/>
  <c r="A895"/>
  <c r="A939"/>
  <c r="A965"/>
  <c r="A977"/>
  <c r="A987"/>
  <c r="A999"/>
  <c r="H11" i="3"/>
  <c r="G11"/>
  <c r="K11" s="1"/>
  <c r="H15"/>
  <c r="G15"/>
  <c r="K15" s="1"/>
  <c r="D19"/>
  <c r="G19"/>
  <c r="K19" s="1"/>
  <c r="D31"/>
  <c r="G31"/>
  <c r="K31" s="1"/>
  <c r="D39"/>
  <c r="G39"/>
  <c r="K39" s="1"/>
  <c r="J97"/>
  <c r="G97"/>
  <c r="K97" s="1"/>
  <c r="F237"/>
  <c r="G237"/>
  <c r="K237" s="1"/>
  <c r="F241"/>
  <c r="G241"/>
  <c r="K241" s="1"/>
  <c r="F245"/>
  <c r="G245"/>
  <c r="K245" s="1"/>
  <c r="F249"/>
  <c r="G249"/>
  <c r="K249" s="1"/>
  <c r="F253"/>
  <c r="G253"/>
  <c r="K253" s="1"/>
  <c r="F257"/>
  <c r="G257"/>
  <c r="K257" s="1"/>
  <c r="F261"/>
  <c r="G261"/>
  <c r="K261" s="1"/>
  <c r="F265"/>
  <c r="G265"/>
  <c r="K265" s="1"/>
  <c r="F269"/>
  <c r="G269"/>
  <c r="K269" s="1"/>
  <c r="F273"/>
  <c r="G273"/>
  <c r="K273" s="1"/>
  <c r="F277"/>
  <c r="G277"/>
  <c r="K277" s="1"/>
  <c r="F281"/>
  <c r="G281"/>
  <c r="K281" s="1"/>
  <c r="F285"/>
  <c r="G285"/>
  <c r="K285" s="1"/>
  <c r="G288"/>
  <c r="K288" s="1"/>
  <c r="F293"/>
  <c r="G293"/>
  <c r="K293" s="1"/>
  <c r="F297"/>
  <c r="G297"/>
  <c r="K297" s="1"/>
  <c r="F301"/>
  <c r="G301"/>
  <c r="K301" s="1"/>
  <c r="F305"/>
  <c r="G305"/>
  <c r="K305" s="1"/>
  <c r="F309"/>
  <c r="G309"/>
  <c r="K309" s="1"/>
  <c r="F313"/>
  <c r="G313"/>
  <c r="K313" s="1"/>
  <c r="F317"/>
  <c r="G317"/>
  <c r="K317" s="1"/>
  <c r="F321"/>
  <c r="G321"/>
  <c r="K321" s="1"/>
  <c r="F325"/>
  <c r="G325"/>
  <c r="K325" s="1"/>
  <c r="F329"/>
  <c r="G329"/>
  <c r="K329" s="1"/>
  <c r="F333"/>
  <c r="G333"/>
  <c r="K333" s="1"/>
  <c r="F337"/>
  <c r="G337"/>
  <c r="K337" s="1"/>
  <c r="F341"/>
  <c r="G341"/>
  <c r="K341" s="1"/>
  <c r="F345"/>
  <c r="G345"/>
  <c r="K345" s="1"/>
  <c r="F349"/>
  <c r="G349"/>
  <c r="K349" s="1"/>
  <c r="F353"/>
  <c r="G353"/>
  <c r="K353" s="1"/>
  <c r="F357"/>
  <c r="G357"/>
  <c r="K357" s="1"/>
  <c r="F361"/>
  <c r="G361"/>
  <c r="K361" s="1"/>
  <c r="F365"/>
  <c r="G365"/>
  <c r="K365" s="1"/>
  <c r="F369"/>
  <c r="G369"/>
  <c r="K369" s="1"/>
  <c r="F373"/>
  <c r="G373"/>
  <c r="K373" s="1"/>
  <c r="F377"/>
  <c r="G377"/>
  <c r="K377" s="1"/>
  <c r="F381"/>
  <c r="G381"/>
  <c r="K381" s="1"/>
  <c r="F385"/>
  <c r="G385"/>
  <c r="K385" s="1"/>
  <c r="F389"/>
  <c r="G389"/>
  <c r="K389" s="1"/>
  <c r="F393"/>
  <c r="G393"/>
  <c r="K393" s="1"/>
  <c r="F397"/>
  <c r="G397"/>
  <c r="K397" s="1"/>
  <c r="F401"/>
  <c r="G401"/>
  <c r="K401" s="1"/>
  <c r="F405"/>
  <c r="G405"/>
  <c r="K405" s="1"/>
  <c r="F409"/>
  <c r="G409"/>
  <c r="K409" s="1"/>
  <c r="F413"/>
  <c r="G413"/>
  <c r="K413" s="1"/>
  <c r="F417"/>
  <c r="G417"/>
  <c r="K417" s="1"/>
  <c r="F421"/>
  <c r="G421"/>
  <c r="K421" s="1"/>
  <c r="F425"/>
  <c r="G425"/>
  <c r="K425" s="1"/>
  <c r="F429"/>
  <c r="G429"/>
  <c r="K429" s="1"/>
  <c r="F433"/>
  <c r="G433"/>
  <c r="K433" s="1"/>
  <c r="F437"/>
  <c r="G437"/>
  <c r="K437" s="1"/>
  <c r="F441"/>
  <c r="G441"/>
  <c r="K441" s="1"/>
  <c r="F445"/>
  <c r="G445"/>
  <c r="K445" s="1"/>
  <c r="F449"/>
  <c r="G449"/>
  <c r="K449" s="1"/>
  <c r="F453"/>
  <c r="G453"/>
  <c r="K453" s="1"/>
  <c r="F457"/>
  <c r="G457"/>
  <c r="K457" s="1"/>
  <c r="F461"/>
  <c r="G461"/>
  <c r="K461" s="1"/>
  <c r="F465"/>
  <c r="G465"/>
  <c r="K465" s="1"/>
  <c r="F469"/>
  <c r="G469"/>
  <c r="K469" s="1"/>
  <c r="F473"/>
  <c r="G473"/>
  <c r="K473" s="1"/>
  <c r="F477"/>
  <c r="G477"/>
  <c r="K477" s="1"/>
  <c r="F481"/>
  <c r="G481"/>
  <c r="K481" s="1"/>
  <c r="F485"/>
  <c r="G485"/>
  <c r="K485" s="1"/>
  <c r="F489"/>
  <c r="G489"/>
  <c r="K489" s="1"/>
  <c r="F493"/>
  <c r="G493"/>
  <c r="K493" s="1"/>
  <c r="F497"/>
  <c r="G497"/>
  <c r="K497" s="1"/>
  <c r="F501"/>
  <c r="G501"/>
  <c r="K501" s="1"/>
  <c r="F505"/>
  <c r="G505"/>
  <c r="K505" s="1"/>
  <c r="F509"/>
  <c r="G509"/>
  <c r="K509" s="1"/>
  <c r="F513"/>
  <c r="G513"/>
  <c r="K513" s="1"/>
  <c r="F517"/>
  <c r="G517"/>
  <c r="K517" s="1"/>
  <c r="F521"/>
  <c r="G521"/>
  <c r="K521" s="1"/>
  <c r="F525"/>
  <c r="G525"/>
  <c r="K525" s="1"/>
  <c r="F529"/>
  <c r="G529"/>
  <c r="K529" s="1"/>
  <c r="F533"/>
  <c r="G533"/>
  <c r="K533" s="1"/>
  <c r="F537"/>
  <c r="G537"/>
  <c r="K537" s="1"/>
  <c r="F541"/>
  <c r="G541"/>
  <c r="K541" s="1"/>
  <c r="F545"/>
  <c r="G545"/>
  <c r="K545" s="1"/>
  <c r="F549"/>
  <c r="G549"/>
  <c r="K549" s="1"/>
  <c r="F553"/>
  <c r="G553"/>
  <c r="K553" s="1"/>
  <c r="F561"/>
  <c r="G561"/>
  <c r="K561" s="1"/>
  <c r="F565"/>
  <c r="G565"/>
  <c r="K565" s="1"/>
  <c r="F569"/>
  <c r="G569"/>
  <c r="K569" s="1"/>
  <c r="F573"/>
  <c r="G573"/>
  <c r="K573" s="1"/>
  <c r="F577"/>
  <c r="G577"/>
  <c r="K577" s="1"/>
  <c r="F581"/>
  <c r="G581"/>
  <c r="K581" s="1"/>
  <c r="F585"/>
  <c r="G585"/>
  <c r="K585" s="1"/>
  <c r="F589"/>
  <c r="G589"/>
  <c r="K589" s="1"/>
  <c r="F593"/>
  <c r="G593"/>
  <c r="K593" s="1"/>
  <c r="G601"/>
  <c r="K601" s="1"/>
  <c r="F605"/>
  <c r="G605"/>
  <c r="K605" s="1"/>
  <c r="F609"/>
  <c r="G609"/>
  <c r="K609" s="1"/>
  <c r="F613"/>
  <c r="G613"/>
  <c r="K613" s="1"/>
  <c r="F617"/>
  <c r="G617"/>
  <c r="K617" s="1"/>
  <c r="F621"/>
  <c r="G621"/>
  <c r="K621" s="1"/>
  <c r="F625"/>
  <c r="G625"/>
  <c r="K625" s="1"/>
  <c r="F629"/>
  <c r="G629"/>
  <c r="K629" s="1"/>
  <c r="F633"/>
  <c r="G633"/>
  <c r="K633" s="1"/>
  <c r="F637"/>
  <c r="G637"/>
  <c r="K637" s="1"/>
  <c r="F641"/>
  <c r="G641"/>
  <c r="K641" s="1"/>
  <c r="F645"/>
  <c r="G645"/>
  <c r="K645" s="1"/>
  <c r="F649"/>
  <c r="G649"/>
  <c r="K649" s="1"/>
  <c r="F653"/>
  <c r="G653"/>
  <c r="K653" s="1"/>
  <c r="F657"/>
  <c r="G657"/>
  <c r="K657" s="1"/>
  <c r="F661"/>
  <c r="G661"/>
  <c r="K661" s="1"/>
  <c r="F665"/>
  <c r="G665"/>
  <c r="K665" s="1"/>
  <c r="F669"/>
  <c r="G669"/>
  <c r="K669" s="1"/>
  <c r="F673"/>
  <c r="G673"/>
  <c r="K673" s="1"/>
  <c r="G677"/>
  <c r="K677" s="1"/>
  <c r="F681"/>
  <c r="G681"/>
  <c r="K681" s="1"/>
  <c r="F685"/>
  <c r="G685"/>
  <c r="K685" s="1"/>
  <c r="F689"/>
  <c r="G689"/>
  <c r="K689" s="1"/>
  <c r="F693"/>
  <c r="G693"/>
  <c r="K693" s="1"/>
  <c r="F697"/>
  <c r="G697"/>
  <c r="K697" s="1"/>
  <c r="G28"/>
  <c r="K28" s="1"/>
  <c r="H20" i="17"/>
  <c r="H19"/>
  <c r="K29" i="3"/>
  <c r="F28"/>
  <c r="I26" i="16"/>
  <c r="J18" i="3"/>
  <c r="J34"/>
  <c r="J62"/>
  <c r="J78"/>
  <c r="J90"/>
  <c r="I14"/>
  <c r="I30"/>
  <c r="I46"/>
  <c r="I62"/>
  <c r="I78"/>
  <c r="I94"/>
  <c r="H22"/>
  <c r="H38"/>
  <c r="H54"/>
  <c r="H70"/>
  <c r="H86"/>
  <c r="H98"/>
  <c r="F42"/>
  <c r="F74"/>
  <c r="F90"/>
  <c r="A16" i="5"/>
  <c r="A45"/>
  <c r="A85"/>
  <c r="A97"/>
  <c r="A105"/>
  <c r="A113"/>
  <c r="A149"/>
  <c r="A169"/>
  <c r="A177"/>
  <c r="A185"/>
  <c r="A193"/>
  <c r="A201"/>
  <c r="A217"/>
  <c r="A225"/>
  <c r="A233"/>
  <c r="A241"/>
  <c r="A265"/>
  <c r="A285"/>
  <c r="A301"/>
  <c r="A309"/>
  <c r="A317"/>
  <c r="A341"/>
  <c r="A357"/>
  <c r="A365"/>
  <c r="A385"/>
  <c r="A393"/>
  <c r="A409"/>
  <c r="A437"/>
  <c r="A477"/>
  <c r="A485"/>
  <c r="A501"/>
  <c r="A521"/>
  <c r="A537"/>
  <c r="A561"/>
  <c r="A605"/>
  <c r="A617"/>
  <c r="A637"/>
  <c r="A649"/>
  <c r="A661"/>
  <c r="A673"/>
  <c r="A681"/>
  <c r="A693"/>
  <c r="A713"/>
  <c r="A745"/>
  <c r="A777"/>
  <c r="A785"/>
  <c r="A797"/>
  <c r="A813"/>
  <c r="A861"/>
  <c r="A877"/>
  <c r="A893"/>
  <c r="A933"/>
  <c r="A989"/>
  <c r="A997"/>
  <c r="G1001"/>
  <c r="J30" i="3"/>
  <c r="J58"/>
  <c r="J86"/>
  <c r="I26"/>
  <c r="I58"/>
  <c r="I90"/>
  <c r="H34"/>
  <c r="H82"/>
  <c r="F58"/>
  <c r="F86"/>
  <c r="A33" i="5"/>
  <c r="A61"/>
  <c r="A89"/>
  <c r="A121"/>
  <c r="A137"/>
  <c r="A153"/>
  <c r="A253"/>
  <c r="A261"/>
  <c r="A269"/>
  <c r="A277"/>
  <c r="A349"/>
  <c r="A369"/>
  <c r="A377"/>
  <c r="A417"/>
  <c r="A445"/>
  <c r="A449"/>
  <c r="A457"/>
  <c r="A465"/>
  <c r="A473"/>
  <c r="A489"/>
  <c r="A505"/>
  <c r="A513"/>
  <c r="A525"/>
  <c r="A541"/>
  <c r="A553"/>
  <c r="A565"/>
  <c r="A593"/>
  <c r="A609"/>
  <c r="A629"/>
  <c r="A641"/>
  <c r="A665"/>
  <c r="A677"/>
  <c r="A757"/>
  <c r="A793"/>
  <c r="A809"/>
  <c r="A825"/>
  <c r="A836"/>
  <c r="A860"/>
  <c r="A865"/>
  <c r="A876"/>
  <c r="A881"/>
  <c r="A892"/>
  <c r="A897"/>
  <c r="A904"/>
  <c r="A981"/>
  <c r="D981"/>
  <c r="J14" i="3"/>
  <c r="J42"/>
  <c r="J74"/>
  <c r="J98"/>
  <c r="I42"/>
  <c r="I74"/>
  <c r="H18"/>
  <c r="H50"/>
  <c r="H66"/>
  <c r="H94"/>
  <c r="F26"/>
  <c r="J26"/>
  <c r="J38"/>
  <c r="J54"/>
  <c r="J70"/>
  <c r="I22"/>
  <c r="I38"/>
  <c r="I54"/>
  <c r="I70"/>
  <c r="I86"/>
  <c r="H14"/>
  <c r="H30"/>
  <c r="H46"/>
  <c r="H62"/>
  <c r="H78"/>
  <c r="F22"/>
  <c r="F38"/>
  <c r="F54"/>
  <c r="F70"/>
  <c r="F98"/>
  <c r="A19" i="5"/>
  <c r="A32"/>
  <c r="A40"/>
  <c r="A49"/>
  <c r="A60"/>
  <c r="A77"/>
  <c r="A83"/>
  <c r="A88"/>
  <c r="A93"/>
  <c r="A100"/>
  <c r="A109"/>
  <c r="A116"/>
  <c r="A136"/>
  <c r="A152"/>
  <c r="A157"/>
  <c r="A164"/>
  <c r="A173"/>
  <c r="A180"/>
  <c r="A189"/>
  <c r="A196"/>
  <c r="A205"/>
  <c r="A212"/>
  <c r="A220"/>
  <c r="A229"/>
  <c r="A236"/>
  <c r="A245"/>
  <c r="A252"/>
  <c r="A260"/>
  <c r="A268"/>
  <c r="A276"/>
  <c r="A289"/>
  <c r="A296"/>
  <c r="A305"/>
  <c r="A313"/>
  <c r="A321"/>
  <c r="A345"/>
  <c r="A353"/>
  <c r="A361"/>
  <c r="A368"/>
  <c r="A376"/>
  <c r="A389"/>
  <c r="A397"/>
  <c r="A405"/>
  <c r="A413"/>
  <c r="A425"/>
  <c r="A441"/>
  <c r="A448"/>
  <c r="A453"/>
  <c r="A469"/>
  <c r="A488"/>
  <c r="A493"/>
  <c r="A504"/>
  <c r="A512"/>
  <c r="A524"/>
  <c r="A529"/>
  <c r="A545"/>
  <c r="A552"/>
  <c r="A564"/>
  <c r="A569"/>
  <c r="A577"/>
  <c r="A584"/>
  <c r="A592"/>
  <c r="A608"/>
  <c r="A613"/>
  <c r="A621"/>
  <c r="A640"/>
  <c r="A645"/>
  <c r="A657"/>
  <c r="A664"/>
  <c r="A669"/>
  <c r="A676"/>
  <c r="A689"/>
  <c r="A697"/>
  <c r="A704"/>
  <c r="A749"/>
  <c r="A756"/>
  <c r="A760"/>
  <c r="A781"/>
  <c r="A789"/>
  <c r="A805"/>
  <c r="A821"/>
  <c r="A853"/>
  <c r="A864"/>
  <c r="A869"/>
  <c r="A880"/>
  <c r="A885"/>
  <c r="A896"/>
  <c r="A901"/>
  <c r="A913"/>
  <c r="A921"/>
  <c r="A929"/>
  <c r="A948"/>
  <c r="A956"/>
  <c r="A993"/>
  <c r="A1001"/>
  <c r="C984"/>
  <c r="E984" s="1"/>
  <c r="J35" i="8"/>
  <c r="B35"/>
  <c r="C740" i="5"/>
  <c r="E740" s="1"/>
  <c r="C1001"/>
  <c r="E1001" s="1"/>
  <c r="H965"/>
  <c r="H60" i="3"/>
  <c r="C585" i="5"/>
  <c r="E585" s="1"/>
  <c r="J64" i="3"/>
  <c r="I72"/>
  <c r="H28"/>
  <c r="D40"/>
  <c r="C932" i="5"/>
  <c r="E932" s="1"/>
  <c r="F984"/>
  <c r="J36" i="3"/>
  <c r="I40"/>
  <c r="D88"/>
  <c r="C788" i="5"/>
  <c r="E788" s="1"/>
  <c r="C934"/>
  <c r="E934" s="1"/>
  <c r="G786"/>
  <c r="H838"/>
  <c r="D22"/>
  <c r="J23" i="3"/>
  <c r="J63"/>
  <c r="J71"/>
  <c r="J91"/>
  <c r="I51"/>
  <c r="I67"/>
  <c r="I83"/>
  <c r="H19"/>
  <c r="H35"/>
  <c r="H51"/>
  <c r="D15"/>
  <c r="D75"/>
  <c r="A5" i="5"/>
  <c r="A22"/>
  <c r="A38"/>
  <c r="A54"/>
  <c r="A70"/>
  <c r="A102"/>
  <c r="A118"/>
  <c r="A130"/>
  <c r="A146"/>
  <c r="A166"/>
  <c r="A182"/>
  <c r="A198"/>
  <c r="A222"/>
  <c r="A238"/>
  <c r="A258"/>
  <c r="A270"/>
  <c r="A286"/>
  <c r="A298"/>
  <c r="A326"/>
  <c r="A342"/>
  <c r="A354"/>
  <c r="A370"/>
  <c r="A386"/>
  <c r="A402"/>
  <c r="A410"/>
  <c r="A438"/>
  <c r="A454"/>
  <c r="A474"/>
  <c r="A482"/>
  <c r="A486"/>
  <c r="A490"/>
  <c r="A494"/>
  <c r="A498"/>
  <c r="A502"/>
  <c r="A506"/>
  <c r="A522"/>
  <c r="A526"/>
  <c r="A530"/>
  <c r="A534"/>
  <c r="A538"/>
  <c r="A542"/>
  <c r="A546"/>
  <c r="A586"/>
  <c r="A590"/>
  <c r="A626"/>
  <c r="A654"/>
  <c r="A658"/>
  <c r="A678"/>
  <c r="A686"/>
  <c r="A746"/>
  <c r="A762"/>
  <c r="A786"/>
  <c r="A826"/>
  <c r="A834"/>
  <c r="A950"/>
  <c r="A962"/>
  <c r="A978"/>
  <c r="D970"/>
  <c r="G970"/>
  <c r="H766"/>
  <c r="H962"/>
  <c r="I27" i="3"/>
  <c r="I35"/>
  <c r="I59"/>
  <c r="I91"/>
  <c r="H59"/>
  <c r="D34" i="5"/>
  <c r="D54"/>
  <c r="D70"/>
  <c r="D86"/>
  <c r="D102"/>
  <c r="D118"/>
  <c r="J31" i="3"/>
  <c r="J51"/>
  <c r="J79"/>
  <c r="F35"/>
  <c r="F43"/>
  <c r="F55"/>
  <c r="F67"/>
  <c r="F75"/>
  <c r="F99"/>
  <c r="D67"/>
  <c r="D87"/>
  <c r="A9" i="5"/>
  <c r="A21"/>
  <c r="A26"/>
  <c r="A37"/>
  <c r="A42"/>
  <c r="A53"/>
  <c r="A58"/>
  <c r="A69"/>
  <c r="A74"/>
  <c r="A101"/>
  <c r="A106"/>
  <c r="A117"/>
  <c r="A129"/>
  <c r="A134"/>
  <c r="A145"/>
  <c r="A165"/>
  <c r="A170"/>
  <c r="A181"/>
  <c r="A186"/>
  <c r="A197"/>
  <c r="A202"/>
  <c r="A221"/>
  <c r="A226"/>
  <c r="A237"/>
  <c r="A242"/>
  <c r="A257"/>
  <c r="A262"/>
  <c r="A274"/>
  <c r="A290"/>
  <c r="A302"/>
  <c r="A314"/>
  <c r="A346"/>
  <c r="A358"/>
  <c r="A374"/>
  <c r="A390"/>
  <c r="A414"/>
  <c r="A422"/>
  <c r="A430"/>
  <c r="A442"/>
  <c r="A466"/>
  <c r="A510"/>
  <c r="A550"/>
  <c r="A554"/>
  <c r="A578"/>
  <c r="A594"/>
  <c r="A598"/>
  <c r="A602"/>
  <c r="A606"/>
  <c r="A610"/>
  <c r="A614"/>
  <c r="A630"/>
  <c r="A662"/>
  <c r="A706"/>
  <c r="A710"/>
  <c r="A714"/>
  <c r="A838"/>
  <c r="A854"/>
  <c r="A926"/>
  <c r="A954"/>
  <c r="A966"/>
  <c r="C708"/>
  <c r="E708" s="1"/>
  <c r="C921"/>
  <c r="E921" s="1"/>
  <c r="C977"/>
  <c r="E977" s="1"/>
  <c r="D910"/>
  <c r="G914"/>
  <c r="H710"/>
  <c r="H914"/>
  <c r="D38"/>
  <c r="D58"/>
  <c r="D74"/>
  <c r="D90"/>
  <c r="D106"/>
  <c r="D122"/>
  <c r="D138"/>
  <c r="I19" i="3"/>
  <c r="I99"/>
  <c r="H27"/>
  <c r="H43"/>
  <c r="H67"/>
  <c r="H75"/>
  <c r="H83"/>
  <c r="H91"/>
  <c r="H99"/>
  <c r="F47"/>
  <c r="F91"/>
  <c r="D51"/>
  <c r="D30" i="5"/>
  <c r="D46"/>
  <c r="D66"/>
  <c r="D82"/>
  <c r="D98"/>
  <c r="D114"/>
  <c r="D130"/>
  <c r="D146"/>
  <c r="J59" i="3"/>
  <c r="J95"/>
  <c r="I15"/>
  <c r="I23"/>
  <c r="I31"/>
  <c r="I39"/>
  <c r="I47"/>
  <c r="I55"/>
  <c r="I63"/>
  <c r="I71"/>
  <c r="I79"/>
  <c r="I87"/>
  <c r="I95"/>
  <c r="H23"/>
  <c r="H39"/>
  <c r="H47"/>
  <c r="H55"/>
  <c r="H71"/>
  <c r="H79"/>
  <c r="H87"/>
  <c r="F19"/>
  <c r="D27"/>
  <c r="D63"/>
  <c r="D79"/>
  <c r="D99"/>
  <c r="A8" i="5"/>
  <c r="A13"/>
  <c r="A25"/>
  <c r="A30"/>
  <c r="A41"/>
  <c r="A46"/>
  <c r="A57"/>
  <c r="A62"/>
  <c r="A73"/>
  <c r="A78"/>
  <c r="A82"/>
  <c r="A86"/>
  <c r="A90"/>
  <c r="A94"/>
  <c r="A110"/>
  <c r="A122"/>
  <c r="A138"/>
  <c r="A150"/>
  <c r="A154"/>
  <c r="A158"/>
  <c r="A174"/>
  <c r="A190"/>
  <c r="A206"/>
  <c r="A230"/>
  <c r="A246"/>
  <c r="A250"/>
  <c r="A278"/>
  <c r="A306"/>
  <c r="A362"/>
  <c r="A378"/>
  <c r="A394"/>
  <c r="A458"/>
  <c r="A478"/>
  <c r="A514"/>
  <c r="A558"/>
  <c r="A562"/>
  <c r="A566"/>
  <c r="A570"/>
  <c r="A618"/>
  <c r="A634"/>
  <c r="A638"/>
  <c r="A642"/>
  <c r="A646"/>
  <c r="A670"/>
  <c r="A682"/>
  <c r="A698"/>
  <c r="A754"/>
  <c r="A766"/>
  <c r="A830"/>
  <c r="A910"/>
  <c r="A930"/>
  <c r="A946"/>
  <c r="A958"/>
  <c r="C665"/>
  <c r="E665" s="1"/>
  <c r="C853"/>
  <c r="E853" s="1"/>
  <c r="C972"/>
  <c r="E972" s="1"/>
  <c r="D788"/>
  <c r="D1001"/>
  <c r="G913"/>
  <c r="H913"/>
  <c r="Y2" i="1"/>
  <c r="C156" i="5"/>
  <c r="E156" s="1"/>
  <c r="C189"/>
  <c r="E189" s="1"/>
  <c r="C221"/>
  <c r="E221" s="1"/>
  <c r="C232"/>
  <c r="E232" s="1"/>
  <c r="C249"/>
  <c r="E249" s="1"/>
  <c r="C261"/>
  <c r="E261" s="1"/>
  <c r="C308"/>
  <c r="E308" s="1"/>
  <c r="C644"/>
  <c r="E644" s="1"/>
  <c r="D196"/>
  <c r="D256"/>
  <c r="D302"/>
  <c r="D542"/>
  <c r="D747"/>
  <c r="F16"/>
  <c r="F29"/>
  <c r="F41"/>
  <c r="F56"/>
  <c r="F65"/>
  <c r="F80"/>
  <c r="F89"/>
  <c r="F104"/>
  <c r="F113"/>
  <c r="F125"/>
  <c r="F137"/>
  <c r="F198"/>
  <c r="F273"/>
  <c r="F306"/>
  <c r="F643"/>
  <c r="F739"/>
  <c r="G186"/>
  <c r="G303"/>
  <c r="G655"/>
  <c r="H24"/>
  <c r="H36"/>
  <c r="H48"/>
  <c r="H77"/>
  <c r="H98"/>
  <c r="H150"/>
  <c r="H198"/>
  <c r="H227"/>
  <c r="H250"/>
  <c r="H273"/>
  <c r="H306"/>
  <c r="H544"/>
  <c r="H655"/>
  <c r="A99"/>
  <c r="A103"/>
  <c r="A107"/>
  <c r="A111"/>
  <c r="A115"/>
  <c r="A119"/>
  <c r="A163"/>
  <c r="A167"/>
  <c r="A171"/>
  <c r="A175"/>
  <c r="A179"/>
  <c r="A183"/>
  <c r="A187"/>
  <c r="A191"/>
  <c r="A195"/>
  <c r="A199"/>
  <c r="A203"/>
  <c r="A207"/>
  <c r="A211"/>
  <c r="A255"/>
  <c r="A259"/>
  <c r="A299"/>
  <c r="A303"/>
  <c r="A307"/>
  <c r="A343"/>
  <c r="A347"/>
  <c r="A411"/>
  <c r="A415"/>
  <c r="A471"/>
  <c r="A511"/>
  <c r="A515"/>
  <c r="A519"/>
  <c r="C152"/>
  <c r="E152" s="1"/>
  <c r="C187"/>
  <c r="E187" s="1"/>
  <c r="C196"/>
  <c r="E196" s="1"/>
  <c r="C228"/>
  <c r="E228" s="1"/>
  <c r="C247"/>
  <c r="E247" s="1"/>
  <c r="C259"/>
  <c r="E259" s="1"/>
  <c r="C299"/>
  <c r="E299" s="1"/>
  <c r="C544"/>
  <c r="E544" s="1"/>
  <c r="C637"/>
  <c r="E637" s="1"/>
  <c r="C657"/>
  <c r="E657" s="1"/>
  <c r="C704"/>
  <c r="E704" s="1"/>
  <c r="C713"/>
  <c r="E713" s="1"/>
  <c r="C775"/>
  <c r="E775" s="1"/>
  <c r="C851"/>
  <c r="E851" s="1"/>
  <c r="C916"/>
  <c r="E916" s="1"/>
  <c r="C929"/>
  <c r="E929" s="1"/>
  <c r="C967"/>
  <c r="E967" s="1"/>
  <c r="C981"/>
  <c r="E981" s="1"/>
  <c r="D187"/>
  <c r="D230"/>
  <c r="D241"/>
  <c r="D279"/>
  <c r="D319"/>
  <c r="D644"/>
  <c r="D711"/>
  <c r="D767"/>
  <c r="D855"/>
  <c r="D963"/>
  <c r="D1000"/>
  <c r="F10"/>
  <c r="F63"/>
  <c r="F78"/>
  <c r="F87"/>
  <c r="F102"/>
  <c r="F111"/>
  <c r="F123"/>
  <c r="F135"/>
  <c r="F182"/>
  <c r="F258"/>
  <c r="F303"/>
  <c r="F541"/>
  <c r="F706"/>
  <c r="F972"/>
  <c r="G182"/>
  <c r="G250"/>
  <c r="G301"/>
  <c r="G544"/>
  <c r="G759"/>
  <c r="G901"/>
  <c r="G929"/>
  <c r="G989"/>
  <c r="H19"/>
  <c r="H32"/>
  <c r="H44"/>
  <c r="H61"/>
  <c r="H73"/>
  <c r="H85"/>
  <c r="H97"/>
  <c r="H109"/>
  <c r="H121"/>
  <c r="H133"/>
  <c r="H149"/>
  <c r="H193"/>
  <c r="H223"/>
  <c r="H247"/>
  <c r="H281"/>
  <c r="H541"/>
  <c r="H644"/>
  <c r="H673"/>
  <c r="H706"/>
  <c r="H757"/>
  <c r="H825"/>
  <c r="H910"/>
  <c r="H934"/>
  <c r="H1001"/>
  <c r="A123"/>
  <c r="A127"/>
  <c r="A131"/>
  <c r="A135"/>
  <c r="A139"/>
  <c r="A311"/>
  <c r="A315"/>
  <c r="A319"/>
  <c r="A323"/>
  <c r="A327"/>
  <c r="A351"/>
  <c r="A355"/>
  <c r="A359"/>
  <c r="A363"/>
  <c r="A367"/>
  <c r="A371"/>
  <c r="A375"/>
  <c r="A379"/>
  <c r="A383"/>
  <c r="A387"/>
  <c r="A391"/>
  <c r="A395"/>
  <c r="A399"/>
  <c r="A403"/>
  <c r="A431"/>
  <c r="A475"/>
  <c r="C186"/>
  <c r="E186" s="1"/>
  <c r="C194"/>
  <c r="E194" s="1"/>
  <c r="C227"/>
  <c r="E227" s="1"/>
  <c r="C238"/>
  <c r="E238" s="1"/>
  <c r="C256"/>
  <c r="E256" s="1"/>
  <c r="C279"/>
  <c r="E279" s="1"/>
  <c r="C319"/>
  <c r="E319" s="1"/>
  <c r="C634"/>
  <c r="E634" s="1"/>
  <c r="C652"/>
  <c r="E652" s="1"/>
  <c r="C694"/>
  <c r="E694" s="1"/>
  <c r="C711"/>
  <c r="E711" s="1"/>
  <c r="C767"/>
  <c r="E767" s="1"/>
  <c r="C835"/>
  <c r="E835" s="1"/>
  <c r="C907"/>
  <c r="E907" s="1"/>
  <c r="C927"/>
  <c r="E927" s="1"/>
  <c r="C963"/>
  <c r="E963" s="1"/>
  <c r="C979"/>
  <c r="E979" s="1"/>
  <c r="D186"/>
  <c r="D229"/>
  <c r="D236"/>
  <c r="D316"/>
  <c r="D637"/>
  <c r="D710"/>
  <c r="D766"/>
  <c r="D839"/>
  <c r="D934"/>
  <c r="D992"/>
  <c r="F22"/>
  <c r="F34"/>
  <c r="F46"/>
  <c r="F226"/>
  <c r="F281"/>
  <c r="F317"/>
  <c r="F663"/>
  <c r="F704"/>
  <c r="F757"/>
  <c r="G226"/>
  <c r="G299"/>
  <c r="G542"/>
  <c r="G757"/>
  <c r="G835"/>
  <c r="G916"/>
  <c r="G987"/>
  <c r="H58"/>
  <c r="H70"/>
  <c r="H82"/>
  <c r="H94"/>
  <c r="H106"/>
  <c r="H118"/>
  <c r="H130"/>
  <c r="H146"/>
  <c r="H189"/>
  <c r="H219"/>
  <c r="H238"/>
  <c r="H258"/>
  <c r="H277"/>
  <c r="H319"/>
  <c r="H643"/>
  <c r="H669"/>
  <c r="H698"/>
  <c r="H746"/>
  <c r="H786"/>
  <c r="H857"/>
  <c r="H921"/>
  <c r="H977"/>
  <c r="A6"/>
  <c r="A10"/>
  <c r="A14"/>
  <c r="A18"/>
  <c r="A23"/>
  <c r="A27"/>
  <c r="A31"/>
  <c r="A35"/>
  <c r="A39"/>
  <c r="A43"/>
  <c r="A47"/>
  <c r="A51"/>
  <c r="A55"/>
  <c r="A59"/>
  <c r="A63"/>
  <c r="A67"/>
  <c r="A71"/>
  <c r="A147"/>
  <c r="A215"/>
  <c r="A219"/>
  <c r="A223"/>
  <c r="A227"/>
  <c r="A231"/>
  <c r="A235"/>
  <c r="A239"/>
  <c r="A267"/>
  <c r="A271"/>
  <c r="A275"/>
  <c r="A279"/>
  <c r="A287"/>
  <c r="A291"/>
  <c r="A419"/>
  <c r="A423"/>
  <c r="A435"/>
  <c r="A439"/>
  <c r="A443"/>
  <c r="A459"/>
  <c r="A463"/>
  <c r="A479"/>
  <c r="C185"/>
  <c r="E185" s="1"/>
  <c r="C193"/>
  <c r="E193" s="1"/>
  <c r="C225"/>
  <c r="E225" s="1"/>
  <c r="C233"/>
  <c r="E233" s="1"/>
  <c r="C254"/>
  <c r="E254" s="1"/>
  <c r="C270"/>
  <c r="E270" s="1"/>
  <c r="C313"/>
  <c r="E313" s="1"/>
  <c r="C601"/>
  <c r="E601" s="1"/>
  <c r="C646"/>
  <c r="E646" s="1"/>
  <c r="C671"/>
  <c r="E671" s="1"/>
  <c r="C710"/>
  <c r="E710" s="1"/>
  <c r="C766"/>
  <c r="E766" s="1"/>
  <c r="C822"/>
  <c r="E822" s="1"/>
  <c r="C855"/>
  <c r="E855" s="1"/>
  <c r="C923"/>
  <c r="E923" s="1"/>
  <c r="D221"/>
  <c r="D233"/>
  <c r="D258"/>
  <c r="D311"/>
  <c r="D601"/>
  <c r="D704"/>
  <c r="D751"/>
  <c r="D838"/>
  <c r="D919"/>
  <c r="F223"/>
  <c r="F276"/>
  <c r="F314"/>
  <c r="F657"/>
  <c r="F697"/>
  <c r="F746"/>
  <c r="F992"/>
  <c r="G219"/>
  <c r="G277"/>
  <c r="G317"/>
  <c r="G698"/>
  <c r="G825"/>
  <c r="G972"/>
  <c r="H28"/>
  <c r="H40"/>
  <c r="H53"/>
  <c r="H69"/>
  <c r="H93"/>
  <c r="H117"/>
  <c r="H129"/>
  <c r="H145"/>
  <c r="H182"/>
  <c r="H218"/>
  <c r="H230"/>
  <c r="H254"/>
  <c r="H276"/>
  <c r="H314"/>
  <c r="H639"/>
  <c r="H663"/>
  <c r="H697"/>
  <c r="H713"/>
  <c r="H769"/>
  <c r="H853"/>
  <c r="Y3" i="1"/>
  <c r="C1000" i="5"/>
  <c r="E1000" s="1"/>
  <c r="F1000"/>
  <c r="G1000"/>
  <c r="H1000"/>
  <c r="F999"/>
  <c r="G999"/>
  <c r="C999"/>
  <c r="E999" s="1"/>
  <c r="D999"/>
  <c r="H998"/>
  <c r="D998"/>
  <c r="C998"/>
  <c r="E998" s="1"/>
  <c r="F998"/>
  <c r="A998"/>
  <c r="D997"/>
  <c r="G997"/>
  <c r="H997"/>
  <c r="C997"/>
  <c r="E997" s="1"/>
  <c r="D996"/>
  <c r="F996"/>
  <c r="C996"/>
  <c r="E996" s="1"/>
  <c r="G996"/>
  <c r="H996"/>
  <c r="F995"/>
  <c r="G995"/>
  <c r="C995"/>
  <c r="E995" s="1"/>
  <c r="D995"/>
  <c r="H994"/>
  <c r="D994"/>
  <c r="C994"/>
  <c r="E994" s="1"/>
  <c r="F994"/>
  <c r="A994"/>
  <c r="D993"/>
  <c r="G993"/>
  <c r="H993"/>
  <c r="C993"/>
  <c r="E993" s="1"/>
  <c r="C992"/>
  <c r="E992" s="1"/>
  <c r="G992"/>
  <c r="A991"/>
  <c r="C991"/>
  <c r="E991" s="1"/>
  <c r="F991"/>
  <c r="G991"/>
  <c r="D991"/>
  <c r="H990"/>
  <c r="C990"/>
  <c r="E990" s="1"/>
  <c r="D990"/>
  <c r="G990"/>
  <c r="A990"/>
  <c r="F989"/>
  <c r="H989"/>
  <c r="C989"/>
  <c r="E989" s="1"/>
  <c r="F988"/>
  <c r="C988"/>
  <c r="E988" s="1"/>
  <c r="G988"/>
  <c r="H988"/>
  <c r="C987"/>
  <c r="E987" s="1"/>
  <c r="F987"/>
  <c r="D987"/>
  <c r="F986"/>
  <c r="H986"/>
  <c r="C986"/>
  <c r="E986" s="1"/>
  <c r="D986"/>
  <c r="A986"/>
  <c r="F985"/>
  <c r="G985"/>
  <c r="D985"/>
  <c r="H985"/>
  <c r="D984"/>
  <c r="G984"/>
  <c r="A983"/>
  <c r="G983"/>
  <c r="C983"/>
  <c r="E983" s="1"/>
  <c r="D983"/>
  <c r="F983"/>
  <c r="H982"/>
  <c r="F982"/>
  <c r="G982"/>
  <c r="A982"/>
  <c r="C982"/>
  <c r="E982" s="1"/>
  <c r="F981"/>
  <c r="G981"/>
  <c r="D980"/>
  <c r="C980"/>
  <c r="E980" s="1"/>
  <c r="G980"/>
  <c r="H980"/>
  <c r="A980"/>
  <c r="G979"/>
  <c r="D979"/>
  <c r="F979"/>
  <c r="H978"/>
  <c r="F978"/>
  <c r="C978"/>
  <c r="E978" s="1"/>
  <c r="G978"/>
  <c r="D977"/>
  <c r="F977"/>
  <c r="D976"/>
  <c r="C976"/>
  <c r="E976" s="1"/>
  <c r="G976"/>
  <c r="F976"/>
  <c r="D975"/>
  <c r="F975"/>
  <c r="A975"/>
  <c r="C975"/>
  <c r="E975" s="1"/>
  <c r="G975"/>
  <c r="F974"/>
  <c r="H974"/>
  <c r="G974"/>
  <c r="C974"/>
  <c r="E974" s="1"/>
  <c r="A974"/>
  <c r="A973"/>
  <c r="H973"/>
  <c r="C973"/>
  <c r="E973" s="1"/>
  <c r="D973"/>
  <c r="F973"/>
  <c r="D972"/>
  <c r="F971"/>
  <c r="C971"/>
  <c r="E971" s="1"/>
  <c r="D971"/>
  <c r="G971"/>
  <c r="H970"/>
  <c r="A970"/>
  <c r="C970"/>
  <c r="E970" s="1"/>
  <c r="D969"/>
  <c r="A969"/>
  <c r="F969"/>
  <c r="H969"/>
  <c r="C969"/>
  <c r="E969" s="1"/>
  <c r="G968"/>
  <c r="C968"/>
  <c r="E968" s="1"/>
  <c r="D968"/>
  <c r="F968"/>
  <c r="H968"/>
  <c r="A967"/>
  <c r="F967"/>
  <c r="G967"/>
  <c r="H967"/>
  <c r="H966"/>
  <c r="C966"/>
  <c r="E966" s="1"/>
  <c r="G966"/>
  <c r="F966"/>
  <c r="F965"/>
  <c r="C965"/>
  <c r="E965" s="1"/>
  <c r="G965"/>
  <c r="C964"/>
  <c r="E964" s="1"/>
  <c r="D964"/>
  <c r="F964"/>
  <c r="A964"/>
  <c r="G964"/>
  <c r="F963"/>
  <c r="G963"/>
  <c r="F962"/>
  <c r="D962"/>
  <c r="C962"/>
  <c r="E962" s="1"/>
  <c r="G961"/>
  <c r="H961"/>
  <c r="C961"/>
  <c r="E961" s="1"/>
  <c r="D961"/>
  <c r="A961"/>
  <c r="C960"/>
  <c r="E960" s="1"/>
  <c r="F960"/>
  <c r="H960"/>
  <c r="D960"/>
  <c r="F959"/>
  <c r="G959"/>
  <c r="C959"/>
  <c r="E959" s="1"/>
  <c r="D959"/>
  <c r="A959"/>
  <c r="F958"/>
  <c r="H958"/>
  <c r="D958"/>
  <c r="C958"/>
  <c r="E958" s="1"/>
  <c r="C957"/>
  <c r="E957" s="1"/>
  <c r="G957"/>
  <c r="H957"/>
  <c r="D957"/>
  <c r="A957"/>
  <c r="C956"/>
  <c r="E956" s="1"/>
  <c r="F956"/>
  <c r="H956"/>
  <c r="D956"/>
  <c r="F955"/>
  <c r="G955"/>
  <c r="C955"/>
  <c r="E955" s="1"/>
  <c r="D955"/>
  <c r="F954"/>
  <c r="H954"/>
  <c r="D954"/>
  <c r="C954"/>
  <c r="E954" s="1"/>
  <c r="C953"/>
  <c r="E953" s="1"/>
  <c r="G953"/>
  <c r="H953"/>
  <c r="D953"/>
  <c r="A953"/>
  <c r="C952"/>
  <c r="E952" s="1"/>
  <c r="F952"/>
  <c r="H952"/>
  <c r="D952"/>
  <c r="F951"/>
  <c r="G951"/>
  <c r="C951"/>
  <c r="E951" s="1"/>
  <c r="D951"/>
  <c r="F950"/>
  <c r="H950"/>
  <c r="D950"/>
  <c r="C950"/>
  <c r="E950" s="1"/>
  <c r="C949"/>
  <c r="E949" s="1"/>
  <c r="G949"/>
  <c r="H949"/>
  <c r="D949"/>
  <c r="A949"/>
  <c r="C948"/>
  <c r="E948" s="1"/>
  <c r="F948"/>
  <c r="H948"/>
  <c r="D948"/>
  <c r="F947"/>
  <c r="G947"/>
  <c r="C947"/>
  <c r="E947" s="1"/>
  <c r="D947"/>
  <c r="A947"/>
  <c r="F946"/>
  <c r="H946"/>
  <c r="D946"/>
  <c r="C946"/>
  <c r="E946" s="1"/>
  <c r="G945"/>
  <c r="H945"/>
  <c r="C945"/>
  <c r="E945" s="1"/>
  <c r="D945"/>
  <c r="A945"/>
  <c r="C944"/>
  <c r="E944" s="1"/>
  <c r="F944"/>
  <c r="H944"/>
  <c r="D944"/>
  <c r="F943"/>
  <c r="G943"/>
  <c r="C943"/>
  <c r="E943" s="1"/>
  <c r="D943"/>
  <c r="A943"/>
  <c r="F942"/>
  <c r="A942"/>
  <c r="H942"/>
  <c r="D942"/>
  <c r="C942"/>
  <c r="E942" s="1"/>
  <c r="C941"/>
  <c r="E941" s="1"/>
  <c r="G941"/>
  <c r="H941"/>
  <c r="D941"/>
  <c r="A941"/>
  <c r="C940"/>
  <c r="E940" s="1"/>
  <c r="F940"/>
  <c r="H940"/>
  <c r="D940"/>
  <c r="F939"/>
  <c r="G939"/>
  <c r="C939"/>
  <c r="E939" s="1"/>
  <c r="D939"/>
  <c r="F938"/>
  <c r="A938"/>
  <c r="H938"/>
  <c r="D938"/>
  <c r="C938"/>
  <c r="E938" s="1"/>
  <c r="C937"/>
  <c r="E937" s="1"/>
  <c r="G937"/>
  <c r="H937"/>
  <c r="D937"/>
  <c r="A937"/>
  <c r="A936"/>
  <c r="C936"/>
  <c r="E936" s="1"/>
  <c r="F936"/>
  <c r="H936"/>
  <c r="D936"/>
  <c r="F935"/>
  <c r="G935"/>
  <c r="C935"/>
  <c r="E935" s="1"/>
  <c r="D935"/>
  <c r="G934"/>
  <c r="G933"/>
  <c r="D933"/>
  <c r="H933"/>
  <c r="C933"/>
  <c r="E933" s="1"/>
  <c r="F932"/>
  <c r="D932"/>
  <c r="G932"/>
  <c r="F931"/>
  <c r="G931"/>
  <c r="D931"/>
  <c r="A931"/>
  <c r="H931"/>
  <c r="C930"/>
  <c r="E930" s="1"/>
  <c r="D930"/>
  <c r="H930"/>
  <c r="G930"/>
  <c r="F929"/>
  <c r="H929"/>
  <c r="F928"/>
  <c r="D928"/>
  <c r="G928"/>
  <c r="H928"/>
  <c r="G927"/>
  <c r="A927"/>
  <c r="D927"/>
  <c r="F927"/>
  <c r="H926"/>
  <c r="F926"/>
  <c r="G926"/>
  <c r="C926"/>
  <c r="E926" s="1"/>
  <c r="D925"/>
  <c r="A925"/>
  <c r="G925"/>
  <c r="C925"/>
  <c r="E925" s="1"/>
  <c r="F925"/>
  <c r="F924"/>
  <c r="D924"/>
  <c r="G924"/>
  <c r="H924"/>
  <c r="A924"/>
  <c r="G923"/>
  <c r="D923"/>
  <c r="F923"/>
  <c r="H922"/>
  <c r="F922"/>
  <c r="G922"/>
  <c r="C922"/>
  <c r="E922" s="1"/>
  <c r="F921"/>
  <c r="D921"/>
  <c r="D920"/>
  <c r="A920"/>
  <c r="G920"/>
  <c r="C920"/>
  <c r="E920" s="1"/>
  <c r="H920"/>
  <c r="F919"/>
  <c r="C919"/>
  <c r="E919" s="1"/>
  <c r="G919"/>
  <c r="H918"/>
  <c r="F918"/>
  <c r="G918"/>
  <c r="A918"/>
  <c r="C918"/>
  <c r="E918" s="1"/>
  <c r="F917"/>
  <c r="A917"/>
  <c r="H917"/>
  <c r="C917"/>
  <c r="E917" s="1"/>
  <c r="D917"/>
  <c r="F916"/>
  <c r="H916"/>
  <c r="D915"/>
  <c r="A915"/>
  <c r="F915"/>
  <c r="C915"/>
  <c r="E915" s="1"/>
  <c r="G915"/>
  <c r="C914"/>
  <c r="E914" s="1"/>
  <c r="F914"/>
  <c r="C913"/>
  <c r="E913" s="1"/>
  <c r="D913"/>
  <c r="C912"/>
  <c r="E912" s="1"/>
  <c r="F912"/>
  <c r="H912"/>
  <c r="D912"/>
  <c r="D911"/>
  <c r="A911"/>
  <c r="F911"/>
  <c r="G911"/>
  <c r="C911"/>
  <c r="E911" s="1"/>
  <c r="C910"/>
  <c r="E910" s="1"/>
  <c r="G910"/>
  <c r="A909"/>
  <c r="C909"/>
  <c r="E909" s="1"/>
  <c r="G909"/>
  <c r="D909"/>
  <c r="H909"/>
  <c r="F908"/>
  <c r="C908"/>
  <c r="E908" s="1"/>
  <c r="D908"/>
  <c r="G908"/>
  <c r="H908"/>
  <c r="F907"/>
  <c r="G907"/>
  <c r="D907"/>
  <c r="D906"/>
  <c r="A906"/>
  <c r="H906"/>
  <c r="C906"/>
  <c r="E906" s="1"/>
  <c r="G906"/>
  <c r="C905"/>
  <c r="E905" s="1"/>
  <c r="G905"/>
  <c r="D905"/>
  <c r="H905"/>
  <c r="F905"/>
  <c r="F904"/>
  <c r="C904"/>
  <c r="E904" s="1"/>
  <c r="D904"/>
  <c r="G904"/>
  <c r="D903"/>
  <c r="C903"/>
  <c r="E903" s="1"/>
  <c r="A903"/>
  <c r="F903"/>
  <c r="G903"/>
  <c r="D902"/>
  <c r="A902"/>
  <c r="H902"/>
  <c r="C902"/>
  <c r="E902" s="1"/>
  <c r="G902"/>
  <c r="F901"/>
  <c r="H901"/>
  <c r="D901"/>
  <c r="C900"/>
  <c r="E900" s="1"/>
  <c r="D900"/>
  <c r="F900"/>
  <c r="G900"/>
  <c r="G899"/>
  <c r="D899"/>
  <c r="C899"/>
  <c r="E899" s="1"/>
  <c r="F899"/>
  <c r="H898"/>
  <c r="C898"/>
  <c r="E898" s="1"/>
  <c r="F898"/>
  <c r="G898"/>
  <c r="A898"/>
  <c r="G897"/>
  <c r="F897"/>
  <c r="H897"/>
  <c r="D897"/>
  <c r="C896"/>
  <c r="E896" s="1"/>
  <c r="D896"/>
  <c r="F896"/>
  <c r="G896"/>
  <c r="G895"/>
  <c r="D895"/>
  <c r="C895"/>
  <c r="E895" s="1"/>
  <c r="F895"/>
  <c r="H894"/>
  <c r="C894"/>
  <c r="E894" s="1"/>
  <c r="F894"/>
  <c r="G894"/>
  <c r="A894"/>
  <c r="G893"/>
  <c r="F893"/>
  <c r="H893"/>
  <c r="D893"/>
  <c r="C892"/>
  <c r="E892" s="1"/>
  <c r="D892"/>
  <c r="F892"/>
  <c r="G892"/>
  <c r="G891"/>
  <c r="D891"/>
  <c r="C891"/>
  <c r="E891" s="1"/>
  <c r="F891"/>
  <c r="H890"/>
  <c r="C890"/>
  <c r="E890" s="1"/>
  <c r="F890"/>
  <c r="G890"/>
  <c r="A890"/>
  <c r="G889"/>
  <c r="F889"/>
  <c r="H889"/>
  <c r="D889"/>
  <c r="C888"/>
  <c r="E888" s="1"/>
  <c r="D888"/>
  <c r="F888"/>
  <c r="G888"/>
  <c r="G887"/>
  <c r="D887"/>
  <c r="C887"/>
  <c r="E887" s="1"/>
  <c r="F887"/>
  <c r="H886"/>
  <c r="C886"/>
  <c r="E886" s="1"/>
  <c r="F886"/>
  <c r="G886"/>
  <c r="A886"/>
  <c r="G885"/>
  <c r="F885"/>
  <c r="H885"/>
  <c r="D885"/>
  <c r="C884"/>
  <c r="E884" s="1"/>
  <c r="D884"/>
  <c r="F884"/>
  <c r="G884"/>
  <c r="G883"/>
  <c r="D883"/>
  <c r="C883"/>
  <c r="E883" s="1"/>
  <c r="F883"/>
  <c r="H882"/>
  <c r="C882"/>
  <c r="E882" s="1"/>
  <c r="F882"/>
  <c r="G882"/>
  <c r="A882"/>
  <c r="G881"/>
  <c r="F881"/>
  <c r="H881"/>
  <c r="D881"/>
  <c r="C880"/>
  <c r="E880" s="1"/>
  <c r="D880"/>
  <c r="F880"/>
  <c r="G880"/>
  <c r="G879"/>
  <c r="D879"/>
  <c r="C879"/>
  <c r="E879" s="1"/>
  <c r="F879"/>
  <c r="H878"/>
  <c r="C878"/>
  <c r="E878" s="1"/>
  <c r="F878"/>
  <c r="G878"/>
  <c r="A878"/>
  <c r="G877"/>
  <c r="F877"/>
  <c r="H877"/>
  <c r="D877"/>
  <c r="C876"/>
  <c r="E876" s="1"/>
  <c r="D876"/>
  <c r="F876"/>
  <c r="G876"/>
  <c r="G875"/>
  <c r="D875"/>
  <c r="C875"/>
  <c r="E875" s="1"/>
  <c r="F875"/>
  <c r="H874"/>
  <c r="C874"/>
  <c r="E874" s="1"/>
  <c r="F874"/>
  <c r="G874"/>
  <c r="A874"/>
  <c r="G873"/>
  <c r="F873"/>
  <c r="H873"/>
  <c r="D873"/>
  <c r="C872"/>
  <c r="E872" s="1"/>
  <c r="D872"/>
  <c r="F872"/>
  <c r="G872"/>
  <c r="G871"/>
  <c r="D871"/>
  <c r="C871"/>
  <c r="E871" s="1"/>
  <c r="F871"/>
  <c r="H870"/>
  <c r="C870"/>
  <c r="E870" s="1"/>
  <c r="F870"/>
  <c r="G870"/>
  <c r="A870"/>
  <c r="G869"/>
  <c r="F869"/>
  <c r="H869"/>
  <c r="D869"/>
  <c r="C868"/>
  <c r="E868" s="1"/>
  <c r="D868"/>
  <c r="F868"/>
  <c r="G868"/>
  <c r="G867"/>
  <c r="D867"/>
  <c r="C867"/>
  <c r="E867" s="1"/>
  <c r="F867"/>
  <c r="H866"/>
  <c r="C866"/>
  <c r="E866" s="1"/>
  <c r="F866"/>
  <c r="G866"/>
  <c r="A866"/>
  <c r="G865"/>
  <c r="F865"/>
  <c r="H865"/>
  <c r="D865"/>
  <c r="C864"/>
  <c r="E864" s="1"/>
  <c r="D864"/>
  <c r="F864"/>
  <c r="G864"/>
  <c r="G863"/>
  <c r="D863"/>
  <c r="C863"/>
  <c r="E863" s="1"/>
  <c r="F863"/>
  <c r="H862"/>
  <c r="C862"/>
  <c r="E862" s="1"/>
  <c r="F862"/>
  <c r="G862"/>
  <c r="A862"/>
  <c r="G861"/>
  <c r="F861"/>
  <c r="H861"/>
  <c r="D861"/>
  <c r="C860"/>
  <c r="E860" s="1"/>
  <c r="D860"/>
  <c r="F860"/>
  <c r="G860"/>
  <c r="G859"/>
  <c r="D859"/>
  <c r="C859"/>
  <c r="E859" s="1"/>
  <c r="F859"/>
  <c r="H858"/>
  <c r="C858"/>
  <c r="E858" s="1"/>
  <c r="F858"/>
  <c r="G858"/>
  <c r="A858"/>
  <c r="F857"/>
  <c r="C857"/>
  <c r="E857" s="1"/>
  <c r="D857"/>
  <c r="C856"/>
  <c r="E856" s="1"/>
  <c r="D856"/>
  <c r="G856"/>
  <c r="H856"/>
  <c r="F855"/>
  <c r="G855"/>
  <c r="H854"/>
  <c r="F854"/>
  <c r="G854"/>
  <c r="D854"/>
  <c r="D853"/>
  <c r="G853"/>
  <c r="G852"/>
  <c r="C852"/>
  <c r="E852" s="1"/>
  <c r="F852"/>
  <c r="H852"/>
  <c r="D851"/>
  <c r="A851"/>
  <c r="F851"/>
  <c r="G851"/>
  <c r="D850"/>
  <c r="F850"/>
  <c r="G850"/>
  <c r="H850"/>
  <c r="A850"/>
  <c r="A849"/>
  <c r="C849"/>
  <c r="E849" s="1"/>
  <c r="H849"/>
  <c r="D849"/>
  <c r="G849"/>
  <c r="G848"/>
  <c r="C848"/>
  <c r="E848" s="1"/>
  <c r="F848"/>
  <c r="H848"/>
  <c r="A848"/>
  <c r="C847"/>
  <c r="E847" s="1"/>
  <c r="D847"/>
  <c r="A847"/>
  <c r="F847"/>
  <c r="G847"/>
  <c r="D846"/>
  <c r="F846"/>
  <c r="G846"/>
  <c r="H846"/>
  <c r="A846"/>
  <c r="A845"/>
  <c r="C845"/>
  <c r="E845" s="1"/>
  <c r="H845"/>
  <c r="D845"/>
  <c r="G845"/>
  <c r="G844"/>
  <c r="C844"/>
  <c r="E844" s="1"/>
  <c r="F844"/>
  <c r="H844"/>
  <c r="A844"/>
  <c r="C843"/>
  <c r="E843" s="1"/>
  <c r="D843"/>
  <c r="A843"/>
  <c r="F843"/>
  <c r="G843"/>
  <c r="D842"/>
  <c r="F842"/>
  <c r="G842"/>
  <c r="H842"/>
  <c r="A842"/>
  <c r="A841"/>
  <c r="C841"/>
  <c r="E841" s="1"/>
  <c r="H841"/>
  <c r="D841"/>
  <c r="G841"/>
  <c r="G840"/>
  <c r="C840"/>
  <c r="E840" s="1"/>
  <c r="F840"/>
  <c r="H840"/>
  <c r="A840"/>
  <c r="F839"/>
  <c r="G839"/>
  <c r="C839"/>
  <c r="E839" s="1"/>
  <c r="C838"/>
  <c r="E838" s="1"/>
  <c r="F838"/>
  <c r="G837"/>
  <c r="H837"/>
  <c r="A837"/>
  <c r="C837"/>
  <c r="E837" s="1"/>
  <c r="D837"/>
  <c r="F836"/>
  <c r="D836"/>
  <c r="H836"/>
  <c r="C836"/>
  <c r="E836" s="1"/>
  <c r="D835"/>
  <c r="F835"/>
  <c r="H834"/>
  <c r="C834"/>
  <c r="E834" s="1"/>
  <c r="F834"/>
  <c r="D834"/>
  <c r="C833"/>
  <c r="E833" s="1"/>
  <c r="D833"/>
  <c r="F833"/>
  <c r="G833"/>
  <c r="H833"/>
  <c r="D832"/>
  <c r="F832"/>
  <c r="C832"/>
  <c r="E832" s="1"/>
  <c r="H832"/>
  <c r="G831"/>
  <c r="C831"/>
  <c r="E831" s="1"/>
  <c r="A831"/>
  <c r="F831"/>
  <c r="H831"/>
  <c r="H830"/>
  <c r="C830"/>
  <c r="E830" s="1"/>
  <c r="F830"/>
  <c r="D830"/>
  <c r="C829"/>
  <c r="E829" s="1"/>
  <c r="D829"/>
  <c r="F829"/>
  <c r="G829"/>
  <c r="H829"/>
  <c r="D828"/>
  <c r="F828"/>
  <c r="C828"/>
  <c r="E828" s="1"/>
  <c r="H828"/>
  <c r="G827"/>
  <c r="C827"/>
  <c r="E827" s="1"/>
  <c r="A827"/>
  <c r="F827"/>
  <c r="H827"/>
  <c r="H826"/>
  <c r="C826"/>
  <c r="E826" s="1"/>
  <c r="F826"/>
  <c r="D826"/>
  <c r="C825"/>
  <c r="E825" s="1"/>
  <c r="D825"/>
  <c r="A824"/>
  <c r="C824"/>
  <c r="E824" s="1"/>
  <c r="F824"/>
  <c r="G824"/>
  <c r="H824"/>
  <c r="D823"/>
  <c r="G823"/>
  <c r="F823"/>
  <c r="C823"/>
  <c r="E823" s="1"/>
  <c r="A823"/>
  <c r="H822"/>
  <c r="A822"/>
  <c r="D822"/>
  <c r="F822"/>
  <c r="G821"/>
  <c r="H821"/>
  <c r="C821"/>
  <c r="E821" s="1"/>
  <c r="D821"/>
  <c r="C820"/>
  <c r="E820" s="1"/>
  <c r="F820"/>
  <c r="G820"/>
  <c r="H820"/>
  <c r="A820"/>
  <c r="F819"/>
  <c r="D819"/>
  <c r="A819"/>
  <c r="G819"/>
  <c r="C819"/>
  <c r="E819" s="1"/>
  <c r="H818"/>
  <c r="C818"/>
  <c r="E818" s="1"/>
  <c r="A818"/>
  <c r="D818"/>
  <c r="F818"/>
  <c r="G817"/>
  <c r="H817"/>
  <c r="C817"/>
  <c r="E817" s="1"/>
  <c r="D817"/>
  <c r="C816"/>
  <c r="E816" s="1"/>
  <c r="F816"/>
  <c r="G816"/>
  <c r="H816"/>
  <c r="A816"/>
  <c r="F815"/>
  <c r="D815"/>
  <c r="A815"/>
  <c r="G815"/>
  <c r="C815"/>
  <c r="E815" s="1"/>
  <c r="H814"/>
  <c r="C814"/>
  <c r="E814" s="1"/>
  <c r="A814"/>
  <c r="D814"/>
  <c r="F814"/>
  <c r="G813"/>
  <c r="H813"/>
  <c r="C813"/>
  <c r="E813" s="1"/>
  <c r="D813"/>
  <c r="C812"/>
  <c r="E812" s="1"/>
  <c r="F812"/>
  <c r="G812"/>
  <c r="H812"/>
  <c r="A812"/>
  <c r="F811"/>
  <c r="D811"/>
  <c r="A811"/>
  <c r="G811"/>
  <c r="C811"/>
  <c r="E811" s="1"/>
  <c r="H810"/>
  <c r="C810"/>
  <c r="E810" s="1"/>
  <c r="A810"/>
  <c r="D810"/>
  <c r="F810"/>
  <c r="G809"/>
  <c r="H809"/>
  <c r="C809"/>
  <c r="E809" s="1"/>
  <c r="D809"/>
  <c r="C808"/>
  <c r="E808" s="1"/>
  <c r="F808"/>
  <c r="G808"/>
  <c r="H808"/>
  <c r="A808"/>
  <c r="F807"/>
  <c r="D807"/>
  <c r="A807"/>
  <c r="G807"/>
  <c r="C807"/>
  <c r="E807" s="1"/>
  <c r="H806"/>
  <c r="C806"/>
  <c r="E806" s="1"/>
  <c r="A806"/>
  <c r="D806"/>
  <c r="F806"/>
  <c r="G805"/>
  <c r="H805"/>
  <c r="C805"/>
  <c r="E805" s="1"/>
  <c r="D805"/>
  <c r="C804"/>
  <c r="E804" s="1"/>
  <c r="F804"/>
  <c r="G804"/>
  <c r="H804"/>
  <c r="A804"/>
  <c r="F803"/>
  <c r="D803"/>
  <c r="A803"/>
  <c r="G803"/>
  <c r="C803"/>
  <c r="E803" s="1"/>
  <c r="H802"/>
  <c r="C802"/>
  <c r="E802" s="1"/>
  <c r="A802"/>
  <c r="D802"/>
  <c r="F802"/>
  <c r="G801"/>
  <c r="H801"/>
  <c r="C801"/>
  <c r="E801" s="1"/>
  <c r="D801"/>
  <c r="C800"/>
  <c r="E800" s="1"/>
  <c r="F800"/>
  <c r="G800"/>
  <c r="H800"/>
  <c r="A800"/>
  <c r="F799"/>
  <c r="D799"/>
  <c r="A799"/>
  <c r="G799"/>
  <c r="C799"/>
  <c r="E799" s="1"/>
  <c r="H798"/>
  <c r="C798"/>
  <c r="E798" s="1"/>
  <c r="A798"/>
  <c r="D798"/>
  <c r="F798"/>
  <c r="G797"/>
  <c r="H797"/>
  <c r="C797"/>
  <c r="E797" s="1"/>
  <c r="D797"/>
  <c r="C796"/>
  <c r="E796" s="1"/>
  <c r="F796"/>
  <c r="G796"/>
  <c r="H796"/>
  <c r="A796"/>
  <c r="F795"/>
  <c r="D795"/>
  <c r="A795"/>
  <c r="G795"/>
  <c r="C795"/>
  <c r="E795" s="1"/>
  <c r="H794"/>
  <c r="C794"/>
  <c r="E794" s="1"/>
  <c r="A794"/>
  <c r="D794"/>
  <c r="F794"/>
  <c r="G793"/>
  <c r="H793"/>
  <c r="C793"/>
  <c r="E793" s="1"/>
  <c r="D793"/>
  <c r="C792"/>
  <c r="E792" s="1"/>
  <c r="F792"/>
  <c r="G792"/>
  <c r="H792"/>
  <c r="A792"/>
  <c r="F791"/>
  <c r="D791"/>
  <c r="A791"/>
  <c r="G791"/>
  <c r="C791"/>
  <c r="E791" s="1"/>
  <c r="H790"/>
  <c r="C790"/>
  <c r="E790" s="1"/>
  <c r="A790"/>
  <c r="D790"/>
  <c r="F790"/>
  <c r="G789"/>
  <c r="H789"/>
  <c r="C789"/>
  <c r="E789" s="1"/>
  <c r="D789"/>
  <c r="F788"/>
  <c r="G788"/>
  <c r="D787"/>
  <c r="A787"/>
  <c r="G787"/>
  <c r="C787"/>
  <c r="E787" s="1"/>
  <c r="F787"/>
  <c r="C786"/>
  <c r="E786" s="1"/>
  <c r="F786"/>
  <c r="D785"/>
  <c r="F785"/>
  <c r="H785"/>
  <c r="C785"/>
  <c r="E785" s="1"/>
  <c r="F784"/>
  <c r="C784"/>
  <c r="E784" s="1"/>
  <c r="D784"/>
  <c r="G784"/>
  <c r="H784"/>
  <c r="D783"/>
  <c r="C783"/>
  <c r="E783" s="1"/>
  <c r="F783"/>
  <c r="G783"/>
  <c r="H782"/>
  <c r="D782"/>
  <c r="G782"/>
  <c r="A782"/>
  <c r="C782"/>
  <c r="E782" s="1"/>
  <c r="D781"/>
  <c r="F781"/>
  <c r="H781"/>
  <c r="C781"/>
  <c r="E781" s="1"/>
  <c r="F780"/>
  <c r="C780"/>
  <c r="E780" s="1"/>
  <c r="D780"/>
  <c r="G780"/>
  <c r="H780"/>
  <c r="D779"/>
  <c r="C779"/>
  <c r="E779" s="1"/>
  <c r="F779"/>
  <c r="G779"/>
  <c r="H778"/>
  <c r="D778"/>
  <c r="G778"/>
  <c r="A778"/>
  <c r="C778"/>
  <c r="E778" s="1"/>
  <c r="D777"/>
  <c r="F777"/>
  <c r="H777"/>
  <c r="C777"/>
  <c r="E777" s="1"/>
  <c r="F776"/>
  <c r="C776"/>
  <c r="E776" s="1"/>
  <c r="D776"/>
  <c r="G776"/>
  <c r="H776"/>
  <c r="F775"/>
  <c r="G775"/>
  <c r="D775"/>
  <c r="H774"/>
  <c r="C774"/>
  <c r="E774" s="1"/>
  <c r="G774"/>
  <c r="F774"/>
  <c r="D773"/>
  <c r="F773"/>
  <c r="H773"/>
  <c r="A773"/>
  <c r="C773"/>
  <c r="E773" s="1"/>
  <c r="A772"/>
  <c r="G772"/>
  <c r="C772"/>
  <c r="E772" s="1"/>
  <c r="D772"/>
  <c r="F772"/>
  <c r="C771"/>
  <c r="E771" s="1"/>
  <c r="A771"/>
  <c r="F771"/>
  <c r="G771"/>
  <c r="H771"/>
  <c r="H770"/>
  <c r="A770"/>
  <c r="C770"/>
  <c r="E770" s="1"/>
  <c r="G770"/>
  <c r="F770"/>
  <c r="F769"/>
  <c r="C769"/>
  <c r="E769" s="1"/>
  <c r="G769"/>
  <c r="C768"/>
  <c r="E768" s="1"/>
  <c r="D768"/>
  <c r="F768"/>
  <c r="A768"/>
  <c r="G768"/>
  <c r="F767"/>
  <c r="G767"/>
  <c r="F766"/>
  <c r="C765"/>
  <c r="E765" s="1"/>
  <c r="G765"/>
  <c r="H765"/>
  <c r="A765"/>
  <c r="D765"/>
  <c r="C764"/>
  <c r="E764" s="1"/>
  <c r="F764"/>
  <c r="H764"/>
  <c r="D764"/>
  <c r="D763"/>
  <c r="F763"/>
  <c r="G763"/>
  <c r="A763"/>
  <c r="C763"/>
  <c r="E763" s="1"/>
  <c r="H762"/>
  <c r="C762"/>
  <c r="E762" s="1"/>
  <c r="D762"/>
  <c r="F762"/>
  <c r="C761"/>
  <c r="E761" s="1"/>
  <c r="G761"/>
  <c r="H761"/>
  <c r="A761"/>
  <c r="D761"/>
  <c r="C760"/>
  <c r="E760" s="1"/>
  <c r="F760"/>
  <c r="H760"/>
  <c r="D760"/>
  <c r="F759"/>
  <c r="C759"/>
  <c r="E759" s="1"/>
  <c r="D759"/>
  <c r="H758"/>
  <c r="C758"/>
  <c r="E758" s="1"/>
  <c r="D758"/>
  <c r="F758"/>
  <c r="D757"/>
  <c r="C756"/>
  <c r="E756" s="1"/>
  <c r="G756"/>
  <c r="H756"/>
  <c r="D756"/>
  <c r="D755"/>
  <c r="G755"/>
  <c r="F755"/>
  <c r="A755"/>
  <c r="C755"/>
  <c r="E755" s="1"/>
  <c r="F754"/>
  <c r="H754"/>
  <c r="C754"/>
  <c r="E754" s="1"/>
  <c r="D754"/>
  <c r="F753"/>
  <c r="G753"/>
  <c r="H753"/>
  <c r="C753"/>
  <c r="E753" s="1"/>
  <c r="C752"/>
  <c r="E752" s="1"/>
  <c r="G752"/>
  <c r="H752"/>
  <c r="D752"/>
  <c r="G751"/>
  <c r="C751"/>
  <c r="E751" s="1"/>
  <c r="F751"/>
  <c r="F750"/>
  <c r="H750"/>
  <c r="C750"/>
  <c r="E750" s="1"/>
  <c r="A750"/>
  <c r="D750"/>
  <c r="F749"/>
  <c r="G749"/>
  <c r="H749"/>
  <c r="C749"/>
  <c r="E749" s="1"/>
  <c r="C748"/>
  <c r="E748" s="1"/>
  <c r="G748"/>
  <c r="H748"/>
  <c r="A748"/>
  <c r="D748"/>
  <c r="C747"/>
  <c r="E747" s="1"/>
  <c r="G747"/>
  <c r="F747"/>
  <c r="G746"/>
  <c r="C746"/>
  <c r="E746" s="1"/>
  <c r="H745"/>
  <c r="C745"/>
  <c r="E745" s="1"/>
  <c r="D745"/>
  <c r="F745"/>
  <c r="C744"/>
  <c r="E744" s="1"/>
  <c r="D744"/>
  <c r="G744"/>
  <c r="F744"/>
  <c r="F743"/>
  <c r="D743"/>
  <c r="A743"/>
  <c r="C743"/>
  <c r="E743" s="1"/>
  <c r="G743"/>
  <c r="F742"/>
  <c r="H742"/>
  <c r="G742"/>
  <c r="C742"/>
  <c r="E742" s="1"/>
  <c r="H741"/>
  <c r="C741"/>
  <c r="E741" s="1"/>
  <c r="D741"/>
  <c r="F741"/>
  <c r="D740"/>
  <c r="G740"/>
  <c r="F740"/>
  <c r="H740"/>
  <c r="G739"/>
  <c r="D739"/>
  <c r="C739"/>
  <c r="E739" s="1"/>
  <c r="A738"/>
  <c r="C738"/>
  <c r="E738" s="1"/>
  <c r="F738"/>
  <c r="H738"/>
  <c r="G738"/>
  <c r="H737"/>
  <c r="C737"/>
  <c r="E737" s="1"/>
  <c r="A737"/>
  <c r="D737"/>
  <c r="F737"/>
  <c r="G736"/>
  <c r="C736"/>
  <c r="E736" s="1"/>
  <c r="D736"/>
  <c r="A736"/>
  <c r="F736"/>
  <c r="D735"/>
  <c r="F735"/>
  <c r="C735"/>
  <c r="E735" s="1"/>
  <c r="G735"/>
  <c r="C734"/>
  <c r="E734" s="1"/>
  <c r="F734"/>
  <c r="H734"/>
  <c r="G734"/>
  <c r="H733"/>
  <c r="C733"/>
  <c r="E733" s="1"/>
  <c r="A733"/>
  <c r="D733"/>
  <c r="F733"/>
  <c r="G732"/>
  <c r="C732"/>
  <c r="E732" s="1"/>
  <c r="D732"/>
  <c r="A732"/>
  <c r="F732"/>
  <c r="D731"/>
  <c r="F731"/>
  <c r="C731"/>
  <c r="E731" s="1"/>
  <c r="G731"/>
  <c r="A730"/>
  <c r="C730"/>
  <c r="E730" s="1"/>
  <c r="F730"/>
  <c r="H730"/>
  <c r="G730"/>
  <c r="H729"/>
  <c r="C729"/>
  <c r="E729" s="1"/>
  <c r="A729"/>
  <c r="D729"/>
  <c r="F729"/>
  <c r="G728"/>
  <c r="C728"/>
  <c r="E728" s="1"/>
  <c r="D728"/>
  <c r="A728"/>
  <c r="F728"/>
  <c r="D727"/>
  <c r="F727"/>
  <c r="C727"/>
  <c r="E727" s="1"/>
  <c r="G727"/>
  <c r="A726"/>
  <c r="C726"/>
  <c r="E726" s="1"/>
  <c r="F726"/>
  <c r="H726"/>
  <c r="G726"/>
  <c r="H725"/>
  <c r="C725"/>
  <c r="E725" s="1"/>
  <c r="A725"/>
  <c r="D725"/>
  <c r="F725"/>
  <c r="G724"/>
  <c r="C724"/>
  <c r="E724" s="1"/>
  <c r="D724"/>
  <c r="A724"/>
  <c r="F724"/>
  <c r="D723"/>
  <c r="F723"/>
  <c r="C723"/>
  <c r="E723" s="1"/>
  <c r="G723"/>
  <c r="A722"/>
  <c r="C722"/>
  <c r="E722" s="1"/>
  <c r="F722"/>
  <c r="H722"/>
  <c r="G722"/>
  <c r="H721"/>
  <c r="C721"/>
  <c r="E721" s="1"/>
  <c r="A721"/>
  <c r="D721"/>
  <c r="F721"/>
  <c r="G720"/>
  <c r="C720"/>
  <c r="E720" s="1"/>
  <c r="D720"/>
  <c r="A720"/>
  <c r="F720"/>
  <c r="D719"/>
  <c r="F719"/>
  <c r="C719"/>
  <c r="E719" s="1"/>
  <c r="G719"/>
  <c r="A718"/>
  <c r="C718"/>
  <c r="E718" s="1"/>
  <c r="F718"/>
  <c r="H718"/>
  <c r="G718"/>
  <c r="H717"/>
  <c r="C717"/>
  <c r="E717" s="1"/>
  <c r="A717"/>
  <c r="D717"/>
  <c r="F717"/>
  <c r="G716"/>
  <c r="C716"/>
  <c r="E716" s="1"/>
  <c r="D716"/>
  <c r="A716"/>
  <c r="F716"/>
  <c r="D715"/>
  <c r="F715"/>
  <c r="C715"/>
  <c r="E715" s="1"/>
  <c r="G715"/>
  <c r="C714"/>
  <c r="E714" s="1"/>
  <c r="F714"/>
  <c r="H714"/>
  <c r="G714"/>
  <c r="D713"/>
  <c r="F713"/>
  <c r="G712"/>
  <c r="F712"/>
  <c r="H712"/>
  <c r="C712"/>
  <c r="E712" s="1"/>
  <c r="F711"/>
  <c r="G711"/>
  <c r="F710"/>
  <c r="D709"/>
  <c r="F709"/>
  <c r="G709"/>
  <c r="H709"/>
  <c r="F708"/>
  <c r="D708"/>
  <c r="H708"/>
  <c r="G707"/>
  <c r="C707"/>
  <c r="E707" s="1"/>
  <c r="D707"/>
  <c r="F707"/>
  <c r="C706"/>
  <c r="E706" s="1"/>
  <c r="D706"/>
  <c r="F705"/>
  <c r="G705"/>
  <c r="H705"/>
  <c r="C705"/>
  <c r="E705" s="1"/>
  <c r="A705"/>
  <c r="G704"/>
  <c r="D703"/>
  <c r="A703"/>
  <c r="G703"/>
  <c r="C703"/>
  <c r="E703" s="1"/>
  <c r="F703"/>
  <c r="C702"/>
  <c r="E702" s="1"/>
  <c r="H702"/>
  <c r="D702"/>
  <c r="F702"/>
  <c r="G702"/>
  <c r="F701"/>
  <c r="G701"/>
  <c r="H701"/>
  <c r="C701"/>
  <c r="E701" s="1"/>
  <c r="C700"/>
  <c r="E700" s="1"/>
  <c r="G700"/>
  <c r="H700"/>
  <c r="D700"/>
  <c r="D699"/>
  <c r="G699"/>
  <c r="C699"/>
  <c r="E699" s="1"/>
  <c r="F699"/>
  <c r="C698"/>
  <c r="E698" s="1"/>
  <c r="D698"/>
  <c r="C697"/>
  <c r="E697" s="1"/>
  <c r="D697"/>
  <c r="C696"/>
  <c r="E696" s="1"/>
  <c r="D695"/>
  <c r="F695"/>
  <c r="G695"/>
  <c r="C695"/>
  <c r="E695" s="1"/>
  <c r="A694"/>
  <c r="G693"/>
  <c r="H693"/>
  <c r="C693"/>
  <c r="E693" s="1"/>
  <c r="D693"/>
  <c r="A692"/>
  <c r="C691"/>
  <c r="E691" s="1"/>
  <c r="C690"/>
  <c r="E690" s="1"/>
  <c r="F690"/>
  <c r="D690"/>
  <c r="A690"/>
  <c r="G690"/>
  <c r="G689"/>
  <c r="H689"/>
  <c r="C689"/>
  <c r="E689" s="1"/>
  <c r="D689"/>
  <c r="F688"/>
  <c r="H688"/>
  <c r="D688"/>
  <c r="G688"/>
  <c r="A688"/>
  <c r="C687"/>
  <c r="E687" s="1"/>
  <c r="A687"/>
  <c r="F687"/>
  <c r="G687"/>
  <c r="H687"/>
  <c r="C686"/>
  <c r="E686" s="1"/>
  <c r="F686"/>
  <c r="D686"/>
  <c r="G686"/>
  <c r="G685"/>
  <c r="H685"/>
  <c r="C685"/>
  <c r="E685" s="1"/>
  <c r="D685"/>
  <c r="F684"/>
  <c r="H684"/>
  <c r="D684"/>
  <c r="G684"/>
  <c r="A684"/>
  <c r="C683"/>
  <c r="E683" s="1"/>
  <c r="A683"/>
  <c r="F683"/>
  <c r="G683"/>
  <c r="H683"/>
  <c r="D682"/>
  <c r="G682"/>
  <c r="C682"/>
  <c r="E682" s="1"/>
  <c r="F682"/>
  <c r="G681"/>
  <c r="H681"/>
  <c r="C681"/>
  <c r="E681" s="1"/>
  <c r="D681"/>
  <c r="F680"/>
  <c r="H680"/>
  <c r="D680"/>
  <c r="G680"/>
  <c r="A680"/>
  <c r="C679"/>
  <c r="E679" s="1"/>
  <c r="A679"/>
  <c r="F679"/>
  <c r="G679"/>
  <c r="H679"/>
  <c r="C678"/>
  <c r="E678" s="1"/>
  <c r="F678"/>
  <c r="D678"/>
  <c r="H678"/>
  <c r="C677"/>
  <c r="E677" s="1"/>
  <c r="C676"/>
  <c r="E676" s="1"/>
  <c r="F676"/>
  <c r="G676"/>
  <c r="H676"/>
  <c r="D675"/>
  <c r="H675"/>
  <c r="C675"/>
  <c r="E675" s="1"/>
  <c r="F675"/>
  <c r="C674"/>
  <c r="E674" s="1"/>
  <c r="G674"/>
  <c r="D674"/>
  <c r="F674"/>
  <c r="A674"/>
  <c r="F673"/>
  <c r="C673"/>
  <c r="E673" s="1"/>
  <c r="D673"/>
  <c r="A672"/>
  <c r="C672"/>
  <c r="E672" s="1"/>
  <c r="G672"/>
  <c r="H672"/>
  <c r="D672"/>
  <c r="G670"/>
  <c r="D670"/>
  <c r="F670"/>
  <c r="C670"/>
  <c r="E670" s="1"/>
  <c r="G669"/>
  <c r="C669"/>
  <c r="E669" s="1"/>
  <c r="D669"/>
  <c r="H668"/>
  <c r="C668"/>
  <c r="E668" s="1"/>
  <c r="D668"/>
  <c r="F668"/>
  <c r="C667"/>
  <c r="E667" s="1"/>
  <c r="C666"/>
  <c r="E666" s="1"/>
  <c r="D665"/>
  <c r="F665"/>
  <c r="G665"/>
  <c r="H664"/>
  <c r="G664"/>
  <c r="C664"/>
  <c r="E664" s="1"/>
  <c r="D664"/>
  <c r="D663"/>
  <c r="C663"/>
  <c r="E663" s="1"/>
  <c r="C662"/>
  <c r="E662" s="1"/>
  <c r="F662"/>
  <c r="G662"/>
  <c r="D662"/>
  <c r="C661"/>
  <c r="E661" s="1"/>
  <c r="G661"/>
  <c r="D661"/>
  <c r="F661"/>
  <c r="G660"/>
  <c r="H660"/>
  <c r="C660"/>
  <c r="E660" s="1"/>
  <c r="D660"/>
  <c r="A659"/>
  <c r="D659"/>
  <c r="F659"/>
  <c r="H659"/>
  <c r="C659"/>
  <c r="E659" s="1"/>
  <c r="C658"/>
  <c r="E658" s="1"/>
  <c r="F658"/>
  <c r="G658"/>
  <c r="D658"/>
  <c r="D657"/>
  <c r="G657"/>
  <c r="G656"/>
  <c r="H656"/>
  <c r="F656"/>
  <c r="C656"/>
  <c r="E656" s="1"/>
  <c r="D655"/>
  <c r="C655"/>
  <c r="E655" s="1"/>
  <c r="C654"/>
  <c r="E654" s="1"/>
  <c r="F654"/>
  <c r="H654"/>
  <c r="D654"/>
  <c r="D653"/>
  <c r="F653"/>
  <c r="G653"/>
  <c r="A653"/>
  <c r="C653"/>
  <c r="E653" s="1"/>
  <c r="D652"/>
  <c r="H652"/>
  <c r="F652"/>
  <c r="G651"/>
  <c r="H651"/>
  <c r="D651"/>
  <c r="C651"/>
  <c r="E651" s="1"/>
  <c r="C650"/>
  <c r="E650" s="1"/>
  <c r="F650"/>
  <c r="H650"/>
  <c r="D650"/>
  <c r="F649"/>
  <c r="G649"/>
  <c r="D649"/>
  <c r="C649"/>
  <c r="E649" s="1"/>
  <c r="C648"/>
  <c r="E648" s="1"/>
  <c r="D648"/>
  <c r="F648"/>
  <c r="H648"/>
  <c r="A647"/>
  <c r="G647"/>
  <c r="H647"/>
  <c r="D647"/>
  <c r="C647"/>
  <c r="E647" s="1"/>
  <c r="F646"/>
  <c r="H646"/>
  <c r="D646"/>
  <c r="F645"/>
  <c r="G645"/>
  <c r="C645"/>
  <c r="E645" s="1"/>
  <c r="D645"/>
  <c r="G644"/>
  <c r="C643"/>
  <c r="E643" s="1"/>
  <c r="D643"/>
  <c r="G642"/>
  <c r="D642"/>
  <c r="C642"/>
  <c r="E642" s="1"/>
  <c r="F642"/>
  <c r="D641"/>
  <c r="C641"/>
  <c r="E641" s="1"/>
  <c r="F641"/>
  <c r="G641"/>
  <c r="H640"/>
  <c r="C640"/>
  <c r="E640" s="1"/>
  <c r="G640"/>
  <c r="D640"/>
  <c r="F639"/>
  <c r="C639"/>
  <c r="E639" s="1"/>
  <c r="D639"/>
  <c r="C638"/>
  <c r="E638" s="1"/>
  <c r="G638"/>
  <c r="H638"/>
  <c r="D638"/>
  <c r="F637"/>
  <c r="G637"/>
  <c r="G636"/>
  <c r="H636"/>
  <c r="D636"/>
  <c r="F636"/>
  <c r="F635"/>
  <c r="C635"/>
  <c r="E635" s="1"/>
  <c r="H635"/>
  <c r="D635"/>
  <c r="G634"/>
  <c r="H634"/>
  <c r="D634"/>
  <c r="D633"/>
  <c r="C633"/>
  <c r="E633" s="1"/>
  <c r="F633"/>
  <c r="G633"/>
  <c r="D632"/>
  <c r="F632"/>
  <c r="G632"/>
  <c r="H632"/>
  <c r="A632"/>
  <c r="H631"/>
  <c r="C631"/>
  <c r="E631" s="1"/>
  <c r="F631"/>
  <c r="D631"/>
  <c r="G630"/>
  <c r="H630"/>
  <c r="C630"/>
  <c r="E630" s="1"/>
  <c r="D630"/>
  <c r="D629"/>
  <c r="C629"/>
  <c r="E629" s="1"/>
  <c r="F629"/>
  <c r="G629"/>
  <c r="G628"/>
  <c r="H628"/>
  <c r="D628"/>
  <c r="F628"/>
  <c r="A628"/>
  <c r="H627"/>
  <c r="C627"/>
  <c r="E627" s="1"/>
  <c r="F627"/>
  <c r="D627"/>
  <c r="G626"/>
  <c r="H626"/>
  <c r="C626"/>
  <c r="E626" s="1"/>
  <c r="D626"/>
  <c r="D625"/>
  <c r="C625"/>
  <c r="E625" s="1"/>
  <c r="F625"/>
  <c r="G625"/>
  <c r="G624"/>
  <c r="H624"/>
  <c r="D624"/>
  <c r="F624"/>
  <c r="A624"/>
  <c r="H623"/>
  <c r="C623"/>
  <c r="E623" s="1"/>
  <c r="F623"/>
  <c r="D623"/>
  <c r="G622"/>
  <c r="H622"/>
  <c r="C622"/>
  <c r="E622" s="1"/>
  <c r="D622"/>
  <c r="D621"/>
  <c r="C621"/>
  <c r="E621" s="1"/>
  <c r="F621"/>
  <c r="G621"/>
  <c r="G620"/>
  <c r="H620"/>
  <c r="D620"/>
  <c r="F620"/>
  <c r="A620"/>
  <c r="H619"/>
  <c r="C619"/>
  <c r="E619" s="1"/>
  <c r="F619"/>
  <c r="D619"/>
  <c r="G618"/>
  <c r="H618"/>
  <c r="C618"/>
  <c r="E618" s="1"/>
  <c r="D618"/>
  <c r="D617"/>
  <c r="C617"/>
  <c r="E617" s="1"/>
  <c r="F617"/>
  <c r="G617"/>
  <c r="G616"/>
  <c r="H616"/>
  <c r="D616"/>
  <c r="F616"/>
  <c r="H615"/>
  <c r="C615"/>
  <c r="E615" s="1"/>
  <c r="A615"/>
  <c r="F615"/>
  <c r="D615"/>
  <c r="C614"/>
  <c r="E614" s="1"/>
  <c r="D614"/>
  <c r="G614"/>
  <c r="H614"/>
  <c r="D613"/>
  <c r="C613"/>
  <c r="E613" s="1"/>
  <c r="F613"/>
  <c r="G613"/>
  <c r="G612"/>
  <c r="H612"/>
  <c r="D612"/>
  <c r="F612"/>
  <c r="H611"/>
  <c r="C611"/>
  <c r="E611" s="1"/>
  <c r="F611"/>
  <c r="D611"/>
  <c r="G610"/>
  <c r="H610"/>
  <c r="C610"/>
  <c r="E610" s="1"/>
  <c r="D610"/>
  <c r="D609"/>
  <c r="C609"/>
  <c r="E609" s="1"/>
  <c r="F609"/>
  <c r="G609"/>
  <c r="G608"/>
  <c r="H608"/>
  <c r="D608"/>
  <c r="F608"/>
  <c r="H607"/>
  <c r="C607"/>
  <c r="E607" s="1"/>
  <c r="F607"/>
  <c r="D607"/>
  <c r="G606"/>
  <c r="H606"/>
  <c r="C606"/>
  <c r="E606" s="1"/>
  <c r="D606"/>
  <c r="D605"/>
  <c r="C605"/>
  <c r="E605" s="1"/>
  <c r="F605"/>
  <c r="G605"/>
  <c r="G604"/>
  <c r="H604"/>
  <c r="D604"/>
  <c r="F604"/>
  <c r="H603"/>
  <c r="C603"/>
  <c r="E603" s="1"/>
  <c r="F603"/>
  <c r="D603"/>
  <c r="C602"/>
  <c r="E602" s="1"/>
  <c r="F601"/>
  <c r="G601"/>
  <c r="C600"/>
  <c r="E600" s="1"/>
  <c r="C599"/>
  <c r="E599" s="1"/>
  <c r="G599"/>
  <c r="H599"/>
  <c r="F599"/>
  <c r="F598"/>
  <c r="H598"/>
  <c r="C598"/>
  <c r="E598" s="1"/>
  <c r="G598"/>
  <c r="D596"/>
  <c r="G596"/>
  <c r="C596"/>
  <c r="E596" s="1"/>
  <c r="H596"/>
  <c r="C595"/>
  <c r="E595" s="1"/>
  <c r="D595"/>
  <c r="F595"/>
  <c r="G595"/>
  <c r="G594"/>
  <c r="H594"/>
  <c r="F594"/>
  <c r="C594"/>
  <c r="E594" s="1"/>
  <c r="H593"/>
  <c r="C593"/>
  <c r="E593" s="1"/>
  <c r="D593"/>
  <c r="F593"/>
  <c r="D592"/>
  <c r="G592"/>
  <c r="C592"/>
  <c r="E592" s="1"/>
  <c r="H592"/>
  <c r="A591"/>
  <c r="C591"/>
  <c r="E591" s="1"/>
  <c r="D591"/>
  <c r="F591"/>
  <c r="G591"/>
  <c r="G590"/>
  <c r="H590"/>
  <c r="F590"/>
  <c r="C590"/>
  <c r="E590" s="1"/>
  <c r="H589"/>
  <c r="C589"/>
  <c r="E589" s="1"/>
  <c r="D589"/>
  <c r="F589"/>
  <c r="D588"/>
  <c r="G588"/>
  <c r="C588"/>
  <c r="E588" s="1"/>
  <c r="H588"/>
  <c r="C587"/>
  <c r="E587" s="1"/>
  <c r="D587"/>
  <c r="F587"/>
  <c r="G587"/>
  <c r="G586"/>
  <c r="H586"/>
  <c r="F586"/>
  <c r="C586"/>
  <c r="E586" s="1"/>
  <c r="H585"/>
  <c r="D585"/>
  <c r="A585"/>
  <c r="F585"/>
  <c r="G584"/>
  <c r="D584"/>
  <c r="C584"/>
  <c r="E584" s="1"/>
  <c r="H584"/>
  <c r="C583"/>
  <c r="E583" s="1"/>
  <c r="D583"/>
  <c r="F583"/>
  <c r="G583"/>
  <c r="G582"/>
  <c r="H582"/>
  <c r="F582"/>
  <c r="A582"/>
  <c r="C582"/>
  <c r="E582" s="1"/>
  <c r="H581"/>
  <c r="C581"/>
  <c r="E581" s="1"/>
  <c r="D581"/>
  <c r="A581"/>
  <c r="F581"/>
  <c r="G580"/>
  <c r="D580"/>
  <c r="C580"/>
  <c r="E580" s="1"/>
  <c r="H580"/>
  <c r="C579"/>
  <c r="E579" s="1"/>
  <c r="D579"/>
  <c r="F579"/>
  <c r="G579"/>
  <c r="G578"/>
  <c r="H578"/>
  <c r="F578"/>
  <c r="C578"/>
  <c r="E578" s="1"/>
  <c r="H577"/>
  <c r="C577"/>
  <c r="E577" s="1"/>
  <c r="D577"/>
  <c r="F577"/>
  <c r="G576"/>
  <c r="D576"/>
  <c r="C576"/>
  <c r="E576" s="1"/>
  <c r="H576"/>
  <c r="C575"/>
  <c r="E575" s="1"/>
  <c r="D575"/>
  <c r="F575"/>
  <c r="G575"/>
  <c r="A575"/>
  <c r="G574"/>
  <c r="H574"/>
  <c r="F574"/>
  <c r="A574"/>
  <c r="C574"/>
  <c r="E574" s="1"/>
  <c r="H573"/>
  <c r="C573"/>
  <c r="E573" s="1"/>
  <c r="D573"/>
  <c r="A573"/>
  <c r="F573"/>
  <c r="G572"/>
  <c r="D572"/>
  <c r="C572"/>
  <c r="E572" s="1"/>
  <c r="H572"/>
  <c r="C571"/>
  <c r="E571" s="1"/>
  <c r="D571"/>
  <c r="F571"/>
  <c r="G571"/>
  <c r="G570"/>
  <c r="H570"/>
  <c r="F570"/>
  <c r="C570"/>
  <c r="E570" s="1"/>
  <c r="H569"/>
  <c r="C569"/>
  <c r="E569" s="1"/>
  <c r="D569"/>
  <c r="F569"/>
  <c r="G568"/>
  <c r="D568"/>
  <c r="C568"/>
  <c r="E568" s="1"/>
  <c r="H568"/>
  <c r="C567"/>
  <c r="E567" s="1"/>
  <c r="D567"/>
  <c r="F567"/>
  <c r="G567"/>
  <c r="G566"/>
  <c r="H566"/>
  <c r="F566"/>
  <c r="C566"/>
  <c r="E566" s="1"/>
  <c r="H565"/>
  <c r="C565"/>
  <c r="E565" s="1"/>
  <c r="D565"/>
  <c r="F565"/>
  <c r="G564"/>
  <c r="D564"/>
  <c r="C564"/>
  <c r="E564" s="1"/>
  <c r="H564"/>
  <c r="C563"/>
  <c r="E563" s="1"/>
  <c r="D563"/>
  <c r="F563"/>
  <c r="G563"/>
  <c r="G562"/>
  <c r="H562"/>
  <c r="F562"/>
  <c r="C562"/>
  <c r="E562" s="1"/>
  <c r="H561"/>
  <c r="C561"/>
  <c r="E561" s="1"/>
  <c r="D561"/>
  <c r="F561"/>
  <c r="G560"/>
  <c r="D560"/>
  <c r="C560"/>
  <c r="E560" s="1"/>
  <c r="H560"/>
  <c r="C559"/>
  <c r="E559" s="1"/>
  <c r="D559"/>
  <c r="F559"/>
  <c r="G559"/>
  <c r="G558"/>
  <c r="H558"/>
  <c r="F558"/>
  <c r="C558"/>
  <c r="E558" s="1"/>
  <c r="A556"/>
  <c r="F556"/>
  <c r="D556"/>
  <c r="H556"/>
  <c r="C556"/>
  <c r="E556" s="1"/>
  <c r="C555"/>
  <c r="E555" s="1"/>
  <c r="G555"/>
  <c r="D555"/>
  <c r="H555"/>
  <c r="C554"/>
  <c r="E554" s="1"/>
  <c r="F554"/>
  <c r="G554"/>
  <c r="D554"/>
  <c r="G553"/>
  <c r="H553"/>
  <c r="F553"/>
  <c r="C553"/>
  <c r="E553" s="1"/>
  <c r="F552"/>
  <c r="D552"/>
  <c r="H552"/>
  <c r="C552"/>
  <c r="E552" s="1"/>
  <c r="C551"/>
  <c r="E551" s="1"/>
  <c r="G551"/>
  <c r="D551"/>
  <c r="H551"/>
  <c r="C550"/>
  <c r="E550" s="1"/>
  <c r="F550"/>
  <c r="G550"/>
  <c r="D550"/>
  <c r="A549"/>
  <c r="G549"/>
  <c r="H549"/>
  <c r="F549"/>
  <c r="C549"/>
  <c r="E549" s="1"/>
  <c r="F548"/>
  <c r="D548"/>
  <c r="H548"/>
  <c r="C548"/>
  <c r="E548" s="1"/>
  <c r="C547"/>
  <c r="E547" s="1"/>
  <c r="C546"/>
  <c r="E546" s="1"/>
  <c r="F546"/>
  <c r="G546"/>
  <c r="D546"/>
  <c r="G545"/>
  <c r="H545"/>
  <c r="F545"/>
  <c r="C545"/>
  <c r="E545" s="1"/>
  <c r="F544"/>
  <c r="D543"/>
  <c r="F543"/>
  <c r="C543"/>
  <c r="E543" s="1"/>
  <c r="H543"/>
  <c r="C542"/>
  <c r="E542" s="1"/>
  <c r="F542"/>
  <c r="C541"/>
  <c r="E541" s="1"/>
  <c r="G541"/>
  <c r="F539"/>
  <c r="G539"/>
  <c r="D539"/>
  <c r="H539"/>
  <c r="C538"/>
  <c r="E538" s="1"/>
  <c r="D538"/>
  <c r="G538"/>
  <c r="H538"/>
  <c r="G537"/>
  <c r="C537"/>
  <c r="E537" s="1"/>
  <c r="F537"/>
  <c r="D537"/>
  <c r="F536"/>
  <c r="H536"/>
  <c r="C536"/>
  <c r="E536" s="1"/>
  <c r="D536"/>
  <c r="F535"/>
  <c r="G535"/>
  <c r="D535"/>
  <c r="H535"/>
  <c r="C534"/>
  <c r="E534" s="1"/>
  <c r="D534"/>
  <c r="G534"/>
  <c r="H534"/>
  <c r="G533"/>
  <c r="C533"/>
  <c r="E533" s="1"/>
  <c r="F533"/>
  <c r="D533"/>
  <c r="F532"/>
  <c r="H532"/>
  <c r="C532"/>
  <c r="E532" s="1"/>
  <c r="D532"/>
  <c r="F531"/>
  <c r="G531"/>
  <c r="D531"/>
  <c r="H531"/>
  <c r="C530"/>
  <c r="E530" s="1"/>
  <c r="D530"/>
  <c r="G530"/>
  <c r="H530"/>
  <c r="G529"/>
  <c r="C529"/>
  <c r="E529" s="1"/>
  <c r="F529"/>
  <c r="D529"/>
  <c r="F528"/>
  <c r="H528"/>
  <c r="C528"/>
  <c r="E528" s="1"/>
  <c r="D528"/>
  <c r="F527"/>
  <c r="G527"/>
  <c r="D527"/>
  <c r="H527"/>
  <c r="C526"/>
  <c r="E526" s="1"/>
  <c r="D526"/>
  <c r="G526"/>
  <c r="H526"/>
  <c r="G525"/>
  <c r="C525"/>
  <c r="E525" s="1"/>
  <c r="F525"/>
  <c r="D525"/>
  <c r="F524"/>
  <c r="H524"/>
  <c r="C524"/>
  <c r="E524" s="1"/>
  <c r="D524"/>
  <c r="F523"/>
  <c r="G523"/>
  <c r="D523"/>
  <c r="H523"/>
  <c r="C522"/>
  <c r="E522" s="1"/>
  <c r="D522"/>
  <c r="G522"/>
  <c r="H522"/>
  <c r="G521"/>
  <c r="C521"/>
  <c r="E521" s="1"/>
  <c r="F521"/>
  <c r="D521"/>
  <c r="F520"/>
  <c r="H520"/>
  <c r="C520"/>
  <c r="E520" s="1"/>
  <c r="D520"/>
  <c r="F519"/>
  <c r="G519"/>
  <c r="D519"/>
  <c r="H519"/>
  <c r="C518"/>
  <c r="E518" s="1"/>
  <c r="D518"/>
  <c r="G518"/>
  <c r="H518"/>
  <c r="G517"/>
  <c r="C517"/>
  <c r="E517" s="1"/>
  <c r="F517"/>
  <c r="D517"/>
  <c r="F516"/>
  <c r="H516"/>
  <c r="C516"/>
  <c r="E516" s="1"/>
  <c r="D516"/>
  <c r="F515"/>
  <c r="G515"/>
  <c r="D515"/>
  <c r="H515"/>
  <c r="C514"/>
  <c r="E514" s="1"/>
  <c r="D514"/>
  <c r="G514"/>
  <c r="H514"/>
  <c r="G513"/>
  <c r="C513"/>
  <c r="E513" s="1"/>
  <c r="F513"/>
  <c r="D513"/>
  <c r="F512"/>
  <c r="H512"/>
  <c r="C512"/>
  <c r="E512" s="1"/>
  <c r="D512"/>
  <c r="F511"/>
  <c r="G511"/>
  <c r="D511"/>
  <c r="H511"/>
  <c r="C510"/>
  <c r="E510" s="1"/>
  <c r="D510"/>
  <c r="G510"/>
  <c r="H510"/>
  <c r="G509"/>
  <c r="C509"/>
  <c r="E509" s="1"/>
  <c r="F509"/>
  <c r="D509"/>
  <c r="F508"/>
  <c r="H508"/>
  <c r="C508"/>
  <c r="E508" s="1"/>
  <c r="D508"/>
  <c r="A508"/>
  <c r="F507"/>
  <c r="G507"/>
  <c r="D507"/>
  <c r="H507"/>
  <c r="C506"/>
  <c r="E506" s="1"/>
  <c r="D506"/>
  <c r="G506"/>
  <c r="H506"/>
  <c r="G505"/>
  <c r="C505"/>
  <c r="E505" s="1"/>
  <c r="F505"/>
  <c r="D505"/>
  <c r="F504"/>
  <c r="H504"/>
  <c r="C504"/>
  <c r="E504" s="1"/>
  <c r="D504"/>
  <c r="F503"/>
  <c r="G503"/>
  <c r="D503"/>
  <c r="H503"/>
  <c r="C502"/>
  <c r="E502" s="1"/>
  <c r="D502"/>
  <c r="G502"/>
  <c r="H502"/>
  <c r="G501"/>
  <c r="C501"/>
  <c r="E501" s="1"/>
  <c r="F501"/>
  <c r="D501"/>
  <c r="F500"/>
  <c r="H500"/>
  <c r="C500"/>
  <c r="E500" s="1"/>
  <c r="D500"/>
  <c r="F499"/>
  <c r="G499"/>
  <c r="D499"/>
  <c r="H499"/>
  <c r="C498"/>
  <c r="E498" s="1"/>
  <c r="D498"/>
  <c r="G498"/>
  <c r="H498"/>
  <c r="G497"/>
  <c r="C497"/>
  <c r="E497" s="1"/>
  <c r="F497"/>
  <c r="D497"/>
  <c r="F496"/>
  <c r="H496"/>
  <c r="C496"/>
  <c r="E496" s="1"/>
  <c r="D496"/>
  <c r="F495"/>
  <c r="G495"/>
  <c r="D495"/>
  <c r="H495"/>
  <c r="C494"/>
  <c r="E494" s="1"/>
  <c r="D494"/>
  <c r="G494"/>
  <c r="H494"/>
  <c r="G493"/>
  <c r="C493"/>
  <c r="E493" s="1"/>
  <c r="F493"/>
  <c r="D493"/>
  <c r="F492"/>
  <c r="H492"/>
  <c r="C492"/>
  <c r="E492" s="1"/>
  <c r="D492"/>
  <c r="F491"/>
  <c r="G491"/>
  <c r="D491"/>
  <c r="H491"/>
  <c r="C490"/>
  <c r="E490" s="1"/>
  <c r="D490"/>
  <c r="G490"/>
  <c r="H490"/>
  <c r="G489"/>
  <c r="C489"/>
  <c r="E489" s="1"/>
  <c r="F489"/>
  <c r="D489"/>
  <c r="F488"/>
  <c r="H488"/>
  <c r="C488"/>
  <c r="E488" s="1"/>
  <c r="D488"/>
  <c r="F487"/>
  <c r="G487"/>
  <c r="D487"/>
  <c r="H487"/>
  <c r="C486"/>
  <c r="E486" s="1"/>
  <c r="D486"/>
  <c r="G486"/>
  <c r="H486"/>
  <c r="G485"/>
  <c r="C485"/>
  <c r="E485" s="1"/>
  <c r="F485"/>
  <c r="D485"/>
  <c r="F484"/>
  <c r="H484"/>
  <c r="C484"/>
  <c r="E484" s="1"/>
  <c r="D484"/>
  <c r="F483"/>
  <c r="G483"/>
  <c r="D483"/>
  <c r="H483"/>
  <c r="C482"/>
  <c r="E482" s="1"/>
  <c r="D482"/>
  <c r="G482"/>
  <c r="H482"/>
  <c r="G481"/>
  <c r="C481"/>
  <c r="E481" s="1"/>
  <c r="F481"/>
  <c r="D481"/>
  <c r="F480"/>
  <c r="H480"/>
  <c r="C480"/>
  <c r="E480" s="1"/>
  <c r="D480"/>
  <c r="A480"/>
  <c r="F479"/>
  <c r="G479"/>
  <c r="D479"/>
  <c r="H479"/>
  <c r="C478"/>
  <c r="E478" s="1"/>
  <c r="D478"/>
  <c r="G478"/>
  <c r="H478"/>
  <c r="G477"/>
  <c r="C477"/>
  <c r="E477" s="1"/>
  <c r="F477"/>
  <c r="D477"/>
  <c r="F476"/>
  <c r="H476"/>
  <c r="C476"/>
  <c r="E476" s="1"/>
  <c r="D476"/>
  <c r="A476"/>
  <c r="F475"/>
  <c r="G475"/>
  <c r="D475"/>
  <c r="H475"/>
  <c r="C474"/>
  <c r="E474" s="1"/>
  <c r="D474"/>
  <c r="G474"/>
  <c r="H474"/>
  <c r="G473"/>
  <c r="C473"/>
  <c r="E473" s="1"/>
  <c r="F473"/>
  <c r="D473"/>
  <c r="F472"/>
  <c r="H472"/>
  <c r="C472"/>
  <c r="E472" s="1"/>
  <c r="D472"/>
  <c r="A472"/>
  <c r="F471"/>
  <c r="G471"/>
  <c r="D471"/>
  <c r="H471"/>
  <c r="C470"/>
  <c r="E470" s="1"/>
  <c r="D470"/>
  <c r="G470"/>
  <c r="H470"/>
  <c r="A470"/>
  <c r="G469"/>
  <c r="C469"/>
  <c r="E469" s="1"/>
  <c r="F469"/>
  <c r="D469"/>
  <c r="F468"/>
  <c r="H468"/>
  <c r="C468"/>
  <c r="E468" s="1"/>
  <c r="D468"/>
  <c r="F467"/>
  <c r="G467"/>
  <c r="D467"/>
  <c r="H467"/>
  <c r="C466"/>
  <c r="E466" s="1"/>
  <c r="D466"/>
  <c r="G466"/>
  <c r="H466"/>
  <c r="G465"/>
  <c r="C465"/>
  <c r="E465" s="1"/>
  <c r="F465"/>
  <c r="D465"/>
  <c r="F464"/>
  <c r="H464"/>
  <c r="C464"/>
  <c r="E464" s="1"/>
  <c r="D464"/>
  <c r="A464"/>
  <c r="F463"/>
  <c r="G463"/>
  <c r="D463"/>
  <c r="H463"/>
  <c r="C462"/>
  <c r="E462" s="1"/>
  <c r="D462"/>
  <c r="G462"/>
  <c r="H462"/>
  <c r="G461"/>
  <c r="C461"/>
  <c r="E461" s="1"/>
  <c r="F461"/>
  <c r="D461"/>
  <c r="F460"/>
  <c r="H460"/>
  <c r="C460"/>
  <c r="E460" s="1"/>
  <c r="D460"/>
  <c r="F459"/>
  <c r="G459"/>
  <c r="D459"/>
  <c r="H459"/>
  <c r="C458"/>
  <c r="E458" s="1"/>
  <c r="D458"/>
  <c r="G458"/>
  <c r="H458"/>
  <c r="G457"/>
  <c r="C457"/>
  <c r="E457" s="1"/>
  <c r="F457"/>
  <c r="D457"/>
  <c r="F456"/>
  <c r="H456"/>
  <c r="C456"/>
  <c r="E456" s="1"/>
  <c r="D456"/>
  <c r="A456"/>
  <c r="C455"/>
  <c r="E455" s="1"/>
  <c r="A455"/>
  <c r="F455"/>
  <c r="G455"/>
  <c r="D455"/>
  <c r="C454"/>
  <c r="E454" s="1"/>
  <c r="D454"/>
  <c r="G454"/>
  <c r="H454"/>
  <c r="G453"/>
  <c r="C453"/>
  <c r="E453" s="1"/>
  <c r="F453"/>
  <c r="D453"/>
  <c r="F452"/>
  <c r="H452"/>
  <c r="C452"/>
  <c r="E452" s="1"/>
  <c r="D452"/>
  <c r="A451"/>
  <c r="F451"/>
  <c r="G451"/>
  <c r="C451"/>
  <c r="E451" s="1"/>
  <c r="D451"/>
  <c r="C450"/>
  <c r="E450" s="1"/>
  <c r="D450"/>
  <c r="G450"/>
  <c r="H450"/>
  <c r="G449"/>
  <c r="C449"/>
  <c r="E449" s="1"/>
  <c r="F449"/>
  <c r="D449"/>
  <c r="F448"/>
  <c r="H448"/>
  <c r="C448"/>
  <c r="E448" s="1"/>
  <c r="D448"/>
  <c r="F447"/>
  <c r="G447"/>
  <c r="D447"/>
  <c r="H447"/>
  <c r="C446"/>
  <c r="E446" s="1"/>
  <c r="D446"/>
  <c r="G446"/>
  <c r="H446"/>
  <c r="G445"/>
  <c r="C445"/>
  <c r="E445" s="1"/>
  <c r="F445"/>
  <c r="D445"/>
  <c r="F444"/>
  <c r="H444"/>
  <c r="C444"/>
  <c r="E444" s="1"/>
  <c r="D444"/>
  <c r="A444"/>
  <c r="F443"/>
  <c r="G443"/>
  <c r="D443"/>
  <c r="H443"/>
  <c r="C442"/>
  <c r="E442" s="1"/>
  <c r="D442"/>
  <c r="G442"/>
  <c r="H442"/>
  <c r="G441"/>
  <c r="C441"/>
  <c r="E441" s="1"/>
  <c r="F441"/>
  <c r="D441"/>
  <c r="F440"/>
  <c r="H440"/>
  <c r="C440"/>
  <c r="E440" s="1"/>
  <c r="D440"/>
  <c r="F439"/>
  <c r="G439"/>
  <c r="D439"/>
  <c r="H439"/>
  <c r="C438"/>
  <c r="E438" s="1"/>
  <c r="D438"/>
  <c r="G438"/>
  <c r="H438"/>
  <c r="G437"/>
  <c r="C437"/>
  <c r="E437" s="1"/>
  <c r="F437"/>
  <c r="D437"/>
  <c r="F436"/>
  <c r="H436"/>
  <c r="C436"/>
  <c r="E436" s="1"/>
  <c r="D436"/>
  <c r="F435"/>
  <c r="G435"/>
  <c r="D435"/>
  <c r="H435"/>
  <c r="C434"/>
  <c r="E434" s="1"/>
  <c r="D434"/>
  <c r="G434"/>
  <c r="H434"/>
  <c r="C433"/>
  <c r="E433" s="1"/>
  <c r="G433"/>
  <c r="F433"/>
  <c r="D433"/>
  <c r="F432"/>
  <c r="H432"/>
  <c r="C432"/>
  <c r="E432" s="1"/>
  <c r="D432"/>
  <c r="A432"/>
  <c r="F431"/>
  <c r="G431"/>
  <c r="D431"/>
  <c r="H431"/>
  <c r="C430"/>
  <c r="E430" s="1"/>
  <c r="D430"/>
  <c r="G430"/>
  <c r="H430"/>
  <c r="A429"/>
  <c r="G429"/>
  <c r="C429"/>
  <c r="E429" s="1"/>
  <c r="F429"/>
  <c r="D429"/>
  <c r="F428"/>
  <c r="H428"/>
  <c r="C428"/>
  <c r="E428" s="1"/>
  <c r="D428"/>
  <c r="A428"/>
  <c r="F427"/>
  <c r="G427"/>
  <c r="D427"/>
  <c r="H427"/>
  <c r="C426"/>
  <c r="E426" s="1"/>
  <c r="D426"/>
  <c r="G426"/>
  <c r="H426"/>
  <c r="G425"/>
  <c r="C425"/>
  <c r="E425" s="1"/>
  <c r="F425"/>
  <c r="D425"/>
  <c r="F424"/>
  <c r="H424"/>
  <c r="C424"/>
  <c r="E424" s="1"/>
  <c r="D424"/>
  <c r="A424"/>
  <c r="F423"/>
  <c r="G423"/>
  <c r="D423"/>
  <c r="H423"/>
  <c r="C422"/>
  <c r="E422" s="1"/>
  <c r="D422"/>
  <c r="G422"/>
  <c r="H422"/>
  <c r="G421"/>
  <c r="C421"/>
  <c r="E421" s="1"/>
  <c r="F421"/>
  <c r="D421"/>
  <c r="F420"/>
  <c r="H420"/>
  <c r="C420"/>
  <c r="E420" s="1"/>
  <c r="D420"/>
  <c r="F419"/>
  <c r="G419"/>
  <c r="D419"/>
  <c r="H419"/>
  <c r="C418"/>
  <c r="E418" s="1"/>
  <c r="D418"/>
  <c r="G418"/>
  <c r="H418"/>
  <c r="A418"/>
  <c r="G417"/>
  <c r="C417"/>
  <c r="E417" s="1"/>
  <c r="F417"/>
  <c r="D417"/>
  <c r="F416"/>
  <c r="H416"/>
  <c r="C416"/>
  <c r="E416" s="1"/>
  <c r="D416"/>
  <c r="A416"/>
  <c r="F415"/>
  <c r="G415"/>
  <c r="D415"/>
  <c r="H415"/>
  <c r="C414"/>
  <c r="E414" s="1"/>
  <c r="D414"/>
  <c r="G414"/>
  <c r="H414"/>
  <c r="G413"/>
  <c r="C413"/>
  <c r="E413" s="1"/>
  <c r="F413"/>
  <c r="D413"/>
  <c r="F412"/>
  <c r="H412"/>
  <c r="C412"/>
  <c r="E412" s="1"/>
  <c r="D412"/>
  <c r="F411"/>
  <c r="G411"/>
  <c r="D411"/>
  <c r="H411"/>
  <c r="C410"/>
  <c r="E410" s="1"/>
  <c r="D410"/>
  <c r="G410"/>
  <c r="H410"/>
  <c r="G409"/>
  <c r="C409"/>
  <c r="E409" s="1"/>
  <c r="F409"/>
  <c r="D409"/>
  <c r="F408"/>
  <c r="H408"/>
  <c r="C408"/>
  <c r="E408" s="1"/>
  <c r="D408"/>
  <c r="A408"/>
  <c r="F407"/>
  <c r="G407"/>
  <c r="D407"/>
  <c r="H407"/>
  <c r="C406"/>
  <c r="E406" s="1"/>
  <c r="D406"/>
  <c r="G406"/>
  <c r="H406"/>
  <c r="A406"/>
  <c r="G405"/>
  <c r="C405"/>
  <c r="E405" s="1"/>
  <c r="F405"/>
  <c r="D405"/>
  <c r="F404"/>
  <c r="H404"/>
  <c r="C404"/>
  <c r="E404" s="1"/>
  <c r="D404"/>
  <c r="A404"/>
  <c r="F403"/>
  <c r="G403"/>
  <c r="D403"/>
  <c r="H403"/>
  <c r="C402"/>
  <c r="E402" s="1"/>
  <c r="D402"/>
  <c r="G402"/>
  <c r="H402"/>
  <c r="G401"/>
  <c r="C401"/>
  <c r="E401" s="1"/>
  <c r="F401"/>
  <c r="D401"/>
  <c r="F400"/>
  <c r="H400"/>
  <c r="C400"/>
  <c r="E400" s="1"/>
  <c r="D400"/>
  <c r="F399"/>
  <c r="G399"/>
  <c r="D399"/>
  <c r="H399"/>
  <c r="C398"/>
  <c r="E398" s="1"/>
  <c r="D398"/>
  <c r="G398"/>
  <c r="H398"/>
  <c r="G397"/>
  <c r="C397"/>
  <c r="E397" s="1"/>
  <c r="F397"/>
  <c r="D397"/>
  <c r="F396"/>
  <c r="H396"/>
  <c r="C396"/>
  <c r="E396" s="1"/>
  <c r="D396"/>
  <c r="F395"/>
  <c r="G395"/>
  <c r="D395"/>
  <c r="H395"/>
  <c r="C394"/>
  <c r="E394" s="1"/>
  <c r="D394"/>
  <c r="G394"/>
  <c r="H394"/>
  <c r="G393"/>
  <c r="C393"/>
  <c r="E393" s="1"/>
  <c r="F393"/>
  <c r="D393"/>
  <c r="F392"/>
  <c r="H392"/>
  <c r="C392"/>
  <c r="E392" s="1"/>
  <c r="D392"/>
  <c r="F391"/>
  <c r="G391"/>
  <c r="D391"/>
  <c r="H391"/>
  <c r="C390"/>
  <c r="E390" s="1"/>
  <c r="D390"/>
  <c r="G390"/>
  <c r="H390"/>
  <c r="G389"/>
  <c r="C389"/>
  <c r="E389" s="1"/>
  <c r="F389"/>
  <c r="D389"/>
  <c r="F388"/>
  <c r="H388"/>
  <c r="C388"/>
  <c r="E388" s="1"/>
  <c r="D388"/>
  <c r="F387"/>
  <c r="G387"/>
  <c r="D387"/>
  <c r="H387"/>
  <c r="C386"/>
  <c r="E386" s="1"/>
  <c r="D386"/>
  <c r="G386"/>
  <c r="H386"/>
  <c r="G385"/>
  <c r="C385"/>
  <c r="E385" s="1"/>
  <c r="F385"/>
  <c r="D385"/>
  <c r="F384"/>
  <c r="H384"/>
  <c r="C384"/>
  <c r="E384" s="1"/>
  <c r="D384"/>
  <c r="F383"/>
  <c r="G383"/>
  <c r="D383"/>
  <c r="H383"/>
  <c r="C382"/>
  <c r="E382" s="1"/>
  <c r="D382"/>
  <c r="G382"/>
  <c r="H382"/>
  <c r="G381"/>
  <c r="C381"/>
  <c r="E381" s="1"/>
  <c r="F381"/>
  <c r="D381"/>
  <c r="F380"/>
  <c r="H380"/>
  <c r="C380"/>
  <c r="E380" s="1"/>
  <c r="D380"/>
  <c r="F379"/>
  <c r="G379"/>
  <c r="D379"/>
  <c r="H379"/>
  <c r="C378"/>
  <c r="E378" s="1"/>
  <c r="D378"/>
  <c r="G378"/>
  <c r="H378"/>
  <c r="G377"/>
  <c r="C377"/>
  <c r="E377" s="1"/>
  <c r="F377"/>
  <c r="D377"/>
  <c r="F376"/>
  <c r="H376"/>
  <c r="C376"/>
  <c r="E376" s="1"/>
  <c r="D376"/>
  <c r="F375"/>
  <c r="G375"/>
  <c r="D375"/>
  <c r="H375"/>
  <c r="C374"/>
  <c r="E374" s="1"/>
  <c r="D374"/>
  <c r="G374"/>
  <c r="H374"/>
  <c r="G373"/>
  <c r="C373"/>
  <c r="E373" s="1"/>
  <c r="F373"/>
  <c r="D373"/>
  <c r="F372"/>
  <c r="H372"/>
  <c r="C372"/>
  <c r="E372" s="1"/>
  <c r="D372"/>
  <c r="F371"/>
  <c r="G371"/>
  <c r="D371"/>
  <c r="H371"/>
  <c r="C370"/>
  <c r="E370" s="1"/>
  <c r="D370"/>
  <c r="G370"/>
  <c r="H370"/>
  <c r="G369"/>
  <c r="C369"/>
  <c r="E369" s="1"/>
  <c r="F369"/>
  <c r="D369"/>
  <c r="F368"/>
  <c r="H368"/>
  <c r="C368"/>
  <c r="E368" s="1"/>
  <c r="D368"/>
  <c r="F367"/>
  <c r="G367"/>
  <c r="D367"/>
  <c r="H367"/>
  <c r="C366"/>
  <c r="E366" s="1"/>
  <c r="D366"/>
  <c r="G366"/>
  <c r="H366"/>
  <c r="G365"/>
  <c r="C365"/>
  <c r="E365" s="1"/>
  <c r="F365"/>
  <c r="D365"/>
  <c r="F364"/>
  <c r="H364"/>
  <c r="C364"/>
  <c r="E364" s="1"/>
  <c r="D364"/>
  <c r="F363"/>
  <c r="G363"/>
  <c r="D363"/>
  <c r="H363"/>
  <c r="C362"/>
  <c r="E362" s="1"/>
  <c r="D362"/>
  <c r="G362"/>
  <c r="H362"/>
  <c r="G361"/>
  <c r="C361"/>
  <c r="E361" s="1"/>
  <c r="F361"/>
  <c r="D361"/>
  <c r="F360"/>
  <c r="H360"/>
  <c r="C360"/>
  <c r="E360" s="1"/>
  <c r="D360"/>
  <c r="F359"/>
  <c r="G359"/>
  <c r="D359"/>
  <c r="H359"/>
  <c r="C358"/>
  <c r="E358" s="1"/>
  <c r="D358"/>
  <c r="G358"/>
  <c r="H358"/>
  <c r="G357"/>
  <c r="C357"/>
  <c r="E357" s="1"/>
  <c r="F357"/>
  <c r="D357"/>
  <c r="F356"/>
  <c r="H356"/>
  <c r="C356"/>
  <c r="E356" s="1"/>
  <c r="D356"/>
  <c r="F355"/>
  <c r="G355"/>
  <c r="D355"/>
  <c r="H355"/>
  <c r="C354"/>
  <c r="E354" s="1"/>
  <c r="D354"/>
  <c r="G354"/>
  <c r="H354"/>
  <c r="G353"/>
  <c r="C353"/>
  <c r="E353" s="1"/>
  <c r="F353"/>
  <c r="D353"/>
  <c r="F352"/>
  <c r="H352"/>
  <c r="C352"/>
  <c r="E352" s="1"/>
  <c r="D352"/>
  <c r="F351"/>
  <c r="G351"/>
  <c r="D351"/>
  <c r="H351"/>
  <c r="C350"/>
  <c r="E350" s="1"/>
  <c r="D350"/>
  <c r="G350"/>
  <c r="H350"/>
  <c r="G349"/>
  <c r="C349"/>
  <c r="E349" s="1"/>
  <c r="F349"/>
  <c r="D349"/>
  <c r="F348"/>
  <c r="H348"/>
  <c r="C348"/>
  <c r="E348" s="1"/>
  <c r="D348"/>
  <c r="A348"/>
  <c r="F347"/>
  <c r="G347"/>
  <c r="D347"/>
  <c r="H347"/>
  <c r="C346"/>
  <c r="E346" s="1"/>
  <c r="D346"/>
  <c r="G346"/>
  <c r="H346"/>
  <c r="G345"/>
  <c r="C345"/>
  <c r="E345" s="1"/>
  <c r="F345"/>
  <c r="D345"/>
  <c r="F344"/>
  <c r="H344"/>
  <c r="C344"/>
  <c r="E344" s="1"/>
  <c r="D344"/>
  <c r="F343"/>
  <c r="G343"/>
  <c r="D343"/>
  <c r="H343"/>
  <c r="C342"/>
  <c r="E342" s="1"/>
  <c r="D342"/>
  <c r="G342"/>
  <c r="H342"/>
  <c r="G341"/>
  <c r="C341"/>
  <c r="E341" s="1"/>
  <c r="F341"/>
  <c r="D341"/>
  <c r="F340"/>
  <c r="H340"/>
  <c r="C340"/>
  <c r="E340" s="1"/>
  <c r="D340"/>
  <c r="A340"/>
  <c r="F339"/>
  <c r="G339"/>
  <c r="D339"/>
  <c r="H339"/>
  <c r="C338"/>
  <c r="E338" s="1"/>
  <c r="D338"/>
  <c r="G338"/>
  <c r="H338"/>
  <c r="G337"/>
  <c r="C337"/>
  <c r="E337" s="1"/>
  <c r="F337"/>
  <c r="D337"/>
  <c r="F336"/>
  <c r="H336"/>
  <c r="C336"/>
  <c r="E336" s="1"/>
  <c r="D336"/>
  <c r="F335"/>
  <c r="G335"/>
  <c r="D335"/>
  <c r="H335"/>
  <c r="C334"/>
  <c r="E334" s="1"/>
  <c r="D334"/>
  <c r="G334"/>
  <c r="H334"/>
  <c r="G333"/>
  <c r="C333"/>
  <c r="E333" s="1"/>
  <c r="F333"/>
  <c r="D333"/>
  <c r="F332"/>
  <c r="H332"/>
  <c r="C332"/>
  <c r="E332" s="1"/>
  <c r="D332"/>
  <c r="F331"/>
  <c r="G331"/>
  <c r="D331"/>
  <c r="H331"/>
  <c r="C330"/>
  <c r="E330" s="1"/>
  <c r="D330"/>
  <c r="G330"/>
  <c r="H330"/>
  <c r="A329"/>
  <c r="G329"/>
  <c r="C329"/>
  <c r="E329" s="1"/>
  <c r="F329"/>
  <c r="D329"/>
  <c r="F328"/>
  <c r="H328"/>
  <c r="C328"/>
  <c r="E328" s="1"/>
  <c r="D328"/>
  <c r="A328"/>
  <c r="F327"/>
  <c r="G327"/>
  <c r="D327"/>
  <c r="H327"/>
  <c r="C326"/>
  <c r="E326" s="1"/>
  <c r="D326"/>
  <c r="G326"/>
  <c r="H326"/>
  <c r="G325"/>
  <c r="C325"/>
  <c r="E325" s="1"/>
  <c r="F325"/>
  <c r="D325"/>
  <c r="F324"/>
  <c r="H324"/>
  <c r="C324"/>
  <c r="E324" s="1"/>
  <c r="D324"/>
  <c r="F323"/>
  <c r="G323"/>
  <c r="D323"/>
  <c r="H323"/>
  <c r="C322"/>
  <c r="E322" s="1"/>
  <c r="D322"/>
  <c r="G322"/>
  <c r="H322"/>
  <c r="G321"/>
  <c r="C321"/>
  <c r="E321" s="1"/>
  <c r="F321"/>
  <c r="D321"/>
  <c r="F320"/>
  <c r="H320"/>
  <c r="C320"/>
  <c r="E320" s="1"/>
  <c r="D320"/>
  <c r="F319"/>
  <c r="C318"/>
  <c r="E318" s="1"/>
  <c r="D317"/>
  <c r="C317"/>
  <c r="E317" s="1"/>
  <c r="F316"/>
  <c r="C316"/>
  <c r="E316" s="1"/>
  <c r="G316"/>
  <c r="H315"/>
  <c r="G315"/>
  <c r="C315"/>
  <c r="E315" s="1"/>
  <c r="D315"/>
  <c r="C314"/>
  <c r="E314" s="1"/>
  <c r="D314"/>
  <c r="F313"/>
  <c r="G313"/>
  <c r="D313"/>
  <c r="C312"/>
  <c r="E312" s="1"/>
  <c r="C311"/>
  <c r="E311" s="1"/>
  <c r="G311"/>
  <c r="F311"/>
  <c r="G310"/>
  <c r="H310"/>
  <c r="C310"/>
  <c r="E310" s="1"/>
  <c r="A310"/>
  <c r="D310"/>
  <c r="F309"/>
  <c r="H309"/>
  <c r="C309"/>
  <c r="E309" s="1"/>
  <c r="D309"/>
  <c r="F308"/>
  <c r="G308"/>
  <c r="H308"/>
  <c r="D307"/>
  <c r="C307"/>
  <c r="E307" s="1"/>
  <c r="G307"/>
  <c r="F307"/>
  <c r="C306"/>
  <c r="E306" s="1"/>
  <c r="D306"/>
  <c r="F305"/>
  <c r="G305"/>
  <c r="H305"/>
  <c r="C305"/>
  <c r="E305" s="1"/>
  <c r="D304"/>
  <c r="C304"/>
  <c r="E304" s="1"/>
  <c r="H304"/>
  <c r="F304"/>
  <c r="D303"/>
  <c r="C303"/>
  <c r="E303" s="1"/>
  <c r="F302"/>
  <c r="H302"/>
  <c r="C302"/>
  <c r="E302" s="1"/>
  <c r="H301"/>
  <c r="C301"/>
  <c r="E301" s="1"/>
  <c r="D301"/>
  <c r="F300"/>
  <c r="C300"/>
  <c r="E300" s="1"/>
  <c r="D300"/>
  <c r="H300"/>
  <c r="D299"/>
  <c r="F299"/>
  <c r="H298"/>
  <c r="C298"/>
  <c r="E298" s="1"/>
  <c r="F298"/>
  <c r="D298"/>
  <c r="F297"/>
  <c r="G297"/>
  <c r="A297"/>
  <c r="D297"/>
  <c r="H297"/>
  <c r="C296"/>
  <c r="E296" s="1"/>
  <c r="D296"/>
  <c r="F296"/>
  <c r="H296"/>
  <c r="G295"/>
  <c r="D295"/>
  <c r="C295"/>
  <c r="E295" s="1"/>
  <c r="F295"/>
  <c r="H294"/>
  <c r="C294"/>
  <c r="E294" s="1"/>
  <c r="F294"/>
  <c r="D294"/>
  <c r="F293"/>
  <c r="G293"/>
  <c r="A293"/>
  <c r="D293"/>
  <c r="H293"/>
  <c r="C292"/>
  <c r="E292" s="1"/>
  <c r="G291"/>
  <c r="D291"/>
  <c r="C291"/>
  <c r="E291" s="1"/>
  <c r="F291"/>
  <c r="H290"/>
  <c r="C290"/>
  <c r="E290" s="1"/>
  <c r="F290"/>
  <c r="D290"/>
  <c r="C288"/>
  <c r="E288" s="1"/>
  <c r="D288"/>
  <c r="F288"/>
  <c r="H288"/>
  <c r="G287"/>
  <c r="D287"/>
  <c r="C287"/>
  <c r="E287" s="1"/>
  <c r="F287"/>
  <c r="H286"/>
  <c r="C286"/>
  <c r="E286" s="1"/>
  <c r="F286"/>
  <c r="D286"/>
  <c r="F285"/>
  <c r="G285"/>
  <c r="D285"/>
  <c r="H285"/>
  <c r="C284"/>
  <c r="E284" s="1"/>
  <c r="D284"/>
  <c r="F284"/>
  <c r="H284"/>
  <c r="C283"/>
  <c r="E283" s="1"/>
  <c r="C282"/>
  <c r="E282" s="1"/>
  <c r="G282"/>
  <c r="D282"/>
  <c r="F282"/>
  <c r="C281"/>
  <c r="E281" s="1"/>
  <c r="D281"/>
  <c r="F280"/>
  <c r="G280"/>
  <c r="H280"/>
  <c r="C280"/>
  <c r="E280" s="1"/>
  <c r="G279"/>
  <c r="H279"/>
  <c r="G278"/>
  <c r="D278"/>
  <c r="C278"/>
  <c r="E278" s="1"/>
  <c r="F278"/>
  <c r="D277"/>
  <c r="C277"/>
  <c r="E277" s="1"/>
  <c r="C276"/>
  <c r="E276" s="1"/>
  <c r="G276"/>
  <c r="C275"/>
  <c r="E275" s="1"/>
  <c r="D275"/>
  <c r="F275"/>
  <c r="G275"/>
  <c r="D274"/>
  <c r="C274"/>
  <c r="E274" s="1"/>
  <c r="G274"/>
  <c r="F274"/>
  <c r="D273"/>
  <c r="C273"/>
  <c r="E273" s="1"/>
  <c r="C272"/>
  <c r="E272" s="1"/>
  <c r="F271"/>
  <c r="G271"/>
  <c r="H271"/>
  <c r="C271"/>
  <c r="E271" s="1"/>
  <c r="D270"/>
  <c r="H270"/>
  <c r="F270"/>
  <c r="D269"/>
  <c r="G269"/>
  <c r="C269"/>
  <c r="E269" s="1"/>
  <c r="F269"/>
  <c r="D268"/>
  <c r="F268"/>
  <c r="C268"/>
  <c r="E268" s="1"/>
  <c r="H268"/>
  <c r="C267"/>
  <c r="E267" s="1"/>
  <c r="D266"/>
  <c r="F266"/>
  <c r="H266"/>
  <c r="C266"/>
  <c r="E266" s="1"/>
  <c r="F265"/>
  <c r="G265"/>
  <c r="C265"/>
  <c r="E265" s="1"/>
  <c r="D265"/>
  <c r="H264"/>
  <c r="D264"/>
  <c r="A264"/>
  <c r="F264"/>
  <c r="C264"/>
  <c r="E264" s="1"/>
  <c r="C263"/>
  <c r="E263" s="1"/>
  <c r="G262"/>
  <c r="H262"/>
  <c r="D262"/>
  <c r="C262"/>
  <c r="E262" s="1"/>
  <c r="F261"/>
  <c r="H261"/>
  <c r="D261"/>
  <c r="F260"/>
  <c r="G260"/>
  <c r="C260"/>
  <c r="E260" s="1"/>
  <c r="D260"/>
  <c r="C258"/>
  <c r="E258" s="1"/>
  <c r="C257"/>
  <c r="E257" s="1"/>
  <c r="D257"/>
  <c r="F257"/>
  <c r="G257"/>
  <c r="F256"/>
  <c r="G256"/>
  <c r="H255"/>
  <c r="G255"/>
  <c r="D255"/>
  <c r="F255"/>
  <c r="F254"/>
  <c r="D254"/>
  <c r="G253"/>
  <c r="C253"/>
  <c r="E253" s="1"/>
  <c r="H253"/>
  <c r="D253"/>
  <c r="C252"/>
  <c r="E252" s="1"/>
  <c r="D252"/>
  <c r="F252"/>
  <c r="G252"/>
  <c r="A251"/>
  <c r="D251"/>
  <c r="G251"/>
  <c r="H251"/>
  <c r="F251"/>
  <c r="D250"/>
  <c r="C250"/>
  <c r="E250" s="1"/>
  <c r="D249"/>
  <c r="F249"/>
  <c r="H249"/>
  <c r="F248"/>
  <c r="G248"/>
  <c r="C248"/>
  <c r="E248" s="1"/>
  <c r="D248"/>
  <c r="D247"/>
  <c r="F247"/>
  <c r="G246"/>
  <c r="C246"/>
  <c r="E246" s="1"/>
  <c r="F246"/>
  <c r="H246"/>
  <c r="D245"/>
  <c r="F245"/>
  <c r="G245"/>
  <c r="H245"/>
  <c r="C244"/>
  <c r="E244" s="1"/>
  <c r="D244"/>
  <c r="G244"/>
  <c r="F244"/>
  <c r="A243"/>
  <c r="H243"/>
  <c r="D243"/>
  <c r="F243"/>
  <c r="G243"/>
  <c r="G242"/>
  <c r="C242"/>
  <c r="E242" s="1"/>
  <c r="F242"/>
  <c r="H242"/>
  <c r="F241"/>
  <c r="C241"/>
  <c r="E241" s="1"/>
  <c r="G241"/>
  <c r="C240"/>
  <c r="E240" s="1"/>
  <c r="D240"/>
  <c r="G240"/>
  <c r="F240"/>
  <c r="H239"/>
  <c r="C239"/>
  <c r="E239" s="1"/>
  <c r="D239"/>
  <c r="F239"/>
  <c r="F238"/>
  <c r="D238"/>
  <c r="C237"/>
  <c r="E237" s="1"/>
  <c r="G237"/>
  <c r="H237"/>
  <c r="D237"/>
  <c r="C236"/>
  <c r="E236" s="1"/>
  <c r="F236"/>
  <c r="G236"/>
  <c r="D235"/>
  <c r="H235"/>
  <c r="F235"/>
  <c r="G235"/>
  <c r="F234"/>
  <c r="H234"/>
  <c r="C234"/>
  <c r="E234" s="1"/>
  <c r="D234"/>
  <c r="G233"/>
  <c r="H233"/>
  <c r="D231"/>
  <c r="H231"/>
  <c r="C231"/>
  <c r="E231" s="1"/>
  <c r="F231"/>
  <c r="C230"/>
  <c r="E230" s="1"/>
  <c r="G230"/>
  <c r="G229"/>
  <c r="C229"/>
  <c r="E229" s="1"/>
  <c r="F229"/>
  <c r="F228"/>
  <c r="D228"/>
  <c r="G228"/>
  <c r="D227"/>
  <c r="F227"/>
  <c r="C226"/>
  <c r="E226" s="1"/>
  <c r="D226"/>
  <c r="F225"/>
  <c r="D225"/>
  <c r="H225"/>
  <c r="C224"/>
  <c r="E224" s="1"/>
  <c r="G224"/>
  <c r="D224"/>
  <c r="F224"/>
  <c r="C223"/>
  <c r="E223" s="1"/>
  <c r="D223"/>
  <c r="F222"/>
  <c r="G222"/>
  <c r="H222"/>
  <c r="C222"/>
  <c r="E222" s="1"/>
  <c r="G221"/>
  <c r="H221"/>
  <c r="G220"/>
  <c r="D220"/>
  <c r="C220"/>
  <c r="E220" s="1"/>
  <c r="F220"/>
  <c r="D219"/>
  <c r="C219"/>
  <c r="E219" s="1"/>
  <c r="F218"/>
  <c r="D218"/>
  <c r="G218"/>
  <c r="C217"/>
  <c r="E217" s="1"/>
  <c r="D217"/>
  <c r="F217"/>
  <c r="G217"/>
  <c r="C216"/>
  <c r="E216" s="1"/>
  <c r="D216"/>
  <c r="G216"/>
  <c r="F216"/>
  <c r="G215"/>
  <c r="H215"/>
  <c r="C215"/>
  <c r="E215" s="1"/>
  <c r="F215"/>
  <c r="F214"/>
  <c r="H214"/>
  <c r="A214"/>
  <c r="D214"/>
  <c r="G214"/>
  <c r="A213"/>
  <c r="C213"/>
  <c r="E213" s="1"/>
  <c r="D213"/>
  <c r="F213"/>
  <c r="G213"/>
  <c r="D212"/>
  <c r="G212"/>
  <c r="C212"/>
  <c r="E212" s="1"/>
  <c r="F212"/>
  <c r="G211"/>
  <c r="H211"/>
  <c r="C211"/>
  <c r="E211" s="1"/>
  <c r="F211"/>
  <c r="F210"/>
  <c r="D210"/>
  <c r="H210"/>
  <c r="G210"/>
  <c r="F208"/>
  <c r="G208"/>
  <c r="D208"/>
  <c r="H208"/>
  <c r="C207"/>
  <c r="E207" s="1"/>
  <c r="G207"/>
  <c r="D207"/>
  <c r="F207"/>
  <c r="D206"/>
  <c r="G206"/>
  <c r="H206"/>
  <c r="F206"/>
  <c r="F205"/>
  <c r="H205"/>
  <c r="C205"/>
  <c r="E205" s="1"/>
  <c r="D205"/>
  <c r="F204"/>
  <c r="G204"/>
  <c r="D204"/>
  <c r="H204"/>
  <c r="C203"/>
  <c r="E203" s="1"/>
  <c r="G203"/>
  <c r="D203"/>
  <c r="F203"/>
  <c r="D202"/>
  <c r="G202"/>
  <c r="H202"/>
  <c r="F202"/>
  <c r="F201"/>
  <c r="H201"/>
  <c r="C201"/>
  <c r="E201" s="1"/>
  <c r="D201"/>
  <c r="F200"/>
  <c r="G200"/>
  <c r="D200"/>
  <c r="H200"/>
  <c r="C199"/>
  <c r="E199" s="1"/>
  <c r="G199"/>
  <c r="D199"/>
  <c r="F199"/>
  <c r="C198"/>
  <c r="E198" s="1"/>
  <c r="D198"/>
  <c r="F197"/>
  <c r="G197"/>
  <c r="H197"/>
  <c r="C197"/>
  <c r="E197" s="1"/>
  <c r="H196"/>
  <c r="F196"/>
  <c r="D195"/>
  <c r="G195"/>
  <c r="C195"/>
  <c r="E195" s="1"/>
  <c r="F195"/>
  <c r="F194"/>
  <c r="H194"/>
  <c r="D194"/>
  <c r="G193"/>
  <c r="D193"/>
  <c r="F192"/>
  <c r="G192"/>
  <c r="H192"/>
  <c r="C192"/>
  <c r="E192" s="1"/>
  <c r="F191"/>
  <c r="D191"/>
  <c r="C191"/>
  <c r="E191" s="1"/>
  <c r="G191"/>
  <c r="F190"/>
  <c r="H190"/>
  <c r="D190"/>
  <c r="G190"/>
  <c r="D189"/>
  <c r="F189"/>
  <c r="F188"/>
  <c r="G188"/>
  <c r="C188"/>
  <c r="E188" s="1"/>
  <c r="D188"/>
  <c r="F187"/>
  <c r="G187"/>
  <c r="H186"/>
  <c r="D185"/>
  <c r="F185"/>
  <c r="H185"/>
  <c r="C183"/>
  <c r="E183" s="1"/>
  <c r="D183"/>
  <c r="F183"/>
  <c r="G183"/>
  <c r="C182"/>
  <c r="E182" s="1"/>
  <c r="D181"/>
  <c r="H181"/>
  <c r="C181"/>
  <c r="E181" s="1"/>
  <c r="G181"/>
  <c r="C180"/>
  <c r="E180" s="1"/>
  <c r="G180"/>
  <c r="D180"/>
  <c r="F180"/>
  <c r="F179"/>
  <c r="C179"/>
  <c r="E179" s="1"/>
  <c r="G179"/>
  <c r="D179"/>
  <c r="F178"/>
  <c r="G178"/>
  <c r="H178"/>
  <c r="C178"/>
  <c r="E178" s="1"/>
  <c r="D177"/>
  <c r="H177"/>
  <c r="C177"/>
  <c r="E177" s="1"/>
  <c r="G177"/>
  <c r="C176"/>
  <c r="E176" s="1"/>
  <c r="C175"/>
  <c r="E175" s="1"/>
  <c r="F174"/>
  <c r="G174"/>
  <c r="H174"/>
  <c r="C174"/>
  <c r="E174" s="1"/>
  <c r="D173"/>
  <c r="H173"/>
  <c r="C173"/>
  <c r="E173" s="1"/>
  <c r="G173"/>
  <c r="C172"/>
  <c r="E172" s="1"/>
  <c r="G172"/>
  <c r="D172"/>
  <c r="F172"/>
  <c r="F171"/>
  <c r="C171"/>
  <c r="E171" s="1"/>
  <c r="G171"/>
  <c r="D171"/>
  <c r="F170"/>
  <c r="G170"/>
  <c r="H170"/>
  <c r="C170"/>
  <c r="E170" s="1"/>
  <c r="D169"/>
  <c r="H169"/>
  <c r="C169"/>
  <c r="E169" s="1"/>
  <c r="G169"/>
  <c r="C168"/>
  <c r="E168" s="1"/>
  <c r="G168"/>
  <c r="D168"/>
  <c r="F168"/>
  <c r="F167"/>
  <c r="C167"/>
  <c r="E167" s="1"/>
  <c r="G167"/>
  <c r="D167"/>
  <c r="F166"/>
  <c r="G166"/>
  <c r="H166"/>
  <c r="C166"/>
  <c r="E166" s="1"/>
  <c r="D165"/>
  <c r="H165"/>
  <c r="C165"/>
  <c r="E165" s="1"/>
  <c r="G165"/>
  <c r="C164"/>
  <c r="E164" s="1"/>
  <c r="G164"/>
  <c r="D164"/>
  <c r="F164"/>
  <c r="F163"/>
  <c r="C163"/>
  <c r="E163" s="1"/>
  <c r="G163"/>
  <c r="D163"/>
  <c r="F162"/>
  <c r="G162"/>
  <c r="H162"/>
  <c r="C162"/>
  <c r="E162" s="1"/>
  <c r="A161"/>
  <c r="D161"/>
  <c r="H161"/>
  <c r="C161"/>
  <c r="E161" s="1"/>
  <c r="G161"/>
  <c r="C160"/>
  <c r="E160" s="1"/>
  <c r="G160"/>
  <c r="D160"/>
  <c r="F160"/>
  <c r="F159"/>
  <c r="C159"/>
  <c r="E159" s="1"/>
  <c r="G159"/>
  <c r="D159"/>
  <c r="F158"/>
  <c r="G158"/>
  <c r="H158"/>
  <c r="C158"/>
  <c r="E158" s="1"/>
  <c r="D157"/>
  <c r="H157"/>
  <c r="C157"/>
  <c r="E157" s="1"/>
  <c r="G157"/>
  <c r="G156"/>
  <c r="D156"/>
  <c r="F156"/>
  <c r="F155"/>
  <c r="C155"/>
  <c r="E155" s="1"/>
  <c r="G155"/>
  <c r="D155"/>
  <c r="C154"/>
  <c r="E154" s="1"/>
  <c r="D154"/>
  <c r="F154"/>
  <c r="G154"/>
  <c r="H153"/>
  <c r="D153"/>
  <c r="C153"/>
  <c r="E153" s="1"/>
  <c r="G153"/>
  <c r="G152"/>
  <c r="D152"/>
  <c r="F152"/>
  <c r="F151"/>
  <c r="C151"/>
  <c r="E151" s="1"/>
  <c r="G151"/>
  <c r="D151"/>
  <c r="C150"/>
  <c r="E150" s="1"/>
  <c r="D150"/>
  <c r="F150"/>
  <c r="A148"/>
  <c r="F148"/>
  <c r="F147"/>
  <c r="F144"/>
  <c r="A143"/>
  <c r="F143"/>
  <c r="F142"/>
  <c r="H141"/>
  <c r="F140"/>
  <c r="F139"/>
  <c r="F138"/>
  <c r="H136"/>
  <c r="F132"/>
  <c r="F131"/>
  <c r="F128"/>
  <c r="F127"/>
  <c r="F126"/>
  <c r="H124"/>
  <c r="H122"/>
  <c r="A120"/>
  <c r="F120"/>
  <c r="F119"/>
  <c r="F116"/>
  <c r="F115"/>
  <c r="F114"/>
  <c r="H112"/>
  <c r="H110"/>
  <c r="F108"/>
  <c r="F107"/>
  <c r="H105"/>
  <c r="F103"/>
  <c r="H101"/>
  <c r="F100"/>
  <c r="H99"/>
  <c r="A96"/>
  <c r="F96"/>
  <c r="F95"/>
  <c r="F92"/>
  <c r="F91"/>
  <c r="F90"/>
  <c r="H88"/>
  <c r="H86"/>
  <c r="F84"/>
  <c r="F83"/>
  <c r="H81"/>
  <c r="F79"/>
  <c r="H76"/>
  <c r="A75"/>
  <c r="F75"/>
  <c r="H74"/>
  <c r="F72"/>
  <c r="F71"/>
  <c r="F68"/>
  <c r="F67"/>
  <c r="F66"/>
  <c r="H64"/>
  <c r="H62"/>
  <c r="F60"/>
  <c r="F59"/>
  <c r="H57"/>
  <c r="F55"/>
  <c r="H54"/>
  <c r="F52"/>
  <c r="F51"/>
  <c r="F49"/>
  <c r="H47"/>
  <c r="H45"/>
  <c r="F43"/>
  <c r="F42"/>
  <c r="F39"/>
  <c r="F38"/>
  <c r="F37"/>
  <c r="H35"/>
  <c r="H33"/>
  <c r="F31"/>
  <c r="F30"/>
  <c r="F27"/>
  <c r="F26"/>
  <c r="F25"/>
  <c r="H23"/>
  <c r="H21"/>
  <c r="F18"/>
  <c r="F17"/>
  <c r="H14"/>
  <c r="F13"/>
  <c r="F11"/>
  <c r="I10" i="3"/>
  <c r="J10"/>
  <c r="H9" i="5"/>
  <c r="F6"/>
  <c r="F15" i="3"/>
  <c r="G15" i="5" s="1"/>
  <c r="H5"/>
  <c r="J48" i="3"/>
  <c r="J76"/>
  <c r="H32"/>
  <c r="H64"/>
  <c r="D48"/>
  <c r="I44"/>
  <c r="I76"/>
  <c r="H96"/>
  <c r="J6"/>
  <c r="J19"/>
  <c r="J27"/>
  <c r="J39"/>
  <c r="J47"/>
  <c r="J55"/>
  <c r="J67"/>
  <c r="J75"/>
  <c r="J80"/>
  <c r="J87"/>
  <c r="J99"/>
  <c r="I24"/>
  <c r="I43"/>
  <c r="I56"/>
  <c r="I75"/>
  <c r="I88"/>
  <c r="H10"/>
  <c r="H31"/>
  <c r="H44"/>
  <c r="H63"/>
  <c r="H76"/>
  <c r="H95"/>
  <c r="F10"/>
  <c r="F23"/>
  <c r="F51"/>
  <c r="F59"/>
  <c r="F79"/>
  <c r="F87"/>
  <c r="D20"/>
  <c r="F20" s="1"/>
  <c r="G20" i="5" s="1"/>
  <c r="D35" i="3"/>
  <c r="D47"/>
  <c r="D59"/>
  <c r="D71"/>
  <c r="D83"/>
  <c r="D95"/>
  <c r="F84"/>
  <c r="D36"/>
  <c r="D96"/>
  <c r="J32"/>
  <c r="J60"/>
  <c r="J92"/>
  <c r="I28"/>
  <c r="I60"/>
  <c r="I92"/>
  <c r="H16"/>
  <c r="H48"/>
  <c r="H80"/>
  <c r="F31"/>
  <c r="D16"/>
  <c r="D28"/>
  <c r="D43"/>
  <c r="D68"/>
  <c r="F32"/>
  <c r="J24"/>
  <c r="J40"/>
  <c r="J52"/>
  <c r="J68"/>
  <c r="J84"/>
  <c r="J100"/>
  <c r="I16"/>
  <c r="I32"/>
  <c r="I48"/>
  <c r="I64"/>
  <c r="I80"/>
  <c r="I96"/>
  <c r="H36"/>
  <c r="H52"/>
  <c r="H68"/>
  <c r="H84"/>
  <c r="H100"/>
  <c r="D24"/>
  <c r="D56"/>
  <c r="D84"/>
  <c r="D92"/>
  <c r="D100"/>
  <c r="F64"/>
  <c r="J16"/>
  <c r="J28"/>
  <c r="J44"/>
  <c r="J56"/>
  <c r="J72"/>
  <c r="J88"/>
  <c r="I20"/>
  <c r="J20" s="1"/>
  <c r="I36"/>
  <c r="I52"/>
  <c r="I68"/>
  <c r="H24"/>
  <c r="H40"/>
  <c r="H56"/>
  <c r="H72"/>
  <c r="H88"/>
  <c r="D72"/>
  <c r="J11"/>
  <c r="I7"/>
  <c r="J7" s="1"/>
  <c r="I13"/>
  <c r="I17"/>
  <c r="I21"/>
  <c r="I25"/>
  <c r="I29"/>
  <c r="I33"/>
  <c r="I37"/>
  <c r="I41"/>
  <c r="I45"/>
  <c r="I49"/>
  <c r="I53"/>
  <c r="I57"/>
  <c r="I61"/>
  <c r="I65"/>
  <c r="I69"/>
  <c r="I73"/>
  <c r="I77"/>
  <c r="I81"/>
  <c r="I85"/>
  <c r="I89"/>
  <c r="I93"/>
  <c r="I97"/>
  <c r="F65"/>
  <c r="D65"/>
  <c r="D93"/>
  <c r="J13"/>
  <c r="I11"/>
  <c r="D8"/>
  <c r="F8" s="1"/>
  <c r="G8" i="5" s="1"/>
  <c r="J17" i="3"/>
  <c r="F33"/>
  <c r="F77"/>
  <c r="F85"/>
  <c r="F97"/>
  <c r="D13"/>
  <c r="D77"/>
  <c r="D97"/>
  <c r="J21"/>
  <c r="J25"/>
  <c r="J29"/>
  <c r="J33"/>
  <c r="J37"/>
  <c r="J41"/>
  <c r="J45"/>
  <c r="J49"/>
  <c r="H33"/>
  <c r="H37"/>
  <c r="H41"/>
  <c r="H45"/>
  <c r="H49"/>
  <c r="H53"/>
  <c r="H57"/>
  <c r="H61"/>
  <c r="H65"/>
  <c r="H69"/>
  <c r="H73"/>
  <c r="H77"/>
  <c r="H81"/>
  <c r="H85"/>
  <c r="H89"/>
  <c r="H93"/>
  <c r="H97"/>
  <c r="F45"/>
  <c r="F53"/>
  <c r="F89"/>
  <c r="D17"/>
  <c r="D25"/>
  <c r="D41"/>
  <c r="J9"/>
  <c r="J53"/>
  <c r="J57"/>
  <c r="J61"/>
  <c r="J65"/>
  <c r="J69"/>
  <c r="J73"/>
  <c r="J77"/>
  <c r="J81"/>
  <c r="J85"/>
  <c r="J89"/>
  <c r="J93"/>
  <c r="F93"/>
  <c r="D29"/>
  <c r="D81"/>
  <c r="C72" i="9"/>
  <c r="F44" i="3"/>
  <c r="F60"/>
  <c r="F80"/>
  <c r="F11"/>
  <c r="D52"/>
  <c r="H13"/>
  <c r="H17"/>
  <c r="H21"/>
  <c r="H25"/>
  <c r="H29"/>
  <c r="F17"/>
  <c r="F37"/>
  <c r="F69"/>
  <c r="D33"/>
  <c r="D45"/>
  <c r="D57"/>
  <c r="D85"/>
  <c r="F13"/>
  <c r="F29"/>
  <c r="F49"/>
  <c r="F61"/>
  <c r="F81"/>
  <c r="D49"/>
  <c r="D61"/>
  <c r="D73"/>
  <c r="D89"/>
  <c r="C87" i="9"/>
  <c r="H9" i="3"/>
  <c r="D10"/>
  <c r="C39" i="9"/>
  <c r="J50" i="3"/>
  <c r="C71" i="9"/>
  <c r="C24"/>
  <c r="C56"/>
  <c r="C88"/>
  <c r="A50"/>
  <c r="C40"/>
  <c r="C23"/>
  <c r="C55"/>
  <c r="F9" i="3"/>
  <c r="F21"/>
  <c r="D9"/>
  <c r="D21"/>
  <c r="D37"/>
  <c r="D53"/>
  <c r="D69"/>
  <c r="C16" i="9"/>
  <c r="C48"/>
  <c r="C64"/>
  <c r="C80"/>
  <c r="I5" i="3"/>
  <c r="D12"/>
  <c r="C31" i="9"/>
  <c r="C47"/>
  <c r="C63"/>
  <c r="C79"/>
  <c r="C95"/>
  <c r="C32"/>
  <c r="C96"/>
  <c r="A15"/>
  <c r="A20"/>
  <c r="H8" i="3"/>
  <c r="J8" s="1"/>
  <c r="H12"/>
  <c r="J12" s="1"/>
  <c r="D7"/>
  <c r="F7" s="1"/>
  <c r="G7" i="5" s="1"/>
  <c r="D11" i="3"/>
  <c r="C20" i="9"/>
  <c r="C28"/>
  <c r="C36"/>
  <c r="C44"/>
  <c r="C52"/>
  <c r="C60"/>
  <c r="C68"/>
  <c r="C76"/>
  <c r="C84"/>
  <c r="C92"/>
  <c r="C100"/>
  <c r="I8" i="3"/>
  <c r="F14"/>
  <c r="F25"/>
  <c r="F30"/>
  <c r="F41"/>
  <c r="F46"/>
  <c r="F57"/>
  <c r="F62"/>
  <c r="F73"/>
  <c r="F78"/>
  <c r="F94"/>
  <c r="D14"/>
  <c r="D30"/>
  <c r="D46"/>
  <c r="D62"/>
  <c r="D78"/>
  <c r="D94"/>
  <c r="C11" i="9"/>
  <c r="C19"/>
  <c r="C27"/>
  <c r="C35"/>
  <c r="C43"/>
  <c r="C51"/>
  <c r="C59"/>
  <c r="C67"/>
  <c r="C75"/>
  <c r="C83"/>
  <c r="C91"/>
  <c r="C99"/>
  <c r="J104" i="3"/>
  <c r="I104"/>
  <c r="H104"/>
  <c r="J108"/>
  <c r="I108"/>
  <c r="H108"/>
  <c r="J112"/>
  <c r="I112"/>
  <c r="H112"/>
  <c r="J116"/>
  <c r="I116"/>
  <c r="H116"/>
  <c r="J120"/>
  <c r="I120"/>
  <c r="H120"/>
  <c r="J124"/>
  <c r="I124"/>
  <c r="H124"/>
  <c r="J128"/>
  <c r="I128"/>
  <c r="H128"/>
  <c r="J132"/>
  <c r="I132"/>
  <c r="H132"/>
  <c r="J136"/>
  <c r="I136"/>
  <c r="H136"/>
  <c r="J140"/>
  <c r="I140"/>
  <c r="H140"/>
  <c r="J144"/>
  <c r="I144"/>
  <c r="H144"/>
  <c r="J148"/>
  <c r="I148"/>
  <c r="H148"/>
  <c r="J152"/>
  <c r="I152"/>
  <c r="H152"/>
  <c r="J156"/>
  <c r="I156"/>
  <c r="H156"/>
  <c r="J160"/>
  <c r="I160"/>
  <c r="H160"/>
  <c r="J164"/>
  <c r="I164"/>
  <c r="H164"/>
  <c r="J168"/>
  <c r="I168"/>
  <c r="H168"/>
  <c r="J172"/>
  <c r="I172"/>
  <c r="H172"/>
  <c r="I176"/>
  <c r="H176"/>
  <c r="J180"/>
  <c r="I180"/>
  <c r="H180"/>
  <c r="I184"/>
  <c r="H184"/>
  <c r="J188"/>
  <c r="I188"/>
  <c r="H188"/>
  <c r="J192"/>
  <c r="I192"/>
  <c r="H192"/>
  <c r="J196"/>
  <c r="I196"/>
  <c r="H196"/>
  <c r="J200"/>
  <c r="I200"/>
  <c r="H200"/>
  <c r="J204"/>
  <c r="I204"/>
  <c r="H204"/>
  <c r="J208"/>
  <c r="I208"/>
  <c r="H208"/>
  <c r="J212"/>
  <c r="I212"/>
  <c r="H212"/>
  <c r="J216"/>
  <c r="I216"/>
  <c r="H216"/>
  <c r="J220"/>
  <c r="I220"/>
  <c r="H220"/>
  <c r="J224"/>
  <c r="I224"/>
  <c r="H224"/>
  <c r="J228"/>
  <c r="I228"/>
  <c r="H228"/>
  <c r="I232"/>
  <c r="H232"/>
  <c r="D232" i="5" s="1"/>
  <c r="F232" s="1"/>
  <c r="J236" i="3"/>
  <c r="I236"/>
  <c r="H236"/>
  <c r="J240"/>
  <c r="I240"/>
  <c r="H240"/>
  <c r="J244"/>
  <c r="I244"/>
  <c r="H244"/>
  <c r="J248"/>
  <c r="I248"/>
  <c r="H248"/>
  <c r="J252"/>
  <c r="I252"/>
  <c r="H252"/>
  <c r="J256"/>
  <c r="I256"/>
  <c r="H256"/>
  <c r="J260"/>
  <c r="I260"/>
  <c r="H260"/>
  <c r="J264"/>
  <c r="I264"/>
  <c r="H264"/>
  <c r="J268"/>
  <c r="I268"/>
  <c r="H268"/>
  <c r="I272"/>
  <c r="H272"/>
  <c r="J276"/>
  <c r="I276"/>
  <c r="H276"/>
  <c r="J280"/>
  <c r="I280"/>
  <c r="H280"/>
  <c r="I284"/>
  <c r="J284"/>
  <c r="H284"/>
  <c r="I291"/>
  <c r="H291"/>
  <c r="J296"/>
  <c r="I296"/>
  <c r="H296"/>
  <c r="I300"/>
  <c r="J300"/>
  <c r="H300"/>
  <c r="J304"/>
  <c r="I304"/>
  <c r="H304"/>
  <c r="I308"/>
  <c r="J308"/>
  <c r="H308"/>
  <c r="I312"/>
  <c r="H312"/>
  <c r="I316"/>
  <c r="J316"/>
  <c r="H316"/>
  <c r="J320"/>
  <c r="I320"/>
  <c r="H320"/>
  <c r="I324"/>
  <c r="J324"/>
  <c r="H324"/>
  <c r="J328"/>
  <c r="I328"/>
  <c r="H328"/>
  <c r="I332"/>
  <c r="J332"/>
  <c r="H332"/>
  <c r="J336"/>
  <c r="I336"/>
  <c r="H336"/>
  <c r="J340"/>
  <c r="I340"/>
  <c r="H340"/>
  <c r="J344"/>
  <c r="I344"/>
  <c r="H344"/>
  <c r="J348"/>
  <c r="I348"/>
  <c r="H348"/>
  <c r="J352"/>
  <c r="I352"/>
  <c r="H352"/>
  <c r="J356"/>
  <c r="I356"/>
  <c r="H356"/>
  <c r="J360"/>
  <c r="I360"/>
  <c r="H360"/>
  <c r="J364"/>
  <c r="I364"/>
  <c r="H364"/>
  <c r="J368"/>
  <c r="I368"/>
  <c r="H368"/>
  <c r="J372"/>
  <c r="I372"/>
  <c r="H372"/>
  <c r="J376"/>
  <c r="I376"/>
  <c r="H376"/>
  <c r="J380"/>
  <c r="I380"/>
  <c r="H380"/>
  <c r="J384"/>
  <c r="I384"/>
  <c r="H384"/>
  <c r="J388"/>
  <c r="I388"/>
  <c r="H388"/>
  <c r="J392"/>
  <c r="I392"/>
  <c r="H392"/>
  <c r="J396"/>
  <c r="I396"/>
  <c r="H396"/>
  <c r="J400"/>
  <c r="I400"/>
  <c r="H400"/>
  <c r="J404"/>
  <c r="I404"/>
  <c r="H404"/>
  <c r="J408"/>
  <c r="I408"/>
  <c r="H408"/>
  <c r="J412"/>
  <c r="I412"/>
  <c r="H412"/>
  <c r="J416"/>
  <c r="I416"/>
  <c r="H416"/>
  <c r="J420"/>
  <c r="I420"/>
  <c r="H420"/>
  <c r="J424"/>
  <c r="I424"/>
  <c r="H424"/>
  <c r="J428"/>
  <c r="I428"/>
  <c r="H428"/>
  <c r="J432"/>
  <c r="I432"/>
  <c r="H432"/>
  <c r="J436"/>
  <c r="I436"/>
  <c r="H436"/>
  <c r="J440"/>
  <c r="I440"/>
  <c r="H440"/>
  <c r="J444"/>
  <c r="I444"/>
  <c r="H444"/>
  <c r="J448"/>
  <c r="I448"/>
  <c r="H448"/>
  <c r="J452"/>
  <c r="I452"/>
  <c r="H452"/>
  <c r="J456"/>
  <c r="I456"/>
  <c r="H456"/>
  <c r="J460"/>
  <c r="I460"/>
  <c r="H460"/>
  <c r="J464"/>
  <c r="I464"/>
  <c r="H464"/>
  <c r="J468"/>
  <c r="I468"/>
  <c r="H468"/>
  <c r="F468"/>
  <c r="J472"/>
  <c r="I472"/>
  <c r="H472"/>
  <c r="F472"/>
  <c r="J476"/>
  <c r="I476"/>
  <c r="H476"/>
  <c r="F476"/>
  <c r="J480"/>
  <c r="I480"/>
  <c r="H480"/>
  <c r="F480"/>
  <c r="J484"/>
  <c r="I484"/>
  <c r="H484"/>
  <c r="F484"/>
  <c r="J488"/>
  <c r="I488"/>
  <c r="H488"/>
  <c r="F488"/>
  <c r="J492"/>
  <c r="I492"/>
  <c r="H492"/>
  <c r="F492"/>
  <c r="J496"/>
  <c r="I496"/>
  <c r="H496"/>
  <c r="F496"/>
  <c r="J500"/>
  <c r="I500"/>
  <c r="H500"/>
  <c r="F500"/>
  <c r="J504"/>
  <c r="I504"/>
  <c r="H504"/>
  <c r="F504"/>
  <c r="J508"/>
  <c r="I508"/>
  <c r="H508"/>
  <c r="F508"/>
  <c r="J512"/>
  <c r="I512"/>
  <c r="H512"/>
  <c r="F512"/>
  <c r="J516"/>
  <c r="I516"/>
  <c r="H516"/>
  <c r="F516"/>
  <c r="J520"/>
  <c r="I520"/>
  <c r="H520"/>
  <c r="F520"/>
  <c r="J524"/>
  <c r="I524"/>
  <c r="H524"/>
  <c r="F524"/>
  <c r="J528"/>
  <c r="I528"/>
  <c r="H528"/>
  <c r="F528"/>
  <c r="J532"/>
  <c r="I532"/>
  <c r="H532"/>
  <c r="F532"/>
  <c r="J536"/>
  <c r="I536"/>
  <c r="H536"/>
  <c r="F536"/>
  <c r="I540"/>
  <c r="H540"/>
  <c r="D540" i="5" s="1"/>
  <c r="F540" s="1"/>
  <c r="J544" i="3"/>
  <c r="I544"/>
  <c r="H544"/>
  <c r="F544"/>
  <c r="J548"/>
  <c r="I548"/>
  <c r="H548"/>
  <c r="F548"/>
  <c r="J552"/>
  <c r="I552"/>
  <c r="H552"/>
  <c r="F552"/>
  <c r="J556"/>
  <c r="I556"/>
  <c r="H556"/>
  <c r="F556"/>
  <c r="J560"/>
  <c r="I560"/>
  <c r="H560"/>
  <c r="F560"/>
  <c r="J564"/>
  <c r="I564"/>
  <c r="H564"/>
  <c r="F564"/>
  <c r="J568"/>
  <c r="I568"/>
  <c r="H568"/>
  <c r="F568"/>
  <c r="J572"/>
  <c r="I572"/>
  <c r="H572"/>
  <c r="F572"/>
  <c r="J576"/>
  <c r="I576"/>
  <c r="H576"/>
  <c r="F576"/>
  <c r="J580"/>
  <c r="I580"/>
  <c r="H580"/>
  <c r="F580"/>
  <c r="J584"/>
  <c r="I584"/>
  <c r="H584"/>
  <c r="F584"/>
  <c r="J588"/>
  <c r="I588"/>
  <c r="H588"/>
  <c r="F588"/>
  <c r="J592"/>
  <c r="I592"/>
  <c r="H592"/>
  <c r="F592"/>
  <c r="J596"/>
  <c r="I596"/>
  <c r="H596"/>
  <c r="F596"/>
  <c r="I600"/>
  <c r="H600"/>
  <c r="J604"/>
  <c r="I604"/>
  <c r="H604"/>
  <c r="F604"/>
  <c r="J608"/>
  <c r="I608"/>
  <c r="H608"/>
  <c r="F608"/>
  <c r="J612"/>
  <c r="I612"/>
  <c r="H612"/>
  <c r="F612"/>
  <c r="J616"/>
  <c r="I616"/>
  <c r="H616"/>
  <c r="F616"/>
  <c r="J620"/>
  <c r="I620"/>
  <c r="H620"/>
  <c r="F620"/>
  <c r="J624"/>
  <c r="I624"/>
  <c r="H624"/>
  <c r="F624"/>
  <c r="J628"/>
  <c r="I628"/>
  <c r="H628"/>
  <c r="F628"/>
  <c r="J632"/>
  <c r="I632"/>
  <c r="H632"/>
  <c r="F632"/>
  <c r="J636"/>
  <c r="I636"/>
  <c r="H636"/>
  <c r="F636"/>
  <c r="J640"/>
  <c r="I640"/>
  <c r="H640"/>
  <c r="F640"/>
  <c r="J644"/>
  <c r="I644"/>
  <c r="H644"/>
  <c r="F644"/>
  <c r="J648"/>
  <c r="I648"/>
  <c r="H648"/>
  <c r="F648"/>
  <c r="J652"/>
  <c r="I652"/>
  <c r="H652"/>
  <c r="F652"/>
  <c r="J656"/>
  <c r="I656"/>
  <c r="H656"/>
  <c r="F656"/>
  <c r="J660"/>
  <c r="I660"/>
  <c r="H660"/>
  <c r="F660"/>
  <c r="J664"/>
  <c r="I664"/>
  <c r="H664"/>
  <c r="F664"/>
  <c r="J668"/>
  <c r="I668"/>
  <c r="H668"/>
  <c r="F668"/>
  <c r="J672"/>
  <c r="I672"/>
  <c r="H672"/>
  <c r="F672"/>
  <c r="J676"/>
  <c r="I676"/>
  <c r="H676"/>
  <c r="F676"/>
  <c r="J680"/>
  <c r="I680"/>
  <c r="H680"/>
  <c r="F680"/>
  <c r="J684"/>
  <c r="I684"/>
  <c r="H684"/>
  <c r="F684"/>
  <c r="J688"/>
  <c r="I688"/>
  <c r="H688"/>
  <c r="F688"/>
  <c r="I692"/>
  <c r="H692"/>
  <c r="D692" i="5" s="1"/>
  <c r="F692" s="1"/>
  <c r="I696" i="3"/>
  <c r="H696"/>
  <c r="J700"/>
  <c r="I700"/>
  <c r="H700"/>
  <c r="F700"/>
  <c r="D104"/>
  <c r="D108"/>
  <c r="D112"/>
  <c r="D116"/>
  <c r="D120"/>
  <c r="D124"/>
  <c r="D128"/>
  <c r="D132"/>
  <c r="D136"/>
  <c r="D140"/>
  <c r="D144"/>
  <c r="D148"/>
  <c r="D152"/>
  <c r="D156"/>
  <c r="D160"/>
  <c r="D164"/>
  <c r="D168"/>
  <c r="D172"/>
  <c r="D176"/>
  <c r="F176" s="1"/>
  <c r="G176" i="5" s="1"/>
  <c r="D180" i="3"/>
  <c r="D184"/>
  <c r="F184" s="1"/>
  <c r="G184" i="5" s="1"/>
  <c r="D188" i="3"/>
  <c r="D192"/>
  <c r="D196"/>
  <c r="D200"/>
  <c r="D204"/>
  <c r="D208"/>
  <c r="D212"/>
  <c r="D216"/>
  <c r="D220"/>
  <c r="D224"/>
  <c r="D228"/>
  <c r="D232"/>
  <c r="F232" s="1"/>
  <c r="G232" i="5" s="1"/>
  <c r="D236" i="3"/>
  <c r="D240"/>
  <c r="D244"/>
  <c r="D248"/>
  <c r="D252"/>
  <c r="D256"/>
  <c r="D260"/>
  <c r="D264"/>
  <c r="D268"/>
  <c r="D272"/>
  <c r="F272" s="1"/>
  <c r="G272" i="5" s="1"/>
  <c r="D276" i="3"/>
  <c r="D280"/>
  <c r="D284"/>
  <c r="D291"/>
  <c r="F291" s="1"/>
  <c r="G292" i="5" s="1"/>
  <c r="D296" i="3"/>
  <c r="D300"/>
  <c r="D304"/>
  <c r="D308"/>
  <c r="D312"/>
  <c r="F312" s="1"/>
  <c r="G312" i="5" s="1"/>
  <c r="D316" i="3"/>
  <c r="D320"/>
  <c r="D324"/>
  <c r="D328"/>
  <c r="D332"/>
  <c r="D336"/>
  <c r="D340"/>
  <c r="D344"/>
  <c r="D348"/>
  <c r="D352"/>
  <c r="D356"/>
  <c r="D360"/>
  <c r="D364"/>
  <c r="D368"/>
  <c r="D372"/>
  <c r="D376"/>
  <c r="D380"/>
  <c r="D384"/>
  <c r="D388"/>
  <c r="D392"/>
  <c r="D396"/>
  <c r="D400"/>
  <c r="D404"/>
  <c r="D408"/>
  <c r="D412"/>
  <c r="D416"/>
  <c r="D420"/>
  <c r="D424"/>
  <c r="D428"/>
  <c r="D432"/>
  <c r="D436"/>
  <c r="D440"/>
  <c r="D444"/>
  <c r="D448"/>
  <c r="D452"/>
  <c r="D456"/>
  <c r="D460"/>
  <c r="D464"/>
  <c r="D468"/>
  <c r="D472"/>
  <c r="D476"/>
  <c r="D480"/>
  <c r="D484"/>
  <c r="D488"/>
  <c r="D492"/>
  <c r="D496"/>
  <c r="D500"/>
  <c r="D504"/>
  <c r="D508"/>
  <c r="D512"/>
  <c r="D516"/>
  <c r="D520"/>
  <c r="D524"/>
  <c r="D528"/>
  <c r="D532"/>
  <c r="D536"/>
  <c r="D540"/>
  <c r="F540" s="1"/>
  <c r="G540" i="5" s="1"/>
  <c r="D544" i="3"/>
  <c r="D548"/>
  <c r="D552"/>
  <c r="D556"/>
  <c r="D560"/>
  <c r="D564"/>
  <c r="D568"/>
  <c r="D572"/>
  <c r="D576"/>
  <c r="D580"/>
  <c r="D584"/>
  <c r="D588"/>
  <c r="D592"/>
  <c r="D596"/>
  <c r="D600"/>
  <c r="F600" s="1"/>
  <c r="G600" i="5" s="1"/>
  <c r="D604" i="3"/>
  <c r="D608"/>
  <c r="D612"/>
  <c r="D616"/>
  <c r="D620"/>
  <c r="D624"/>
  <c r="D628"/>
  <c r="D632"/>
  <c r="D636"/>
  <c r="D640"/>
  <c r="D644"/>
  <c r="D648"/>
  <c r="D652"/>
  <c r="D656"/>
  <c r="D660"/>
  <c r="D664"/>
  <c r="D668"/>
  <c r="D672"/>
  <c r="D676"/>
  <c r="D680"/>
  <c r="D684"/>
  <c r="D688"/>
  <c r="D692"/>
  <c r="F692" s="1"/>
  <c r="G692" i="5" s="1"/>
  <c r="D696" i="3"/>
  <c r="F696" s="1"/>
  <c r="G696" i="5" s="1"/>
  <c r="D700" i="3"/>
  <c r="F101"/>
  <c r="F105"/>
  <c r="F109"/>
  <c r="F113"/>
  <c r="F117"/>
  <c r="F121"/>
  <c r="F125"/>
  <c r="F129"/>
  <c r="F133"/>
  <c r="F137"/>
  <c r="F141"/>
  <c r="F145"/>
  <c r="F149"/>
  <c r="F153"/>
  <c r="F157"/>
  <c r="F161"/>
  <c r="F165"/>
  <c r="F169"/>
  <c r="F173"/>
  <c r="F177"/>
  <c r="F181"/>
  <c r="F185"/>
  <c r="F189"/>
  <c r="F193"/>
  <c r="F197"/>
  <c r="F201"/>
  <c r="F205"/>
  <c r="F213"/>
  <c r="F217"/>
  <c r="F221"/>
  <c r="F225"/>
  <c r="F229"/>
  <c r="F233"/>
  <c r="J103"/>
  <c r="H103"/>
  <c r="I103"/>
  <c r="J107"/>
  <c r="I107"/>
  <c r="H107"/>
  <c r="J111"/>
  <c r="H111"/>
  <c r="I111"/>
  <c r="J115"/>
  <c r="I115"/>
  <c r="H115"/>
  <c r="J119"/>
  <c r="H119"/>
  <c r="I119"/>
  <c r="J123"/>
  <c r="I123"/>
  <c r="H123"/>
  <c r="J127"/>
  <c r="H127"/>
  <c r="I127"/>
  <c r="J131"/>
  <c r="I131"/>
  <c r="H131"/>
  <c r="J135"/>
  <c r="H135"/>
  <c r="I135"/>
  <c r="J139"/>
  <c r="I139"/>
  <c r="H139"/>
  <c r="J143"/>
  <c r="H143"/>
  <c r="I143"/>
  <c r="J147"/>
  <c r="I147"/>
  <c r="H147"/>
  <c r="J151"/>
  <c r="H151"/>
  <c r="I151"/>
  <c r="J155"/>
  <c r="I155"/>
  <c r="H155"/>
  <c r="J159"/>
  <c r="H159"/>
  <c r="I159"/>
  <c r="J163"/>
  <c r="I163"/>
  <c r="H163"/>
  <c r="J167"/>
  <c r="H167"/>
  <c r="I167"/>
  <c r="J171"/>
  <c r="I171"/>
  <c r="H171"/>
  <c r="H175"/>
  <c r="I175"/>
  <c r="J179"/>
  <c r="I179"/>
  <c r="H179"/>
  <c r="J183"/>
  <c r="H183"/>
  <c r="I183"/>
  <c r="J187"/>
  <c r="I187"/>
  <c r="H187"/>
  <c r="J191"/>
  <c r="H191"/>
  <c r="I191"/>
  <c r="J195"/>
  <c r="I195"/>
  <c r="H195"/>
  <c r="J199"/>
  <c r="H199"/>
  <c r="I199"/>
  <c r="J203"/>
  <c r="I203"/>
  <c r="H203"/>
  <c r="J207"/>
  <c r="H207"/>
  <c r="I207"/>
  <c r="J211"/>
  <c r="I211"/>
  <c r="H211"/>
  <c r="J215"/>
  <c r="H215"/>
  <c r="I215"/>
  <c r="J219"/>
  <c r="I219"/>
  <c r="H219"/>
  <c r="J223"/>
  <c r="H223"/>
  <c r="I223"/>
  <c r="J227"/>
  <c r="I227"/>
  <c r="H227"/>
  <c r="J231"/>
  <c r="H231"/>
  <c r="I231"/>
  <c r="J235"/>
  <c r="I235"/>
  <c r="H235"/>
  <c r="J239"/>
  <c r="I239"/>
  <c r="H239"/>
  <c r="J243"/>
  <c r="I243"/>
  <c r="H243"/>
  <c r="J247"/>
  <c r="I247"/>
  <c r="H247"/>
  <c r="J251"/>
  <c r="I251"/>
  <c r="H251"/>
  <c r="J255"/>
  <c r="I255"/>
  <c r="H255"/>
  <c r="I259"/>
  <c r="H259"/>
  <c r="I263"/>
  <c r="H263"/>
  <c r="I267"/>
  <c r="H267"/>
  <c r="J271"/>
  <c r="I271"/>
  <c r="H271"/>
  <c r="J275"/>
  <c r="I275"/>
  <c r="H275"/>
  <c r="J279"/>
  <c r="I279"/>
  <c r="H279"/>
  <c r="I283"/>
  <c r="H283"/>
  <c r="J287"/>
  <c r="I287"/>
  <c r="H287"/>
  <c r="J295"/>
  <c r="I295"/>
  <c r="H295"/>
  <c r="J299"/>
  <c r="I299"/>
  <c r="H299"/>
  <c r="J303"/>
  <c r="I303"/>
  <c r="H303"/>
  <c r="J307"/>
  <c r="I307"/>
  <c r="H307"/>
  <c r="J311"/>
  <c r="I311"/>
  <c r="H311"/>
  <c r="J315"/>
  <c r="I315"/>
  <c r="H315"/>
  <c r="J319"/>
  <c r="I319"/>
  <c r="H319"/>
  <c r="J323"/>
  <c r="I323"/>
  <c r="H323"/>
  <c r="J327"/>
  <c r="I327"/>
  <c r="H327"/>
  <c r="J331"/>
  <c r="I331"/>
  <c r="H331"/>
  <c r="J335"/>
  <c r="I335"/>
  <c r="H335"/>
  <c r="J339"/>
  <c r="I339"/>
  <c r="H339"/>
  <c r="J343"/>
  <c r="I343"/>
  <c r="H343"/>
  <c r="J347"/>
  <c r="I347"/>
  <c r="H347"/>
  <c r="J351"/>
  <c r="I351"/>
  <c r="H351"/>
  <c r="J355"/>
  <c r="I355"/>
  <c r="H355"/>
  <c r="J359"/>
  <c r="I359"/>
  <c r="H359"/>
  <c r="J363"/>
  <c r="I363"/>
  <c r="H363"/>
  <c r="J367"/>
  <c r="I367"/>
  <c r="H367"/>
  <c r="J371"/>
  <c r="I371"/>
  <c r="H371"/>
  <c r="J375"/>
  <c r="I375"/>
  <c r="H375"/>
  <c r="J379"/>
  <c r="I379"/>
  <c r="H379"/>
  <c r="J383"/>
  <c r="I383"/>
  <c r="H383"/>
  <c r="J387"/>
  <c r="I387"/>
  <c r="H387"/>
  <c r="J391"/>
  <c r="I391"/>
  <c r="H391"/>
  <c r="J395"/>
  <c r="I395"/>
  <c r="H395"/>
  <c r="J399"/>
  <c r="I399"/>
  <c r="H399"/>
  <c r="J403"/>
  <c r="I403"/>
  <c r="H403"/>
  <c r="J407"/>
  <c r="I407"/>
  <c r="H407"/>
  <c r="J411"/>
  <c r="I411"/>
  <c r="H411"/>
  <c r="J415"/>
  <c r="I415"/>
  <c r="H415"/>
  <c r="J419"/>
  <c r="I419"/>
  <c r="H419"/>
  <c r="J423"/>
  <c r="I423"/>
  <c r="H423"/>
  <c r="J427"/>
  <c r="I427"/>
  <c r="H427"/>
  <c r="J431"/>
  <c r="I431"/>
  <c r="H431"/>
  <c r="J435"/>
  <c r="I435"/>
  <c r="H435"/>
  <c r="J439"/>
  <c r="I439"/>
  <c r="H439"/>
  <c r="J443"/>
  <c r="I443"/>
  <c r="H443"/>
  <c r="J447"/>
  <c r="I447"/>
  <c r="H447"/>
  <c r="J451"/>
  <c r="I451"/>
  <c r="H451"/>
  <c r="J455"/>
  <c r="I455"/>
  <c r="H455"/>
  <c r="J459"/>
  <c r="I459"/>
  <c r="H459"/>
  <c r="J463"/>
  <c r="I463"/>
  <c r="H463"/>
  <c r="J467"/>
  <c r="I467"/>
  <c r="H467"/>
  <c r="F467"/>
  <c r="J471"/>
  <c r="I471"/>
  <c r="H471"/>
  <c r="F471"/>
  <c r="J475"/>
  <c r="I475"/>
  <c r="H475"/>
  <c r="F475"/>
  <c r="J479"/>
  <c r="I479"/>
  <c r="H479"/>
  <c r="F479"/>
  <c r="J483"/>
  <c r="I483"/>
  <c r="H483"/>
  <c r="F483"/>
  <c r="J487"/>
  <c r="I487"/>
  <c r="H487"/>
  <c r="F487"/>
  <c r="J491"/>
  <c r="I491"/>
  <c r="H491"/>
  <c r="F491"/>
  <c r="J495"/>
  <c r="I495"/>
  <c r="H495"/>
  <c r="F495"/>
  <c r="J499"/>
  <c r="I499"/>
  <c r="H499"/>
  <c r="F499"/>
  <c r="J503"/>
  <c r="I503"/>
  <c r="H503"/>
  <c r="F503"/>
  <c r="J507"/>
  <c r="I507"/>
  <c r="H507"/>
  <c r="F507"/>
  <c r="J511"/>
  <c r="I511"/>
  <c r="H511"/>
  <c r="F511"/>
  <c r="J515"/>
  <c r="I515"/>
  <c r="H515"/>
  <c r="F515"/>
  <c r="J519"/>
  <c r="I519"/>
  <c r="H519"/>
  <c r="F519"/>
  <c r="J523"/>
  <c r="I523"/>
  <c r="H523"/>
  <c r="F523"/>
  <c r="J527"/>
  <c r="I527"/>
  <c r="H527"/>
  <c r="F527"/>
  <c r="J531"/>
  <c r="I531"/>
  <c r="H531"/>
  <c r="F531"/>
  <c r="J535"/>
  <c r="I535"/>
  <c r="H535"/>
  <c r="F535"/>
  <c r="J539"/>
  <c r="I539"/>
  <c r="H539"/>
  <c r="F539"/>
  <c r="J543"/>
  <c r="I543"/>
  <c r="H543"/>
  <c r="F543"/>
  <c r="I547"/>
  <c r="H547"/>
  <c r="J551"/>
  <c r="I551"/>
  <c r="H551"/>
  <c r="F551"/>
  <c r="J555"/>
  <c r="I555"/>
  <c r="H555"/>
  <c r="F555"/>
  <c r="J559"/>
  <c r="I559"/>
  <c r="H559"/>
  <c r="F559"/>
  <c r="J563"/>
  <c r="I563"/>
  <c r="H563"/>
  <c r="F563"/>
  <c r="J567"/>
  <c r="I567"/>
  <c r="H567"/>
  <c r="F567"/>
  <c r="J571"/>
  <c r="I571"/>
  <c r="H571"/>
  <c r="F571"/>
  <c r="J575"/>
  <c r="I575"/>
  <c r="H575"/>
  <c r="F575"/>
  <c r="J579"/>
  <c r="I579"/>
  <c r="H579"/>
  <c r="F579"/>
  <c r="J583"/>
  <c r="I583"/>
  <c r="H583"/>
  <c r="F583"/>
  <c r="J587"/>
  <c r="I587"/>
  <c r="H587"/>
  <c r="F587"/>
  <c r="J591"/>
  <c r="I591"/>
  <c r="H591"/>
  <c r="F591"/>
  <c r="J595"/>
  <c r="I595"/>
  <c r="H595"/>
  <c r="F595"/>
  <c r="J599"/>
  <c r="I599"/>
  <c r="H599"/>
  <c r="F599"/>
  <c r="J603"/>
  <c r="I603"/>
  <c r="H603"/>
  <c r="F603"/>
  <c r="J607"/>
  <c r="I607"/>
  <c r="H607"/>
  <c r="F607"/>
  <c r="J611"/>
  <c r="I611"/>
  <c r="H611"/>
  <c r="F611"/>
  <c r="J615"/>
  <c r="I615"/>
  <c r="H615"/>
  <c r="F615"/>
  <c r="J619"/>
  <c r="I619"/>
  <c r="H619"/>
  <c r="F619"/>
  <c r="J623"/>
  <c r="I623"/>
  <c r="H623"/>
  <c r="F623"/>
  <c r="J627"/>
  <c r="I627"/>
  <c r="H627"/>
  <c r="F627"/>
  <c r="J631"/>
  <c r="I631"/>
  <c r="H631"/>
  <c r="F631"/>
  <c r="J635"/>
  <c r="I635"/>
  <c r="H635"/>
  <c r="F635"/>
  <c r="J639"/>
  <c r="I639"/>
  <c r="H639"/>
  <c r="F639"/>
  <c r="J643"/>
  <c r="I643"/>
  <c r="H643"/>
  <c r="F643"/>
  <c r="J647"/>
  <c r="I647"/>
  <c r="H647"/>
  <c r="F647"/>
  <c r="J651"/>
  <c r="I651"/>
  <c r="H651"/>
  <c r="F651"/>
  <c r="J655"/>
  <c r="I655"/>
  <c r="H655"/>
  <c r="F655"/>
  <c r="J659"/>
  <c r="I659"/>
  <c r="H659"/>
  <c r="F659"/>
  <c r="J663"/>
  <c r="I663"/>
  <c r="H663"/>
  <c r="F663"/>
  <c r="I667"/>
  <c r="H667"/>
  <c r="I671"/>
  <c r="H671"/>
  <c r="D671" i="5" s="1"/>
  <c r="F671" s="1"/>
  <c r="J675" i="3"/>
  <c r="I675"/>
  <c r="H675"/>
  <c r="F675"/>
  <c r="J679"/>
  <c r="I679"/>
  <c r="H679"/>
  <c r="F679"/>
  <c r="J683"/>
  <c r="I683"/>
  <c r="H683"/>
  <c r="F683"/>
  <c r="J687"/>
  <c r="I687"/>
  <c r="H687"/>
  <c r="F687"/>
  <c r="I691"/>
  <c r="H691"/>
  <c r="J691" s="1"/>
  <c r="J695"/>
  <c r="I695"/>
  <c r="H695"/>
  <c r="F695"/>
  <c r="J699"/>
  <c r="I699"/>
  <c r="H699"/>
  <c r="F699"/>
  <c r="D103"/>
  <c r="D107"/>
  <c r="D111"/>
  <c r="D115"/>
  <c r="D119"/>
  <c r="D123"/>
  <c r="D127"/>
  <c r="D131"/>
  <c r="D135"/>
  <c r="D139"/>
  <c r="D143"/>
  <c r="D147"/>
  <c r="D151"/>
  <c r="D155"/>
  <c r="D159"/>
  <c r="D163"/>
  <c r="D167"/>
  <c r="D171"/>
  <c r="D175"/>
  <c r="F175" s="1"/>
  <c r="G175" i="5" s="1"/>
  <c r="D179" i="3"/>
  <c r="D183"/>
  <c r="D187"/>
  <c r="D191"/>
  <c r="D195"/>
  <c r="D199"/>
  <c r="D203"/>
  <c r="D207"/>
  <c r="D211"/>
  <c r="D215"/>
  <c r="D219"/>
  <c r="D223"/>
  <c r="D227"/>
  <c r="D231"/>
  <c r="D235"/>
  <c r="D239"/>
  <c r="D243"/>
  <c r="D247"/>
  <c r="D251"/>
  <c r="D255"/>
  <c r="D259"/>
  <c r="F259" s="1"/>
  <c r="G259" i="5" s="1"/>
  <c r="D263" i="3"/>
  <c r="F263" s="1"/>
  <c r="G263" i="5" s="1"/>
  <c r="D267" i="3"/>
  <c r="F267" s="1"/>
  <c r="G267" i="5" s="1"/>
  <c r="D271" i="3"/>
  <c r="D275"/>
  <c r="D279"/>
  <c r="D283"/>
  <c r="F283" s="1"/>
  <c r="G283" i="5" s="1"/>
  <c r="D287" i="3"/>
  <c r="D295"/>
  <c r="D299"/>
  <c r="D303"/>
  <c r="D307"/>
  <c r="D311"/>
  <c r="D315"/>
  <c r="D319"/>
  <c r="D323"/>
  <c r="D327"/>
  <c r="D331"/>
  <c r="D335"/>
  <c r="D339"/>
  <c r="D343"/>
  <c r="D347"/>
  <c r="D351"/>
  <c r="D355"/>
  <c r="D359"/>
  <c r="D363"/>
  <c r="D367"/>
  <c r="D371"/>
  <c r="D375"/>
  <c r="D379"/>
  <c r="D383"/>
  <c r="D387"/>
  <c r="D391"/>
  <c r="D395"/>
  <c r="D399"/>
  <c r="D403"/>
  <c r="D407"/>
  <c r="D411"/>
  <c r="D415"/>
  <c r="D419"/>
  <c r="D423"/>
  <c r="D427"/>
  <c r="D431"/>
  <c r="D435"/>
  <c r="D439"/>
  <c r="D443"/>
  <c r="D447"/>
  <c r="D451"/>
  <c r="D455"/>
  <c r="D459"/>
  <c r="D463"/>
  <c r="D467"/>
  <c r="D471"/>
  <c r="D475"/>
  <c r="D479"/>
  <c r="D483"/>
  <c r="D487"/>
  <c r="D491"/>
  <c r="D495"/>
  <c r="D499"/>
  <c r="D503"/>
  <c r="D507"/>
  <c r="D511"/>
  <c r="D515"/>
  <c r="D519"/>
  <c r="D523"/>
  <c r="D527"/>
  <c r="D531"/>
  <c r="D535"/>
  <c r="D539"/>
  <c r="D543"/>
  <c r="D547"/>
  <c r="F547" s="1"/>
  <c r="G547" i="5" s="1"/>
  <c r="D551" i="3"/>
  <c r="D555"/>
  <c r="D559"/>
  <c r="D563"/>
  <c r="D567"/>
  <c r="D571"/>
  <c r="D575"/>
  <c r="D579"/>
  <c r="D583"/>
  <c r="D587"/>
  <c r="D591"/>
  <c r="D595"/>
  <c r="D599"/>
  <c r="D603"/>
  <c r="D607"/>
  <c r="D611"/>
  <c r="D615"/>
  <c r="D619"/>
  <c r="D623"/>
  <c r="D627"/>
  <c r="D631"/>
  <c r="D635"/>
  <c r="D639"/>
  <c r="D643"/>
  <c r="D647"/>
  <c r="D651"/>
  <c r="D655"/>
  <c r="D659"/>
  <c r="D663"/>
  <c r="D667"/>
  <c r="F667" s="1"/>
  <c r="G667" i="5" s="1"/>
  <c r="D671" i="3"/>
  <c r="F671" s="1"/>
  <c r="G671" i="5" s="1"/>
  <c r="D675" i="3"/>
  <c r="D679"/>
  <c r="D683"/>
  <c r="D687"/>
  <c r="D691"/>
  <c r="F691" s="1"/>
  <c r="G691" i="5" s="1"/>
  <c r="D695" i="3"/>
  <c r="D699"/>
  <c r="F100"/>
  <c r="F104"/>
  <c r="F108"/>
  <c r="F112"/>
  <c r="F116"/>
  <c r="F120"/>
  <c r="F124"/>
  <c r="F128"/>
  <c r="F132"/>
  <c r="F136"/>
  <c r="F140"/>
  <c r="F144"/>
  <c r="F148"/>
  <c r="F152"/>
  <c r="F156"/>
  <c r="F160"/>
  <c r="F164"/>
  <c r="F168"/>
  <c r="F172"/>
  <c r="F180"/>
  <c r="F188"/>
  <c r="F192"/>
  <c r="F196"/>
  <c r="F200"/>
  <c r="F204"/>
  <c r="F208"/>
  <c r="F212"/>
  <c r="F216"/>
  <c r="F220"/>
  <c r="F224"/>
  <c r="F228"/>
  <c r="F236"/>
  <c r="F240"/>
  <c r="F244"/>
  <c r="F248"/>
  <c r="F252"/>
  <c r="F256"/>
  <c r="F260"/>
  <c r="F264"/>
  <c r="F268"/>
  <c r="F276"/>
  <c r="F280"/>
  <c r="F284"/>
  <c r="F296"/>
  <c r="F300"/>
  <c r="F304"/>
  <c r="F308"/>
  <c r="F316"/>
  <c r="F320"/>
  <c r="F324"/>
  <c r="F328"/>
  <c r="F332"/>
  <c r="F336"/>
  <c r="F340"/>
  <c r="F344"/>
  <c r="F348"/>
  <c r="F352"/>
  <c r="F356"/>
  <c r="F360"/>
  <c r="F364"/>
  <c r="F368"/>
  <c r="F372"/>
  <c r="F376"/>
  <c r="F380"/>
  <c r="F384"/>
  <c r="F388"/>
  <c r="F392"/>
  <c r="F396"/>
  <c r="F400"/>
  <c r="F404"/>
  <c r="F408"/>
  <c r="F412"/>
  <c r="F416"/>
  <c r="F420"/>
  <c r="F424"/>
  <c r="F428"/>
  <c r="F432"/>
  <c r="F436"/>
  <c r="F440"/>
  <c r="F444"/>
  <c r="F448"/>
  <c r="F452"/>
  <c r="F456"/>
  <c r="F460"/>
  <c r="F464"/>
  <c r="J102"/>
  <c r="H102"/>
  <c r="I102"/>
  <c r="J106"/>
  <c r="I106"/>
  <c r="H106"/>
  <c r="J110"/>
  <c r="H110"/>
  <c r="I110"/>
  <c r="J114"/>
  <c r="I114"/>
  <c r="H114"/>
  <c r="J118"/>
  <c r="H118"/>
  <c r="I118"/>
  <c r="J122"/>
  <c r="I122"/>
  <c r="H122"/>
  <c r="J126"/>
  <c r="H126"/>
  <c r="I126"/>
  <c r="J130"/>
  <c r="I130"/>
  <c r="H130"/>
  <c r="H134"/>
  <c r="I134"/>
  <c r="J138"/>
  <c r="I138"/>
  <c r="H138"/>
  <c r="J142"/>
  <c r="H142"/>
  <c r="I142"/>
  <c r="J146"/>
  <c r="I146"/>
  <c r="H146"/>
  <c r="J150"/>
  <c r="H150"/>
  <c r="I150"/>
  <c r="J154"/>
  <c r="I154"/>
  <c r="H154"/>
  <c r="J158"/>
  <c r="H158"/>
  <c r="I158"/>
  <c r="J162"/>
  <c r="I162"/>
  <c r="H162"/>
  <c r="J166"/>
  <c r="H166"/>
  <c r="I166"/>
  <c r="J170"/>
  <c r="I170"/>
  <c r="H170"/>
  <c r="J174"/>
  <c r="H174"/>
  <c r="I174"/>
  <c r="J178"/>
  <c r="I178"/>
  <c r="H178"/>
  <c r="J182"/>
  <c r="H182"/>
  <c r="I182"/>
  <c r="J186"/>
  <c r="I186"/>
  <c r="H186"/>
  <c r="J190"/>
  <c r="H190"/>
  <c r="I190"/>
  <c r="J194"/>
  <c r="I194"/>
  <c r="H194"/>
  <c r="J198"/>
  <c r="H198"/>
  <c r="I198"/>
  <c r="J202"/>
  <c r="I202"/>
  <c r="H202"/>
  <c r="J206"/>
  <c r="H206"/>
  <c r="I206"/>
  <c r="J210"/>
  <c r="I210"/>
  <c r="H210"/>
  <c r="J214"/>
  <c r="H214"/>
  <c r="I214"/>
  <c r="J218"/>
  <c r="I218"/>
  <c r="H218"/>
  <c r="J222"/>
  <c r="H222"/>
  <c r="I222"/>
  <c r="J226"/>
  <c r="I226"/>
  <c r="H226"/>
  <c r="J230"/>
  <c r="H230"/>
  <c r="I230"/>
  <c r="J234"/>
  <c r="I234"/>
  <c r="H234"/>
  <c r="J238"/>
  <c r="I238"/>
  <c r="H238"/>
  <c r="J242"/>
  <c r="I242"/>
  <c r="H242"/>
  <c r="J246"/>
  <c r="I246"/>
  <c r="H246"/>
  <c r="J250"/>
  <c r="I250"/>
  <c r="H250"/>
  <c r="J254"/>
  <c r="I254"/>
  <c r="H254"/>
  <c r="J258"/>
  <c r="I258"/>
  <c r="H258"/>
  <c r="J262"/>
  <c r="I262"/>
  <c r="H262"/>
  <c r="J266"/>
  <c r="I266"/>
  <c r="H266"/>
  <c r="J270"/>
  <c r="I270"/>
  <c r="H270"/>
  <c r="J274"/>
  <c r="I274"/>
  <c r="H274"/>
  <c r="J278"/>
  <c r="I278"/>
  <c r="H278"/>
  <c r="I282"/>
  <c r="J282"/>
  <c r="H282"/>
  <c r="J286"/>
  <c r="I286"/>
  <c r="H286"/>
  <c r="I290"/>
  <c r="J290"/>
  <c r="H290"/>
  <c r="J294"/>
  <c r="I294"/>
  <c r="H294"/>
  <c r="I298"/>
  <c r="J298"/>
  <c r="H298"/>
  <c r="J302"/>
  <c r="I302"/>
  <c r="H302"/>
  <c r="I306"/>
  <c r="J306"/>
  <c r="H306"/>
  <c r="J310"/>
  <c r="I310"/>
  <c r="H310"/>
  <c r="I314"/>
  <c r="J314"/>
  <c r="H314"/>
  <c r="I318"/>
  <c r="H318"/>
  <c r="I322"/>
  <c r="J322"/>
  <c r="H322"/>
  <c r="J326"/>
  <c r="I326"/>
  <c r="H326"/>
  <c r="I330"/>
  <c r="J330"/>
  <c r="H330"/>
  <c r="J334"/>
  <c r="I334"/>
  <c r="H334"/>
  <c r="J338"/>
  <c r="I338"/>
  <c r="H338"/>
  <c r="J342"/>
  <c r="I342"/>
  <c r="H342"/>
  <c r="J346"/>
  <c r="I346"/>
  <c r="H346"/>
  <c r="J350"/>
  <c r="I350"/>
  <c r="H350"/>
  <c r="J354"/>
  <c r="I354"/>
  <c r="H354"/>
  <c r="J358"/>
  <c r="I358"/>
  <c r="H358"/>
  <c r="J362"/>
  <c r="I362"/>
  <c r="H362"/>
  <c r="J366"/>
  <c r="I366"/>
  <c r="H366"/>
  <c r="J370"/>
  <c r="I370"/>
  <c r="H370"/>
  <c r="J374"/>
  <c r="I374"/>
  <c r="H374"/>
  <c r="J378"/>
  <c r="I378"/>
  <c r="H378"/>
  <c r="J382"/>
  <c r="I382"/>
  <c r="H382"/>
  <c r="J386"/>
  <c r="I386"/>
  <c r="H386"/>
  <c r="J390"/>
  <c r="I390"/>
  <c r="H390"/>
  <c r="J394"/>
  <c r="I394"/>
  <c r="H394"/>
  <c r="J398"/>
  <c r="I398"/>
  <c r="H398"/>
  <c r="J402"/>
  <c r="I402"/>
  <c r="H402"/>
  <c r="J406"/>
  <c r="I406"/>
  <c r="H406"/>
  <c r="J410"/>
  <c r="I410"/>
  <c r="H410"/>
  <c r="J414"/>
  <c r="I414"/>
  <c r="H414"/>
  <c r="J418"/>
  <c r="I418"/>
  <c r="H418"/>
  <c r="J422"/>
  <c r="I422"/>
  <c r="H422"/>
  <c r="J426"/>
  <c r="I426"/>
  <c r="H426"/>
  <c r="J430"/>
  <c r="I430"/>
  <c r="H430"/>
  <c r="J434"/>
  <c r="I434"/>
  <c r="H434"/>
  <c r="J438"/>
  <c r="I438"/>
  <c r="H438"/>
  <c r="J442"/>
  <c r="I442"/>
  <c r="H442"/>
  <c r="J446"/>
  <c r="I446"/>
  <c r="H446"/>
  <c r="J450"/>
  <c r="I450"/>
  <c r="H450"/>
  <c r="J454"/>
  <c r="I454"/>
  <c r="H454"/>
  <c r="J458"/>
  <c r="I458"/>
  <c r="H458"/>
  <c r="J462"/>
  <c r="I462"/>
  <c r="H462"/>
  <c r="J466"/>
  <c r="I466"/>
  <c r="H466"/>
  <c r="J470"/>
  <c r="I470"/>
  <c r="H470"/>
  <c r="J474"/>
  <c r="I474"/>
  <c r="H474"/>
  <c r="J478"/>
  <c r="I478"/>
  <c r="H478"/>
  <c r="J482"/>
  <c r="I482"/>
  <c r="H482"/>
  <c r="J486"/>
  <c r="I486"/>
  <c r="H486"/>
  <c r="J490"/>
  <c r="I490"/>
  <c r="H490"/>
  <c r="J494"/>
  <c r="I494"/>
  <c r="H494"/>
  <c r="J498"/>
  <c r="I498"/>
  <c r="H498"/>
  <c r="J502"/>
  <c r="I502"/>
  <c r="H502"/>
  <c r="J506"/>
  <c r="I506"/>
  <c r="H506"/>
  <c r="J510"/>
  <c r="I510"/>
  <c r="H510"/>
  <c r="J514"/>
  <c r="I514"/>
  <c r="H514"/>
  <c r="J518"/>
  <c r="I518"/>
  <c r="H518"/>
  <c r="J522"/>
  <c r="I522"/>
  <c r="H522"/>
  <c r="J526"/>
  <c r="I526"/>
  <c r="H526"/>
  <c r="J530"/>
  <c r="I530"/>
  <c r="H530"/>
  <c r="J534"/>
  <c r="I534"/>
  <c r="H534"/>
  <c r="J538"/>
  <c r="I538"/>
  <c r="H538"/>
  <c r="J542"/>
  <c r="I542"/>
  <c r="H542"/>
  <c r="J546"/>
  <c r="I546"/>
  <c r="H546"/>
  <c r="J550"/>
  <c r="I550"/>
  <c r="H550"/>
  <c r="J554"/>
  <c r="I554"/>
  <c r="H554"/>
  <c r="J558"/>
  <c r="I558"/>
  <c r="H558"/>
  <c r="J562"/>
  <c r="I562"/>
  <c r="H562"/>
  <c r="J566"/>
  <c r="I566"/>
  <c r="H566"/>
  <c r="J570"/>
  <c r="I570"/>
  <c r="H570"/>
  <c r="J574"/>
  <c r="I574"/>
  <c r="H574"/>
  <c r="J578"/>
  <c r="I578"/>
  <c r="H578"/>
  <c r="J582"/>
  <c r="I582"/>
  <c r="H582"/>
  <c r="J586"/>
  <c r="I586"/>
  <c r="H586"/>
  <c r="J590"/>
  <c r="I590"/>
  <c r="H590"/>
  <c r="J594"/>
  <c r="I594"/>
  <c r="H594"/>
  <c r="J598"/>
  <c r="I598"/>
  <c r="H598"/>
  <c r="I602"/>
  <c r="H602"/>
  <c r="J606"/>
  <c r="I606"/>
  <c r="H606"/>
  <c r="J610"/>
  <c r="I610"/>
  <c r="H610"/>
  <c r="J614"/>
  <c r="I614"/>
  <c r="H614"/>
  <c r="J618"/>
  <c r="I618"/>
  <c r="H618"/>
  <c r="J622"/>
  <c r="I622"/>
  <c r="H622"/>
  <c r="J626"/>
  <c r="I626"/>
  <c r="H626"/>
  <c r="J630"/>
  <c r="I630"/>
  <c r="H630"/>
  <c r="J634"/>
  <c r="I634"/>
  <c r="H634"/>
  <c r="J638"/>
  <c r="I638"/>
  <c r="H638"/>
  <c r="J642"/>
  <c r="I642"/>
  <c r="H642"/>
  <c r="J646"/>
  <c r="I646"/>
  <c r="H646"/>
  <c r="J650"/>
  <c r="I650"/>
  <c r="H650"/>
  <c r="J654"/>
  <c r="I654"/>
  <c r="H654"/>
  <c r="J658"/>
  <c r="I658"/>
  <c r="H658"/>
  <c r="J662"/>
  <c r="I662"/>
  <c r="H662"/>
  <c r="I666"/>
  <c r="H666"/>
  <c r="J670"/>
  <c r="I670"/>
  <c r="H670"/>
  <c r="J674"/>
  <c r="I674"/>
  <c r="H674"/>
  <c r="J678"/>
  <c r="I678"/>
  <c r="H678"/>
  <c r="J682"/>
  <c r="I682"/>
  <c r="H682"/>
  <c r="J686"/>
  <c r="I686"/>
  <c r="H686"/>
  <c r="J690"/>
  <c r="I690"/>
  <c r="H690"/>
  <c r="I694"/>
  <c r="H694"/>
  <c r="J698"/>
  <c r="I698"/>
  <c r="H698"/>
  <c r="D102"/>
  <c r="D106"/>
  <c r="D110"/>
  <c r="D114"/>
  <c r="D118"/>
  <c r="D122"/>
  <c r="D126"/>
  <c r="D130"/>
  <c r="D134"/>
  <c r="F134" s="1"/>
  <c r="G134" i="5" s="1"/>
  <c r="D138" i="3"/>
  <c r="D142"/>
  <c r="D146"/>
  <c r="D150"/>
  <c r="D154"/>
  <c r="D158"/>
  <c r="D162"/>
  <c r="D166"/>
  <c r="D170"/>
  <c r="D174"/>
  <c r="D178"/>
  <c r="D182"/>
  <c r="D186"/>
  <c r="D190"/>
  <c r="D194"/>
  <c r="D198"/>
  <c r="D202"/>
  <c r="D206"/>
  <c r="D210"/>
  <c r="D214"/>
  <c r="D218"/>
  <c r="D222"/>
  <c r="D226"/>
  <c r="D230"/>
  <c r="D234"/>
  <c r="D238"/>
  <c r="D242"/>
  <c r="D246"/>
  <c r="D250"/>
  <c r="D254"/>
  <c r="D258"/>
  <c r="D262"/>
  <c r="D266"/>
  <c r="D270"/>
  <c r="D274"/>
  <c r="D278"/>
  <c r="D282"/>
  <c r="D286"/>
  <c r="D290"/>
  <c r="D294"/>
  <c r="D298"/>
  <c r="D302"/>
  <c r="D306"/>
  <c r="D310"/>
  <c r="D314"/>
  <c r="D318"/>
  <c r="F318" s="1"/>
  <c r="G318" i="5" s="1"/>
  <c r="D322" i="3"/>
  <c r="D326"/>
  <c r="D330"/>
  <c r="D334"/>
  <c r="D338"/>
  <c r="D342"/>
  <c r="D346"/>
  <c r="D350"/>
  <c r="D354"/>
  <c r="D358"/>
  <c r="D362"/>
  <c r="D366"/>
  <c r="D370"/>
  <c r="D374"/>
  <c r="D378"/>
  <c r="D382"/>
  <c r="D386"/>
  <c r="D390"/>
  <c r="D394"/>
  <c r="D398"/>
  <c r="D402"/>
  <c r="D406"/>
  <c r="D410"/>
  <c r="D414"/>
  <c r="D418"/>
  <c r="D422"/>
  <c r="D426"/>
  <c r="D430"/>
  <c r="D434"/>
  <c r="D438"/>
  <c r="D442"/>
  <c r="D446"/>
  <c r="D450"/>
  <c r="D454"/>
  <c r="D458"/>
  <c r="D462"/>
  <c r="D466"/>
  <c r="D470"/>
  <c r="D474"/>
  <c r="D478"/>
  <c r="D482"/>
  <c r="D486"/>
  <c r="D490"/>
  <c r="D494"/>
  <c r="D498"/>
  <c r="D502"/>
  <c r="D506"/>
  <c r="D510"/>
  <c r="D514"/>
  <c r="D518"/>
  <c r="D522"/>
  <c r="D526"/>
  <c r="D530"/>
  <c r="D534"/>
  <c r="D538"/>
  <c r="D542"/>
  <c r="D546"/>
  <c r="D550"/>
  <c r="D554"/>
  <c r="D558"/>
  <c r="D562"/>
  <c r="D566"/>
  <c r="D570"/>
  <c r="D574"/>
  <c r="D578"/>
  <c r="D582"/>
  <c r="D586"/>
  <c r="D590"/>
  <c r="D594"/>
  <c r="D598"/>
  <c r="D602"/>
  <c r="D606"/>
  <c r="D610"/>
  <c r="D614"/>
  <c r="D618"/>
  <c r="D622"/>
  <c r="D626"/>
  <c r="D630"/>
  <c r="D634"/>
  <c r="D638"/>
  <c r="D642"/>
  <c r="D646"/>
  <c r="D650"/>
  <c r="D654"/>
  <c r="D658"/>
  <c r="D662"/>
  <c r="D666"/>
  <c r="D670"/>
  <c r="D674"/>
  <c r="D678"/>
  <c r="D682"/>
  <c r="D686"/>
  <c r="D690"/>
  <c r="D694"/>
  <c r="F694" s="1"/>
  <c r="G694" i="5" s="1"/>
  <c r="D698" i="3"/>
  <c r="F103"/>
  <c r="F107"/>
  <c r="F111"/>
  <c r="F115"/>
  <c r="F119"/>
  <c r="F123"/>
  <c r="F127"/>
  <c r="F131"/>
  <c r="F135"/>
  <c r="F139"/>
  <c r="F143"/>
  <c r="F147"/>
  <c r="F151"/>
  <c r="F155"/>
  <c r="F159"/>
  <c r="F163"/>
  <c r="F167"/>
  <c r="F171"/>
  <c r="F179"/>
  <c r="F183"/>
  <c r="F187"/>
  <c r="F191"/>
  <c r="F195"/>
  <c r="F199"/>
  <c r="F203"/>
  <c r="F207"/>
  <c r="F211"/>
  <c r="F215"/>
  <c r="F219"/>
  <c r="F223"/>
  <c r="F227"/>
  <c r="F231"/>
  <c r="F235"/>
  <c r="F239"/>
  <c r="F243"/>
  <c r="F247"/>
  <c r="F251"/>
  <c r="F255"/>
  <c r="F271"/>
  <c r="F275"/>
  <c r="F279"/>
  <c r="F287"/>
  <c r="F295"/>
  <c r="F299"/>
  <c r="F303"/>
  <c r="F307"/>
  <c r="F311"/>
  <c r="F315"/>
  <c r="F319"/>
  <c r="F323"/>
  <c r="F327"/>
  <c r="F331"/>
  <c r="F335"/>
  <c r="F339"/>
  <c r="F343"/>
  <c r="F347"/>
  <c r="F351"/>
  <c r="F355"/>
  <c r="F359"/>
  <c r="F363"/>
  <c r="F367"/>
  <c r="F371"/>
  <c r="F375"/>
  <c r="F379"/>
  <c r="F383"/>
  <c r="F387"/>
  <c r="F391"/>
  <c r="F395"/>
  <c r="F399"/>
  <c r="F403"/>
  <c r="F407"/>
  <c r="F411"/>
  <c r="F415"/>
  <c r="F419"/>
  <c r="F423"/>
  <c r="F427"/>
  <c r="F431"/>
  <c r="F435"/>
  <c r="F439"/>
  <c r="F443"/>
  <c r="F447"/>
  <c r="F451"/>
  <c r="F455"/>
  <c r="F459"/>
  <c r="F463"/>
  <c r="J101"/>
  <c r="I101"/>
  <c r="H101"/>
  <c r="J105"/>
  <c r="I105"/>
  <c r="H105"/>
  <c r="J109"/>
  <c r="I109"/>
  <c r="H109"/>
  <c r="J113"/>
  <c r="I113"/>
  <c r="H113"/>
  <c r="J117"/>
  <c r="I117"/>
  <c r="H117"/>
  <c r="J121"/>
  <c r="I121"/>
  <c r="H121"/>
  <c r="J125"/>
  <c r="I125"/>
  <c r="H125"/>
  <c r="J129"/>
  <c r="I129"/>
  <c r="H129"/>
  <c r="J133"/>
  <c r="I133"/>
  <c r="H133"/>
  <c r="J137"/>
  <c r="I137"/>
  <c r="H137"/>
  <c r="J141"/>
  <c r="I141"/>
  <c r="H141"/>
  <c r="J145"/>
  <c r="I145"/>
  <c r="H145"/>
  <c r="J149"/>
  <c r="I149"/>
  <c r="H149"/>
  <c r="J153"/>
  <c r="I153"/>
  <c r="H153"/>
  <c r="J157"/>
  <c r="I157"/>
  <c r="H157"/>
  <c r="J161"/>
  <c r="I161"/>
  <c r="H161"/>
  <c r="J165"/>
  <c r="I165"/>
  <c r="H165"/>
  <c r="J169"/>
  <c r="I169"/>
  <c r="H169"/>
  <c r="J173"/>
  <c r="I173"/>
  <c r="H173"/>
  <c r="J177"/>
  <c r="I177"/>
  <c r="H177"/>
  <c r="J181"/>
  <c r="I181"/>
  <c r="H181"/>
  <c r="J185"/>
  <c r="I185"/>
  <c r="H185"/>
  <c r="J189"/>
  <c r="I189"/>
  <c r="H189"/>
  <c r="J193"/>
  <c r="I193"/>
  <c r="H193"/>
  <c r="J197"/>
  <c r="I197"/>
  <c r="H197"/>
  <c r="J201"/>
  <c r="I201"/>
  <c r="H201"/>
  <c r="J205"/>
  <c r="I205"/>
  <c r="H205"/>
  <c r="I209"/>
  <c r="H209"/>
  <c r="D209" i="5" s="1"/>
  <c r="F209" s="1"/>
  <c r="J213" i="3"/>
  <c r="I213"/>
  <c r="H213"/>
  <c r="J217"/>
  <c r="I217"/>
  <c r="H217"/>
  <c r="J221"/>
  <c r="I221"/>
  <c r="H221"/>
  <c r="J225"/>
  <c r="I225"/>
  <c r="H225"/>
  <c r="J229"/>
  <c r="I229"/>
  <c r="H229"/>
  <c r="J233"/>
  <c r="I233"/>
  <c r="H233"/>
  <c r="J237"/>
  <c r="I237"/>
  <c r="H237"/>
  <c r="J241"/>
  <c r="I241"/>
  <c r="H241"/>
  <c r="J245"/>
  <c r="I245"/>
  <c r="H245"/>
  <c r="J249"/>
  <c r="I249"/>
  <c r="H249"/>
  <c r="J253"/>
  <c r="I253"/>
  <c r="H253"/>
  <c r="J257"/>
  <c r="I257"/>
  <c r="H257"/>
  <c r="J261"/>
  <c r="I261"/>
  <c r="H261"/>
  <c r="J265"/>
  <c r="I265"/>
  <c r="H265"/>
  <c r="J269"/>
  <c r="I269"/>
  <c r="H269"/>
  <c r="J273"/>
  <c r="I273"/>
  <c r="H273"/>
  <c r="J277"/>
  <c r="I277"/>
  <c r="H277"/>
  <c r="J281"/>
  <c r="I281"/>
  <c r="H281"/>
  <c r="J285"/>
  <c r="I285"/>
  <c r="H285"/>
  <c r="I288"/>
  <c r="H288"/>
  <c r="D289" i="5" s="1"/>
  <c r="F289" s="1"/>
  <c r="J293" i="3"/>
  <c r="I293"/>
  <c r="H293"/>
  <c r="J297"/>
  <c r="I297"/>
  <c r="H297"/>
  <c r="J301"/>
  <c r="I301"/>
  <c r="H301"/>
  <c r="J305"/>
  <c r="I305"/>
  <c r="H305"/>
  <c r="J309"/>
  <c r="I309"/>
  <c r="H309"/>
  <c r="J313"/>
  <c r="I313"/>
  <c r="H313"/>
  <c r="J317"/>
  <c r="I317"/>
  <c r="H317"/>
  <c r="J321"/>
  <c r="I321"/>
  <c r="H321"/>
  <c r="J325"/>
  <c r="I325"/>
  <c r="H325"/>
  <c r="J329"/>
  <c r="I329"/>
  <c r="H329"/>
  <c r="J333"/>
  <c r="I333"/>
  <c r="H333"/>
  <c r="J337"/>
  <c r="I337"/>
  <c r="H337"/>
  <c r="J341"/>
  <c r="I341"/>
  <c r="H341"/>
  <c r="J345"/>
  <c r="I345"/>
  <c r="H345"/>
  <c r="J349"/>
  <c r="I349"/>
  <c r="H349"/>
  <c r="J353"/>
  <c r="I353"/>
  <c r="H353"/>
  <c r="J357"/>
  <c r="I357"/>
  <c r="H357"/>
  <c r="J361"/>
  <c r="I361"/>
  <c r="H361"/>
  <c r="J365"/>
  <c r="I365"/>
  <c r="H365"/>
  <c r="J369"/>
  <c r="I369"/>
  <c r="H369"/>
  <c r="J373"/>
  <c r="I373"/>
  <c r="H373"/>
  <c r="J377"/>
  <c r="I377"/>
  <c r="H377"/>
  <c r="J381"/>
  <c r="I381"/>
  <c r="H381"/>
  <c r="J385"/>
  <c r="I385"/>
  <c r="H385"/>
  <c r="J389"/>
  <c r="I389"/>
  <c r="H389"/>
  <c r="J393"/>
  <c r="I393"/>
  <c r="H393"/>
  <c r="J397"/>
  <c r="I397"/>
  <c r="H397"/>
  <c r="J401"/>
  <c r="I401"/>
  <c r="H401"/>
  <c r="J405"/>
  <c r="I405"/>
  <c r="H405"/>
  <c r="J409"/>
  <c r="I409"/>
  <c r="H409"/>
  <c r="J413"/>
  <c r="I413"/>
  <c r="H413"/>
  <c r="J417"/>
  <c r="I417"/>
  <c r="H417"/>
  <c r="J421"/>
  <c r="I421"/>
  <c r="H421"/>
  <c r="J425"/>
  <c r="I425"/>
  <c r="H425"/>
  <c r="J429"/>
  <c r="I429"/>
  <c r="H429"/>
  <c r="J433"/>
  <c r="I433"/>
  <c r="H433"/>
  <c r="J437"/>
  <c r="I437"/>
  <c r="H437"/>
  <c r="J441"/>
  <c r="I441"/>
  <c r="H441"/>
  <c r="J445"/>
  <c r="I445"/>
  <c r="H445"/>
  <c r="J449"/>
  <c r="I449"/>
  <c r="H449"/>
  <c r="J453"/>
  <c r="I453"/>
  <c r="H453"/>
  <c r="J457"/>
  <c r="I457"/>
  <c r="H457"/>
  <c r="J461"/>
  <c r="I461"/>
  <c r="H461"/>
  <c r="J465"/>
  <c r="I465"/>
  <c r="H465"/>
  <c r="J469"/>
  <c r="I469"/>
  <c r="H469"/>
  <c r="J473"/>
  <c r="I473"/>
  <c r="H473"/>
  <c r="J477"/>
  <c r="I477"/>
  <c r="H477"/>
  <c r="J481"/>
  <c r="I481"/>
  <c r="H481"/>
  <c r="J485"/>
  <c r="H485"/>
  <c r="I485"/>
  <c r="J489"/>
  <c r="H489"/>
  <c r="I489"/>
  <c r="J493"/>
  <c r="H493"/>
  <c r="I493"/>
  <c r="J497"/>
  <c r="H497"/>
  <c r="I497"/>
  <c r="J501"/>
  <c r="H501"/>
  <c r="I501"/>
  <c r="J505"/>
  <c r="H505"/>
  <c r="I505"/>
  <c r="J509"/>
  <c r="H509"/>
  <c r="I509"/>
  <c r="J513"/>
  <c r="H513"/>
  <c r="I513"/>
  <c r="J517"/>
  <c r="H517"/>
  <c r="I517"/>
  <c r="J521"/>
  <c r="H521"/>
  <c r="I521"/>
  <c r="J525"/>
  <c r="H525"/>
  <c r="I525"/>
  <c r="J529"/>
  <c r="H529"/>
  <c r="I529"/>
  <c r="J533"/>
  <c r="H533"/>
  <c r="I533"/>
  <c r="J537"/>
  <c r="H537"/>
  <c r="I537"/>
  <c r="J541"/>
  <c r="H541"/>
  <c r="I541"/>
  <c r="J545"/>
  <c r="H545"/>
  <c r="I545"/>
  <c r="J549"/>
  <c r="H549"/>
  <c r="I549"/>
  <c r="J553"/>
  <c r="H553"/>
  <c r="I553"/>
  <c r="H557"/>
  <c r="D557" i="5" s="1"/>
  <c r="F557" s="1"/>
  <c r="I557" i="3"/>
  <c r="J561"/>
  <c r="H561"/>
  <c r="I561"/>
  <c r="J565"/>
  <c r="H565"/>
  <c r="I565"/>
  <c r="J569"/>
  <c r="H569"/>
  <c r="I569"/>
  <c r="J573"/>
  <c r="H573"/>
  <c r="I573"/>
  <c r="J577"/>
  <c r="H577"/>
  <c r="I577"/>
  <c r="J581"/>
  <c r="H581"/>
  <c r="I581"/>
  <c r="J585"/>
  <c r="H585"/>
  <c r="I585"/>
  <c r="J589"/>
  <c r="H589"/>
  <c r="I589"/>
  <c r="J593"/>
  <c r="H593"/>
  <c r="I593"/>
  <c r="H597"/>
  <c r="I597"/>
  <c r="H601"/>
  <c r="I601"/>
  <c r="J605"/>
  <c r="H605"/>
  <c r="I605"/>
  <c r="J609"/>
  <c r="H609"/>
  <c r="I609"/>
  <c r="J613"/>
  <c r="H613"/>
  <c r="I613"/>
  <c r="J617"/>
  <c r="H617"/>
  <c r="I617"/>
  <c r="J621"/>
  <c r="H621"/>
  <c r="I621"/>
  <c r="J625"/>
  <c r="H625"/>
  <c r="I625"/>
  <c r="J629"/>
  <c r="H629"/>
  <c r="I629"/>
  <c r="J633"/>
  <c r="H633"/>
  <c r="I633"/>
  <c r="J637"/>
  <c r="H637"/>
  <c r="I637"/>
  <c r="J641"/>
  <c r="H641"/>
  <c r="I641"/>
  <c r="J645"/>
  <c r="H645"/>
  <c r="I645"/>
  <c r="J649"/>
  <c r="H649"/>
  <c r="I649"/>
  <c r="J653"/>
  <c r="H653"/>
  <c r="I653"/>
  <c r="J657"/>
  <c r="H657"/>
  <c r="I657"/>
  <c r="J661"/>
  <c r="H661"/>
  <c r="I661"/>
  <c r="J665"/>
  <c r="H665"/>
  <c r="I665"/>
  <c r="J669"/>
  <c r="H669"/>
  <c r="I669"/>
  <c r="J673"/>
  <c r="H673"/>
  <c r="I673"/>
  <c r="H677"/>
  <c r="I677"/>
  <c r="J681"/>
  <c r="H681"/>
  <c r="I681"/>
  <c r="J685"/>
  <c r="H685"/>
  <c r="I685"/>
  <c r="J689"/>
  <c r="H689"/>
  <c r="I689"/>
  <c r="J693"/>
  <c r="H693"/>
  <c r="I693"/>
  <c r="J697"/>
  <c r="H697"/>
  <c r="I697"/>
  <c r="D2"/>
  <c r="J15"/>
  <c r="D101"/>
  <c r="D105"/>
  <c r="D109"/>
  <c r="D113"/>
  <c r="D117"/>
  <c r="D121"/>
  <c r="D125"/>
  <c r="D129"/>
  <c r="D133"/>
  <c r="D137"/>
  <c r="D141"/>
  <c r="D145"/>
  <c r="D149"/>
  <c r="D153"/>
  <c r="D157"/>
  <c r="D161"/>
  <c r="D165"/>
  <c r="D169"/>
  <c r="D173"/>
  <c r="D177"/>
  <c r="D181"/>
  <c r="D185"/>
  <c r="D189"/>
  <c r="D193"/>
  <c r="D197"/>
  <c r="D201"/>
  <c r="D205"/>
  <c r="D209"/>
  <c r="F209" s="1"/>
  <c r="G209" i="5" s="1"/>
  <c r="D213" i="3"/>
  <c r="D217"/>
  <c r="D221"/>
  <c r="D225"/>
  <c r="D229"/>
  <c r="D233"/>
  <c r="D237"/>
  <c r="D241"/>
  <c r="D245"/>
  <c r="D249"/>
  <c r="D253"/>
  <c r="D257"/>
  <c r="D261"/>
  <c r="D265"/>
  <c r="D269"/>
  <c r="D273"/>
  <c r="D277"/>
  <c r="D281"/>
  <c r="D285"/>
  <c r="D288"/>
  <c r="F288" s="1"/>
  <c r="G289" i="5" s="1"/>
  <c r="D293" i="3"/>
  <c r="D297"/>
  <c r="D301"/>
  <c r="D305"/>
  <c r="D309"/>
  <c r="D313"/>
  <c r="D317"/>
  <c r="D321"/>
  <c r="D325"/>
  <c r="D329"/>
  <c r="D333"/>
  <c r="D337"/>
  <c r="D341"/>
  <c r="D345"/>
  <c r="D349"/>
  <c r="D353"/>
  <c r="D357"/>
  <c r="D361"/>
  <c r="D365"/>
  <c r="D369"/>
  <c r="D373"/>
  <c r="D377"/>
  <c r="D381"/>
  <c r="D385"/>
  <c r="D389"/>
  <c r="D393"/>
  <c r="D397"/>
  <c r="D401"/>
  <c r="D405"/>
  <c r="D409"/>
  <c r="D413"/>
  <c r="D417"/>
  <c r="D421"/>
  <c r="D425"/>
  <c r="D429"/>
  <c r="D433"/>
  <c r="D437"/>
  <c r="D441"/>
  <c r="D445"/>
  <c r="D449"/>
  <c r="D453"/>
  <c r="D457"/>
  <c r="D461"/>
  <c r="D465"/>
  <c r="D469"/>
  <c r="D473"/>
  <c r="D477"/>
  <c r="D481"/>
  <c r="D485"/>
  <c r="D489"/>
  <c r="D493"/>
  <c r="D497"/>
  <c r="D501"/>
  <c r="D505"/>
  <c r="D509"/>
  <c r="D513"/>
  <c r="D517"/>
  <c r="D521"/>
  <c r="D525"/>
  <c r="D529"/>
  <c r="D533"/>
  <c r="D537"/>
  <c r="D541"/>
  <c r="D545"/>
  <c r="D549"/>
  <c r="D553"/>
  <c r="D557"/>
  <c r="F557" s="1"/>
  <c r="G557" i="5" s="1"/>
  <c r="D561" i="3"/>
  <c r="D565"/>
  <c r="D569"/>
  <c r="D573"/>
  <c r="D577"/>
  <c r="D581"/>
  <c r="D585"/>
  <c r="D589"/>
  <c r="D593"/>
  <c r="D597"/>
  <c r="F597" s="1"/>
  <c r="G597" i="5" s="1"/>
  <c r="D601" i="3"/>
  <c r="F601" s="1"/>
  <c r="D605"/>
  <c r="D609"/>
  <c r="D613"/>
  <c r="D617"/>
  <c r="D621"/>
  <c r="D625"/>
  <c r="D629"/>
  <c r="D633"/>
  <c r="D637"/>
  <c r="D641"/>
  <c r="D645"/>
  <c r="D649"/>
  <c r="D653"/>
  <c r="D657"/>
  <c r="D661"/>
  <c r="D665"/>
  <c r="D669"/>
  <c r="D673"/>
  <c r="D677"/>
  <c r="F677" s="1"/>
  <c r="G677" i="5" s="1"/>
  <c r="D681" i="3"/>
  <c r="D685"/>
  <c r="D689"/>
  <c r="D693"/>
  <c r="D697"/>
  <c r="F102"/>
  <c r="F106"/>
  <c r="F110"/>
  <c r="F114"/>
  <c r="F118"/>
  <c r="F122"/>
  <c r="F126"/>
  <c r="F130"/>
  <c r="F138"/>
  <c r="F142"/>
  <c r="F146"/>
  <c r="F150"/>
  <c r="F154"/>
  <c r="F158"/>
  <c r="F162"/>
  <c r="F166"/>
  <c r="F170"/>
  <c r="F174"/>
  <c r="F178"/>
  <c r="F182"/>
  <c r="F186"/>
  <c r="F190"/>
  <c r="F194"/>
  <c r="F198"/>
  <c r="F202"/>
  <c r="F206"/>
  <c r="F210"/>
  <c r="F214"/>
  <c r="F218"/>
  <c r="F222"/>
  <c r="F226"/>
  <c r="F230"/>
  <c r="F234"/>
  <c r="F238"/>
  <c r="F242"/>
  <c r="F246"/>
  <c r="F250"/>
  <c r="F254"/>
  <c r="F258"/>
  <c r="F262"/>
  <c r="F266"/>
  <c r="F270"/>
  <c r="F274"/>
  <c r="F278"/>
  <c r="F282"/>
  <c r="F286"/>
  <c r="F290"/>
  <c r="F294"/>
  <c r="F298"/>
  <c r="F302"/>
  <c r="F306"/>
  <c r="F310"/>
  <c r="F314"/>
  <c r="F322"/>
  <c r="F326"/>
  <c r="F330"/>
  <c r="F334"/>
  <c r="F338"/>
  <c r="F342"/>
  <c r="F346"/>
  <c r="F350"/>
  <c r="F354"/>
  <c r="F358"/>
  <c r="F362"/>
  <c r="F366"/>
  <c r="F370"/>
  <c r="F374"/>
  <c r="F378"/>
  <c r="F382"/>
  <c r="F386"/>
  <c r="F390"/>
  <c r="F394"/>
  <c r="F398"/>
  <c r="F402"/>
  <c r="F406"/>
  <c r="F410"/>
  <c r="F414"/>
  <c r="F418"/>
  <c r="F422"/>
  <c r="F426"/>
  <c r="F430"/>
  <c r="F434"/>
  <c r="F438"/>
  <c r="F442"/>
  <c r="F446"/>
  <c r="F450"/>
  <c r="F454"/>
  <c r="F458"/>
  <c r="F462"/>
  <c r="F466"/>
  <c r="F474"/>
  <c r="F482"/>
  <c r="F490"/>
  <c r="F498"/>
  <c r="F506"/>
  <c r="F514"/>
  <c r="F522"/>
  <c r="F530"/>
  <c r="F538"/>
  <c r="F546"/>
  <c r="F554"/>
  <c r="F562"/>
  <c r="F570"/>
  <c r="F578"/>
  <c r="F586"/>
  <c r="F594"/>
  <c r="F602"/>
  <c r="G602" i="5" s="1"/>
  <c r="F610" i="3"/>
  <c r="F618"/>
  <c r="F626"/>
  <c r="F634"/>
  <c r="F642"/>
  <c r="F650"/>
  <c r="F658"/>
  <c r="F666"/>
  <c r="G666" i="5" s="1"/>
  <c r="F674" i="3"/>
  <c r="F682"/>
  <c r="F690"/>
  <c r="F698"/>
  <c r="A12" i="9"/>
  <c r="I2" i="3"/>
  <c r="A8" i="9"/>
  <c r="F12" i="3"/>
  <c r="H2"/>
  <c r="F76"/>
  <c r="D4"/>
  <c r="F4" s="1"/>
  <c r="G4" i="5" s="1"/>
  <c r="I3" i="3"/>
  <c r="D5"/>
  <c r="I4"/>
  <c r="J4" s="1"/>
  <c r="H5"/>
  <c r="D3"/>
  <c r="F3" s="1"/>
  <c r="G3" i="5" s="1"/>
  <c r="I6" i="3"/>
  <c r="H3"/>
  <c r="F5"/>
  <c r="A3" i="9"/>
  <c r="A4" s="1"/>
  <c r="D6" i="3"/>
  <c r="H6"/>
  <c r="B11" i="10"/>
  <c r="H11" s="1"/>
  <c r="B12"/>
  <c r="H12" s="1"/>
  <c r="C10" i="9"/>
  <c r="C14"/>
  <c r="C18"/>
  <c r="C22"/>
  <c r="C26"/>
  <c r="C30"/>
  <c r="C34"/>
  <c r="C38"/>
  <c r="C42"/>
  <c r="C46"/>
  <c r="C50"/>
  <c r="C54"/>
  <c r="C58"/>
  <c r="C62"/>
  <c r="C66"/>
  <c r="C70"/>
  <c r="C74"/>
  <c r="C78"/>
  <c r="C82"/>
  <c r="C86"/>
  <c r="C90"/>
  <c r="C94"/>
  <c r="C98"/>
  <c r="C9"/>
  <c r="C13"/>
  <c r="C17"/>
  <c r="C21"/>
  <c r="C25"/>
  <c r="C29"/>
  <c r="C33"/>
  <c r="C37"/>
  <c r="C41"/>
  <c r="C45"/>
  <c r="C49"/>
  <c r="C53"/>
  <c r="C57"/>
  <c r="C61"/>
  <c r="C65"/>
  <c r="C69"/>
  <c r="C73"/>
  <c r="C77"/>
  <c r="C81"/>
  <c r="C85"/>
  <c r="C89"/>
  <c r="C93"/>
  <c r="C97"/>
  <c r="A5"/>
  <c r="A6" s="1"/>
  <c r="A7" s="1"/>
  <c r="F2"/>
  <c r="C6" i="5"/>
  <c r="E6" s="1"/>
  <c r="C10"/>
  <c r="E10" s="1"/>
  <c r="C14"/>
  <c r="E14" s="1"/>
  <c r="C18"/>
  <c r="E18" s="1"/>
  <c r="C22"/>
  <c r="E22" s="1"/>
  <c r="C26"/>
  <c r="E26" s="1"/>
  <c r="C30"/>
  <c r="E30" s="1"/>
  <c r="C34"/>
  <c r="E34" s="1"/>
  <c r="C38"/>
  <c r="E38" s="1"/>
  <c r="C42"/>
  <c r="E42" s="1"/>
  <c r="C46"/>
  <c r="E46" s="1"/>
  <c r="C50"/>
  <c r="E50" s="1"/>
  <c r="C54"/>
  <c r="E54" s="1"/>
  <c r="C58"/>
  <c r="E58" s="1"/>
  <c r="C62"/>
  <c r="E62" s="1"/>
  <c r="C66"/>
  <c r="E66" s="1"/>
  <c r="C70"/>
  <c r="E70" s="1"/>
  <c r="C74"/>
  <c r="E74" s="1"/>
  <c r="C78"/>
  <c r="E78" s="1"/>
  <c r="C82"/>
  <c r="E82" s="1"/>
  <c r="C86"/>
  <c r="E86" s="1"/>
  <c r="C90"/>
  <c r="E90" s="1"/>
  <c r="C94"/>
  <c r="E94" s="1"/>
  <c r="C98"/>
  <c r="E98" s="1"/>
  <c r="C102"/>
  <c r="E102" s="1"/>
  <c r="C106"/>
  <c r="E106" s="1"/>
  <c r="C110"/>
  <c r="E110" s="1"/>
  <c r="C114"/>
  <c r="E114" s="1"/>
  <c r="C118"/>
  <c r="E118" s="1"/>
  <c r="C122"/>
  <c r="E122" s="1"/>
  <c r="C126"/>
  <c r="E126" s="1"/>
  <c r="C130"/>
  <c r="E130" s="1"/>
  <c r="C134"/>
  <c r="E134" s="1"/>
  <c r="C138"/>
  <c r="E138" s="1"/>
  <c r="C142"/>
  <c r="E142" s="1"/>
  <c r="C146"/>
  <c r="E146" s="1"/>
  <c r="D9"/>
  <c r="D13"/>
  <c r="D17"/>
  <c r="D21"/>
  <c r="D25"/>
  <c r="D29"/>
  <c r="D33"/>
  <c r="D37"/>
  <c r="D41"/>
  <c r="D45"/>
  <c r="D49"/>
  <c r="D53"/>
  <c r="D57"/>
  <c r="D61"/>
  <c r="D65"/>
  <c r="D69"/>
  <c r="D73"/>
  <c r="D77"/>
  <c r="D81"/>
  <c r="D85"/>
  <c r="D89"/>
  <c r="D93"/>
  <c r="D97"/>
  <c r="D101"/>
  <c r="D105"/>
  <c r="D109"/>
  <c r="D113"/>
  <c r="D117"/>
  <c r="D121"/>
  <c r="D125"/>
  <c r="D129"/>
  <c r="D133"/>
  <c r="D137"/>
  <c r="D141"/>
  <c r="D145"/>
  <c r="D149"/>
  <c r="G11"/>
  <c r="G19"/>
  <c r="G23"/>
  <c r="G27"/>
  <c r="G31"/>
  <c r="G35"/>
  <c r="G39"/>
  <c r="G43"/>
  <c r="G47"/>
  <c r="G51"/>
  <c r="G55"/>
  <c r="G59"/>
  <c r="G63"/>
  <c r="G67"/>
  <c r="G71"/>
  <c r="G75"/>
  <c r="G79"/>
  <c r="G83"/>
  <c r="G87"/>
  <c r="G91"/>
  <c r="G95"/>
  <c r="G99"/>
  <c r="G103"/>
  <c r="G107"/>
  <c r="G111"/>
  <c r="G115"/>
  <c r="G119"/>
  <c r="G123"/>
  <c r="G127"/>
  <c r="G131"/>
  <c r="G135"/>
  <c r="G139"/>
  <c r="G143"/>
  <c r="G147"/>
  <c r="C5"/>
  <c r="E5" s="1"/>
  <c r="C9"/>
  <c r="E9" s="1"/>
  <c r="C13"/>
  <c r="E13" s="1"/>
  <c r="C17"/>
  <c r="E17" s="1"/>
  <c r="C21"/>
  <c r="E21" s="1"/>
  <c r="C25"/>
  <c r="E25" s="1"/>
  <c r="C29"/>
  <c r="E29" s="1"/>
  <c r="C33"/>
  <c r="E33" s="1"/>
  <c r="C37"/>
  <c r="E37" s="1"/>
  <c r="C41"/>
  <c r="E41" s="1"/>
  <c r="C45"/>
  <c r="E45" s="1"/>
  <c r="C49"/>
  <c r="E49" s="1"/>
  <c r="C53"/>
  <c r="E53" s="1"/>
  <c r="C57"/>
  <c r="E57" s="1"/>
  <c r="C61"/>
  <c r="E61" s="1"/>
  <c r="C65"/>
  <c r="E65" s="1"/>
  <c r="C69"/>
  <c r="E69" s="1"/>
  <c r="C73"/>
  <c r="E73" s="1"/>
  <c r="C77"/>
  <c r="E77" s="1"/>
  <c r="C81"/>
  <c r="E81" s="1"/>
  <c r="C85"/>
  <c r="E85" s="1"/>
  <c r="C89"/>
  <c r="E89" s="1"/>
  <c r="C93"/>
  <c r="E93" s="1"/>
  <c r="C97"/>
  <c r="E97" s="1"/>
  <c r="C101"/>
  <c r="E101" s="1"/>
  <c r="C105"/>
  <c r="E105" s="1"/>
  <c r="C109"/>
  <c r="E109" s="1"/>
  <c r="C113"/>
  <c r="E113" s="1"/>
  <c r="C117"/>
  <c r="E117" s="1"/>
  <c r="C121"/>
  <c r="E121" s="1"/>
  <c r="C125"/>
  <c r="E125" s="1"/>
  <c r="C129"/>
  <c r="E129" s="1"/>
  <c r="C133"/>
  <c r="E133" s="1"/>
  <c r="C137"/>
  <c r="E137" s="1"/>
  <c r="C141"/>
  <c r="E141" s="1"/>
  <c r="C145"/>
  <c r="E145" s="1"/>
  <c r="C149"/>
  <c r="E149" s="1"/>
  <c r="D16"/>
  <c r="D24"/>
  <c r="D28"/>
  <c r="D32"/>
  <c r="D36"/>
  <c r="D40"/>
  <c r="D44"/>
  <c r="D48"/>
  <c r="D52"/>
  <c r="D56"/>
  <c r="D60"/>
  <c r="D64"/>
  <c r="D68"/>
  <c r="D72"/>
  <c r="D76"/>
  <c r="D80"/>
  <c r="D84"/>
  <c r="D88"/>
  <c r="D92"/>
  <c r="D96"/>
  <c r="D100"/>
  <c r="D104"/>
  <c r="D108"/>
  <c r="D112"/>
  <c r="D116"/>
  <c r="D120"/>
  <c r="D124"/>
  <c r="D128"/>
  <c r="D132"/>
  <c r="D136"/>
  <c r="D140"/>
  <c r="D144"/>
  <c r="D148"/>
  <c r="G6"/>
  <c r="G10"/>
  <c r="G14"/>
  <c r="G18"/>
  <c r="G22"/>
  <c r="G26"/>
  <c r="G30"/>
  <c r="G34"/>
  <c r="G38"/>
  <c r="G42"/>
  <c r="G46"/>
  <c r="G50"/>
  <c r="G54"/>
  <c r="G58"/>
  <c r="G62"/>
  <c r="G66"/>
  <c r="G70"/>
  <c r="G74"/>
  <c r="G78"/>
  <c r="G82"/>
  <c r="G86"/>
  <c r="G90"/>
  <c r="G94"/>
  <c r="G98"/>
  <c r="G102"/>
  <c r="G106"/>
  <c r="G110"/>
  <c r="G114"/>
  <c r="G118"/>
  <c r="G122"/>
  <c r="G126"/>
  <c r="G130"/>
  <c r="G138"/>
  <c r="G142"/>
  <c r="G146"/>
  <c r="C4"/>
  <c r="E4" s="1"/>
  <c r="C8"/>
  <c r="E8" s="1"/>
  <c r="C12"/>
  <c r="D12" s="1"/>
  <c r="C16"/>
  <c r="E16" s="1"/>
  <c r="C20"/>
  <c r="E20" s="1"/>
  <c r="C24"/>
  <c r="E24" s="1"/>
  <c r="C28"/>
  <c r="E28" s="1"/>
  <c r="C32"/>
  <c r="E32" s="1"/>
  <c r="C36"/>
  <c r="E36" s="1"/>
  <c r="C40"/>
  <c r="E40" s="1"/>
  <c r="C44"/>
  <c r="E44" s="1"/>
  <c r="C48"/>
  <c r="E48" s="1"/>
  <c r="C52"/>
  <c r="E52" s="1"/>
  <c r="C56"/>
  <c r="E56" s="1"/>
  <c r="C60"/>
  <c r="E60" s="1"/>
  <c r="C64"/>
  <c r="E64" s="1"/>
  <c r="C68"/>
  <c r="E68" s="1"/>
  <c r="C72"/>
  <c r="E72" s="1"/>
  <c r="C76"/>
  <c r="E76" s="1"/>
  <c r="C80"/>
  <c r="E80" s="1"/>
  <c r="C84"/>
  <c r="E84" s="1"/>
  <c r="C88"/>
  <c r="E88" s="1"/>
  <c r="C92"/>
  <c r="E92" s="1"/>
  <c r="C96"/>
  <c r="E96" s="1"/>
  <c r="C100"/>
  <c r="E100" s="1"/>
  <c r="C104"/>
  <c r="E104" s="1"/>
  <c r="C108"/>
  <c r="E108" s="1"/>
  <c r="C112"/>
  <c r="E112" s="1"/>
  <c r="C116"/>
  <c r="E116" s="1"/>
  <c r="C120"/>
  <c r="E120" s="1"/>
  <c r="C124"/>
  <c r="E124" s="1"/>
  <c r="C128"/>
  <c r="E128" s="1"/>
  <c r="C132"/>
  <c r="E132" s="1"/>
  <c r="C136"/>
  <c r="E136" s="1"/>
  <c r="C140"/>
  <c r="E140" s="1"/>
  <c r="C144"/>
  <c r="E144" s="1"/>
  <c r="C148"/>
  <c r="E148" s="1"/>
  <c r="D11"/>
  <c r="D19"/>
  <c r="D23"/>
  <c r="D27"/>
  <c r="D31"/>
  <c r="D35"/>
  <c r="D39"/>
  <c r="D43"/>
  <c r="D47"/>
  <c r="D51"/>
  <c r="D55"/>
  <c r="D59"/>
  <c r="D63"/>
  <c r="D67"/>
  <c r="D71"/>
  <c r="D75"/>
  <c r="D79"/>
  <c r="D83"/>
  <c r="D87"/>
  <c r="D91"/>
  <c r="D95"/>
  <c r="D99"/>
  <c r="D103"/>
  <c r="D107"/>
  <c r="D111"/>
  <c r="D115"/>
  <c r="D119"/>
  <c r="D123"/>
  <c r="D127"/>
  <c r="D131"/>
  <c r="D135"/>
  <c r="D139"/>
  <c r="D143"/>
  <c r="D147"/>
  <c r="G5"/>
  <c r="G9"/>
  <c r="G13"/>
  <c r="G17"/>
  <c r="G21"/>
  <c r="G25"/>
  <c r="G29"/>
  <c r="G33"/>
  <c r="G37"/>
  <c r="G41"/>
  <c r="G45"/>
  <c r="G49"/>
  <c r="G53"/>
  <c r="G57"/>
  <c r="G61"/>
  <c r="G65"/>
  <c r="G69"/>
  <c r="G73"/>
  <c r="G77"/>
  <c r="G81"/>
  <c r="G85"/>
  <c r="G89"/>
  <c r="G93"/>
  <c r="G97"/>
  <c r="G101"/>
  <c r="G105"/>
  <c r="G109"/>
  <c r="G113"/>
  <c r="G117"/>
  <c r="G121"/>
  <c r="G125"/>
  <c r="G129"/>
  <c r="G133"/>
  <c r="G137"/>
  <c r="G141"/>
  <c r="G145"/>
  <c r="G149"/>
  <c r="C3"/>
  <c r="E3" s="1"/>
  <c r="C7"/>
  <c r="E7" s="1"/>
  <c r="C11"/>
  <c r="E11" s="1"/>
  <c r="C15"/>
  <c r="E15" s="1"/>
  <c r="C19"/>
  <c r="E19" s="1"/>
  <c r="C23"/>
  <c r="E23" s="1"/>
  <c r="C27"/>
  <c r="E27" s="1"/>
  <c r="C31"/>
  <c r="E31" s="1"/>
  <c r="C35"/>
  <c r="E35" s="1"/>
  <c r="C39"/>
  <c r="E39" s="1"/>
  <c r="C43"/>
  <c r="E43" s="1"/>
  <c r="C47"/>
  <c r="E47" s="1"/>
  <c r="C51"/>
  <c r="E51" s="1"/>
  <c r="C55"/>
  <c r="E55" s="1"/>
  <c r="C59"/>
  <c r="E59" s="1"/>
  <c r="C63"/>
  <c r="E63" s="1"/>
  <c r="C67"/>
  <c r="E67" s="1"/>
  <c r="C71"/>
  <c r="E71" s="1"/>
  <c r="C75"/>
  <c r="E75" s="1"/>
  <c r="C79"/>
  <c r="E79" s="1"/>
  <c r="C83"/>
  <c r="E83" s="1"/>
  <c r="C87"/>
  <c r="E87" s="1"/>
  <c r="C91"/>
  <c r="E91" s="1"/>
  <c r="C95"/>
  <c r="E95" s="1"/>
  <c r="C99"/>
  <c r="E99" s="1"/>
  <c r="C103"/>
  <c r="E103" s="1"/>
  <c r="C107"/>
  <c r="E107" s="1"/>
  <c r="C111"/>
  <c r="E111" s="1"/>
  <c r="C115"/>
  <c r="E115" s="1"/>
  <c r="C119"/>
  <c r="E119" s="1"/>
  <c r="C123"/>
  <c r="E123" s="1"/>
  <c r="C127"/>
  <c r="E127" s="1"/>
  <c r="C131"/>
  <c r="E131" s="1"/>
  <c r="C135"/>
  <c r="E135" s="1"/>
  <c r="C139"/>
  <c r="E139" s="1"/>
  <c r="C143"/>
  <c r="E143" s="1"/>
  <c r="C147"/>
  <c r="E147" s="1"/>
  <c r="G16"/>
  <c r="G24"/>
  <c r="G28"/>
  <c r="G32"/>
  <c r="G36"/>
  <c r="G40"/>
  <c r="G44"/>
  <c r="G48"/>
  <c r="G52"/>
  <c r="G56"/>
  <c r="G60"/>
  <c r="G64"/>
  <c r="G68"/>
  <c r="G72"/>
  <c r="G76"/>
  <c r="G80"/>
  <c r="G84"/>
  <c r="G88"/>
  <c r="G92"/>
  <c r="G96"/>
  <c r="G100"/>
  <c r="G104"/>
  <c r="G108"/>
  <c r="G112"/>
  <c r="G116"/>
  <c r="G120"/>
  <c r="G124"/>
  <c r="G128"/>
  <c r="G132"/>
  <c r="G136"/>
  <c r="G140"/>
  <c r="G144"/>
  <c r="G148"/>
  <c r="J601" i="3" l="1"/>
  <c r="J547"/>
  <c r="D677" i="5"/>
  <c r="F677" s="1"/>
  <c r="H677" s="1"/>
  <c r="D292"/>
  <c r="F292" s="1"/>
  <c r="H292" s="1"/>
  <c r="D176"/>
  <c r="F176" s="1"/>
  <c r="J677" i="3"/>
  <c r="J666"/>
  <c r="J175"/>
  <c r="H176" i="5"/>
  <c r="J176" i="3"/>
  <c r="D691" i="5"/>
  <c r="F691" s="1"/>
  <c r="H691" s="1"/>
  <c r="D175"/>
  <c r="F175" s="1"/>
  <c r="H175" s="1"/>
  <c r="J291" i="3"/>
  <c r="H289" i="5"/>
  <c r="J288" i="3"/>
  <c r="H232" i="5"/>
  <c r="J232" i="3"/>
  <c r="D666" i="5"/>
  <c r="F666" s="1"/>
  <c r="H666" s="1"/>
  <c r="H671"/>
  <c r="J671" i="3"/>
  <c r="D7" i="5"/>
  <c r="F7" s="1"/>
  <c r="H7" s="1"/>
  <c r="D597"/>
  <c r="F597" s="1"/>
  <c r="H597" s="1"/>
  <c r="D602"/>
  <c r="F602" s="1"/>
  <c r="H602" s="1"/>
  <c r="J602" i="3"/>
  <c r="I39" i="10"/>
  <c r="I41" s="1"/>
  <c r="D547" i="5"/>
  <c r="F547" s="1"/>
  <c r="H547" s="1"/>
  <c r="J692" i="3"/>
  <c r="K28" i="17"/>
  <c r="K30" s="1"/>
  <c r="H30"/>
  <c r="K19"/>
  <c r="H22"/>
  <c r="I19"/>
  <c r="I20"/>
  <c r="L20" s="1"/>
  <c r="K20"/>
  <c r="J267" i="3"/>
  <c r="J259"/>
  <c r="D8" i="5"/>
  <c r="F8" s="1"/>
  <c r="H8" s="1"/>
  <c r="D259"/>
  <c r="F259" s="1"/>
  <c r="H259" s="1"/>
  <c r="D283"/>
  <c r="F283" s="1"/>
  <c r="H283" s="1"/>
  <c r="D694"/>
  <c r="F694" s="1"/>
  <c r="H694" s="1"/>
  <c r="D318"/>
  <c r="F318" s="1"/>
  <c r="H318" s="1"/>
  <c r="D696"/>
  <c r="F696" s="1"/>
  <c r="H696" s="1"/>
  <c r="D600"/>
  <c r="F600" s="1"/>
  <c r="H600" s="1"/>
  <c r="D272"/>
  <c r="F272" s="1"/>
  <c r="H272" s="1"/>
  <c r="D312"/>
  <c r="F312" s="1"/>
  <c r="H312" s="1"/>
  <c r="J694" i="3"/>
  <c r="H692" i="5"/>
  <c r="D267"/>
  <c r="F267" s="1"/>
  <c r="H267" s="1"/>
  <c r="D134"/>
  <c r="F134" s="1"/>
  <c r="H134" s="1"/>
  <c r="J184" i="3"/>
  <c r="D184" i="5"/>
  <c r="F184" s="1"/>
  <c r="H184" s="1"/>
  <c r="J134" i="3"/>
  <c r="AA2" i="1"/>
  <c r="AA1003" s="1"/>
  <c r="B15" i="10"/>
  <c r="H15" s="1"/>
  <c r="B10"/>
  <c r="H10" s="1"/>
  <c r="B13"/>
  <c r="H13" s="1"/>
  <c r="B14"/>
  <c r="H14" s="1"/>
  <c r="B9"/>
  <c r="C9" s="1"/>
  <c r="D263" i="5"/>
  <c r="F263" s="1"/>
  <c r="H263" s="1"/>
  <c r="F15" i="10"/>
  <c r="G15" s="1"/>
  <c r="C15"/>
  <c r="F14"/>
  <c r="G14" s="1"/>
  <c r="C13"/>
  <c r="F13"/>
  <c r="G13" s="1"/>
  <c r="C12"/>
  <c r="F12"/>
  <c r="G12" s="1"/>
  <c r="F10"/>
  <c r="G10" s="1"/>
  <c r="F9"/>
  <c r="H557" i="5"/>
  <c r="J667" i="3"/>
  <c r="D667" i="5"/>
  <c r="F667" s="1"/>
  <c r="H667" s="1"/>
  <c r="H209"/>
  <c r="H540"/>
  <c r="J696" i="3"/>
  <c r="J600"/>
  <c r="J597"/>
  <c r="J312"/>
  <c r="J318"/>
  <c r="J283"/>
  <c r="J272"/>
  <c r="F2"/>
  <c r="H2" i="9" s="1"/>
  <c r="E2"/>
  <c r="G2" s="1"/>
  <c r="J263" i="3"/>
  <c r="J209"/>
  <c r="D50" i="5"/>
  <c r="F50" s="1"/>
  <c r="H50" s="1"/>
  <c r="J2" i="3"/>
  <c r="J557"/>
  <c r="J540"/>
  <c r="E12" i="5"/>
  <c r="F12" s="1"/>
  <c r="D20"/>
  <c r="F20" s="1"/>
  <c r="H20" s="1"/>
  <c r="D15"/>
  <c r="F15" s="1"/>
  <c r="H15" s="1"/>
  <c r="J3" i="3"/>
  <c r="D6" i="5"/>
  <c r="D3"/>
  <c r="F3" s="1"/>
  <c r="H3" s="1"/>
  <c r="D4"/>
  <c r="F4" s="1"/>
  <c r="H4" s="1"/>
  <c r="D5"/>
  <c r="I41" i="8"/>
  <c r="C10" i="10" l="1"/>
  <c r="I10" s="1"/>
  <c r="J39"/>
  <c r="J41" s="1"/>
  <c r="C14"/>
  <c r="I14" s="1"/>
  <c r="H86" i="17"/>
  <c r="L28"/>
  <c r="L30" s="1"/>
  <c r="I30"/>
  <c r="L19"/>
  <c r="L22" s="1"/>
  <c r="I22"/>
  <c r="K22"/>
  <c r="K86" s="1"/>
  <c r="G2" i="5"/>
  <c r="I9" i="8"/>
  <c r="I11"/>
  <c r="D10"/>
  <c r="G13"/>
  <c r="I13"/>
  <c r="G12"/>
  <c r="I12"/>
  <c r="G15"/>
  <c r="I15"/>
  <c r="G14"/>
  <c r="I14"/>
  <c r="G9"/>
  <c r="C2" i="5"/>
  <c r="E2" s="1"/>
  <c r="D11" i="8"/>
  <c r="D12"/>
  <c r="D13"/>
  <c r="H9" i="10"/>
  <c r="H17" s="1"/>
  <c r="B17"/>
  <c r="D15"/>
  <c r="J15" s="1"/>
  <c r="I15"/>
  <c r="D13"/>
  <c r="J13" s="1"/>
  <c r="I13"/>
  <c r="D12"/>
  <c r="J12" s="1"/>
  <c r="I12"/>
  <c r="F11"/>
  <c r="G11" s="1"/>
  <c r="C11"/>
  <c r="G9"/>
  <c r="D9"/>
  <c r="I9"/>
  <c r="G11" i="8"/>
  <c r="I2" i="9"/>
  <c r="G12" i="5"/>
  <c r="H12" s="1"/>
  <c r="D10" i="10" l="1"/>
  <c r="J10" s="1"/>
  <c r="D14"/>
  <c r="J14" s="1"/>
  <c r="C17"/>
  <c r="L86" i="17"/>
  <c r="I86"/>
  <c r="J13" i="8"/>
  <c r="J12"/>
  <c r="G10"/>
  <c r="J10" s="1"/>
  <c r="I10"/>
  <c r="J9"/>
  <c r="D2" i="5"/>
  <c r="F2" s="1"/>
  <c r="H2" s="1"/>
  <c r="B17" i="8"/>
  <c r="D15"/>
  <c r="D14"/>
  <c r="J14" s="1"/>
  <c r="H17"/>
  <c r="F17" i="10"/>
  <c r="G17"/>
  <c r="D11"/>
  <c r="J11" s="1"/>
  <c r="I11"/>
  <c r="I17" s="1"/>
  <c r="J9"/>
  <c r="F17" i="8"/>
  <c r="J11"/>
  <c r="G17" l="1"/>
  <c r="C17"/>
  <c r="I17"/>
  <c r="J15"/>
  <c r="J17" s="1"/>
  <c r="J53" s="1"/>
  <c r="D17" i="10"/>
  <c r="J17"/>
  <c r="J53" s="1"/>
  <c r="D17" i="8" l="1"/>
</calcChain>
</file>

<file path=xl/comments1.xml><?xml version="1.0" encoding="utf-8"?>
<comments xmlns="http://schemas.openxmlformats.org/spreadsheetml/2006/main">
  <authors>
    <author>Kagiso Mutlaneng</author>
  </authors>
  <commentList>
    <comment ref="B1" authorId="0">
      <text>
        <r>
          <rPr>
            <sz val="9"/>
            <color indexed="81"/>
            <rFont val="Tahoma"/>
            <family val="2"/>
          </rPr>
          <t>The introduced user/Agent</t>
        </r>
      </text>
    </comment>
  </commentList>
</comments>
</file>

<file path=xl/comments2.xml><?xml version="1.0" encoding="utf-8"?>
<comments xmlns="http://schemas.openxmlformats.org/spreadsheetml/2006/main">
  <authors>
    <author>Kagiso Mutlaneng</author>
  </authors>
  <commentList>
    <comment ref="B1" authorId="0">
      <text>
        <r>
          <rPr>
            <sz val="9"/>
            <color indexed="81"/>
            <rFont val="Tahoma"/>
            <family val="2"/>
          </rPr>
          <t>The introduced user/Agent</t>
        </r>
      </text>
    </comment>
  </commentList>
</comments>
</file>

<file path=xl/comments3.xml><?xml version="1.0" encoding="utf-8"?>
<comments xmlns="http://schemas.openxmlformats.org/spreadsheetml/2006/main">
  <authors>
    <author>Kagiso Mutlaneng</author>
  </authors>
  <commentList>
    <comment ref="B1" authorId="0">
      <text>
        <r>
          <rPr>
            <sz val="9"/>
            <color indexed="81"/>
            <rFont val="Tahoma"/>
            <family val="2"/>
          </rPr>
          <t>You Can Edit Values In This Field</t>
        </r>
      </text>
    </comment>
    <comment ref="C1" authorId="0">
      <text>
        <r>
          <rPr>
            <sz val="9"/>
            <color indexed="81"/>
            <rFont val="Tahoma"/>
            <family val="2"/>
          </rPr>
          <t>You Can Select Values In This Field</t>
        </r>
      </text>
    </comment>
    <comment ref="D1" authorId="0">
      <text>
        <r>
          <rPr>
            <sz val="9"/>
            <color indexed="81"/>
            <rFont val="Tahoma"/>
            <family val="2"/>
          </rPr>
          <t>You Can Select Values In This Field</t>
        </r>
      </text>
    </comment>
    <comment ref="E1" authorId="0">
      <text>
        <r>
          <rPr>
            <sz val="9"/>
            <color indexed="81"/>
            <rFont val="Tahoma"/>
            <family val="2"/>
          </rPr>
          <t>You Can Edit Values In This Field</t>
        </r>
      </text>
    </comment>
    <comment ref="F1" authorId="0">
      <text>
        <r>
          <rPr>
            <sz val="9"/>
            <color indexed="81"/>
            <rFont val="Tahoma"/>
            <family val="2"/>
          </rPr>
          <t>You Can Edit Values In This Field</t>
        </r>
      </text>
    </comment>
    <comment ref="G1" authorId="0">
      <text>
        <r>
          <rPr>
            <sz val="9"/>
            <color indexed="81"/>
            <rFont val="Tahoma"/>
            <family val="2"/>
          </rPr>
          <t>You Can Edit Values In This Field</t>
        </r>
      </text>
    </comment>
    <comment ref="H1" authorId="0">
      <text>
        <r>
          <rPr>
            <sz val="9"/>
            <color indexed="81"/>
            <rFont val="Tahoma"/>
            <family val="2"/>
          </rPr>
          <t>You Can Edit Values In This Field</t>
        </r>
      </text>
    </comment>
    <comment ref="I1" authorId="0">
      <text>
        <r>
          <rPr>
            <sz val="9"/>
            <color indexed="81"/>
            <rFont val="Tahoma"/>
            <family val="2"/>
          </rPr>
          <t>You Can Edit Values In This Field</t>
        </r>
      </text>
    </comment>
    <comment ref="J1" authorId="0">
      <text>
        <r>
          <rPr>
            <sz val="9"/>
            <color indexed="81"/>
            <rFont val="Tahoma"/>
            <family val="2"/>
          </rPr>
          <t>You Can Edit Values In This Field</t>
        </r>
      </text>
    </comment>
    <comment ref="K1" authorId="0">
      <text>
        <r>
          <rPr>
            <sz val="9"/>
            <color indexed="81"/>
            <rFont val="Tahoma"/>
            <family val="2"/>
          </rPr>
          <t>You Can Edit Values In This Field</t>
        </r>
      </text>
    </comment>
    <comment ref="L1" authorId="0">
      <text>
        <r>
          <rPr>
            <sz val="9"/>
            <color indexed="81"/>
            <rFont val="Tahoma"/>
            <family val="2"/>
          </rPr>
          <t>You Can Edit Values In This Field</t>
        </r>
      </text>
    </comment>
    <comment ref="M1" authorId="0">
      <text>
        <r>
          <rPr>
            <sz val="9"/>
            <color indexed="81"/>
            <rFont val="Tahoma"/>
            <family val="2"/>
          </rPr>
          <t>You Can Edit Values In This Field</t>
        </r>
      </text>
    </comment>
    <comment ref="N1" authorId="0">
      <text>
        <r>
          <rPr>
            <sz val="9"/>
            <color indexed="81"/>
            <rFont val="Tahoma"/>
            <family val="2"/>
          </rPr>
          <t>You Can Edit Values In This Field</t>
        </r>
      </text>
    </comment>
    <comment ref="O1" authorId="0">
      <text>
        <r>
          <rPr>
            <sz val="9"/>
            <color indexed="81"/>
            <rFont val="Tahoma"/>
            <family val="2"/>
          </rPr>
          <t>You Can Select Values In This Field</t>
        </r>
      </text>
    </comment>
    <comment ref="P1" authorId="0">
      <text>
        <r>
          <rPr>
            <sz val="9"/>
            <color indexed="81"/>
            <rFont val="Tahoma"/>
            <family val="2"/>
          </rPr>
          <t>You Can Edit Values In This Field</t>
        </r>
      </text>
    </comment>
    <comment ref="Q1" authorId="0">
      <text>
        <r>
          <rPr>
            <sz val="9"/>
            <color indexed="81"/>
            <rFont val="Tahoma"/>
            <family val="2"/>
          </rPr>
          <t>You Can Edit Values In This Field</t>
        </r>
      </text>
    </comment>
    <comment ref="R1" authorId="0">
      <text>
        <r>
          <rPr>
            <sz val="9"/>
            <color indexed="81"/>
            <rFont val="Tahoma"/>
            <family val="2"/>
          </rPr>
          <t>You Can Edit Values In This Field</t>
        </r>
      </text>
    </comment>
    <comment ref="S1" authorId="0">
      <text>
        <r>
          <rPr>
            <sz val="9"/>
            <color indexed="81"/>
            <rFont val="Tahoma"/>
            <family val="2"/>
          </rPr>
          <t>You Can Edit Values In This Field</t>
        </r>
      </text>
    </comment>
    <comment ref="T1" authorId="0">
      <text>
        <r>
          <rPr>
            <sz val="9"/>
            <color indexed="81"/>
            <rFont val="Tahoma"/>
            <family val="2"/>
          </rPr>
          <t>You Can Edit Values In This Field</t>
        </r>
      </text>
    </comment>
    <comment ref="U1" authorId="0">
      <text>
        <r>
          <rPr>
            <sz val="9"/>
            <color indexed="81"/>
            <rFont val="Tahoma"/>
            <family val="2"/>
          </rPr>
          <t>You Can Edit Values In This Field</t>
        </r>
      </text>
    </comment>
    <comment ref="V1" authorId="0">
      <text>
        <r>
          <rPr>
            <sz val="9"/>
            <color indexed="81"/>
            <rFont val="Tahoma"/>
            <family val="2"/>
          </rPr>
          <t>You Can Edit Values In This Field</t>
        </r>
      </text>
    </comment>
    <comment ref="W1" authorId="0">
      <text>
        <r>
          <rPr>
            <sz val="9"/>
            <color indexed="81"/>
            <rFont val="Tahoma"/>
            <family val="2"/>
          </rPr>
          <t>You Can Edit Values In This Field</t>
        </r>
      </text>
    </comment>
    <comment ref="X1" authorId="0">
      <text>
        <r>
          <rPr>
            <sz val="9"/>
            <color indexed="81"/>
            <rFont val="Tahoma"/>
            <family val="2"/>
          </rPr>
          <t>You Can Edit Values In This Field</t>
        </r>
      </text>
    </comment>
  </commentList>
</comments>
</file>

<file path=xl/comments4.xml><?xml version="1.0" encoding="utf-8"?>
<comments xmlns="http://schemas.openxmlformats.org/spreadsheetml/2006/main">
  <authors>
    <author>Kagiso Mutlaneng</author>
  </authors>
  <commentList>
    <comment ref="B1" authorId="0">
      <text>
        <r>
          <rPr>
            <sz val="9"/>
            <color indexed="81"/>
            <rFont val="Tahoma"/>
            <family val="2"/>
          </rPr>
          <t>You Can Edit Values In This Field</t>
        </r>
      </text>
    </comment>
    <comment ref="C1" authorId="0">
      <text>
        <r>
          <rPr>
            <sz val="9"/>
            <color indexed="81"/>
            <rFont val="Tahoma"/>
            <family val="2"/>
          </rPr>
          <t>You Can Select Values In This Field</t>
        </r>
      </text>
    </comment>
    <comment ref="L1" authorId="0">
      <text>
        <r>
          <rPr>
            <sz val="9"/>
            <color indexed="81"/>
            <rFont val="Tahoma"/>
            <family val="2"/>
          </rPr>
          <t>You Can Edit Values In This Field</t>
        </r>
      </text>
    </comment>
  </commentList>
</comments>
</file>

<file path=xl/comments5.xml><?xml version="1.0" encoding="utf-8"?>
<comments xmlns="http://schemas.openxmlformats.org/spreadsheetml/2006/main">
  <authors>
    <author>Kagiso Mutlaneng</author>
  </authors>
  <commentList>
    <comment ref="E7" authorId="0">
      <text>
        <r>
          <rPr>
            <sz val="9"/>
            <color indexed="81"/>
            <rFont val="Tahoma"/>
            <family val="2"/>
          </rPr>
          <t>You can edit this manually based on NuPay unpaid policies</t>
        </r>
        <r>
          <rPr>
            <sz val="9"/>
            <color indexed="81"/>
            <rFont val="Tahoma"/>
            <family val="2"/>
          </rPr>
          <t xml:space="preserve">
</t>
        </r>
      </text>
    </comment>
    <comment ref="A44" authorId="0">
      <text>
        <r>
          <rPr>
            <sz val="9"/>
            <color indexed="81"/>
            <rFont val="Tahoma"/>
            <family val="2"/>
          </rPr>
          <t>You can add deductions manually</t>
        </r>
        <r>
          <rPr>
            <sz val="9"/>
            <color indexed="81"/>
            <rFont val="Tahoma"/>
            <family val="2"/>
          </rPr>
          <t xml:space="preserve">
</t>
        </r>
      </text>
    </comment>
  </commentList>
</comments>
</file>

<file path=xl/comments6.xml><?xml version="1.0" encoding="utf-8"?>
<comments xmlns="http://schemas.openxmlformats.org/spreadsheetml/2006/main">
  <authors>
    <author>Kagiso Mutlaneng</author>
  </authors>
  <commentList>
    <comment ref="E7" authorId="0">
      <text>
        <r>
          <rPr>
            <sz val="9"/>
            <color indexed="81"/>
            <rFont val="Tahoma"/>
            <family val="2"/>
          </rPr>
          <t>You can edit this manually based on NuPay unpaid policies</t>
        </r>
        <r>
          <rPr>
            <sz val="9"/>
            <color indexed="81"/>
            <rFont val="Tahoma"/>
            <family val="2"/>
          </rPr>
          <t xml:space="preserve">
</t>
        </r>
      </text>
    </comment>
    <comment ref="A44" authorId="0">
      <text>
        <r>
          <rPr>
            <sz val="9"/>
            <color indexed="81"/>
            <rFont val="Tahoma"/>
            <family val="2"/>
          </rPr>
          <t>You can add deductions manually</t>
        </r>
        <r>
          <rPr>
            <sz val="9"/>
            <color indexed="81"/>
            <rFont val="Tahoma"/>
            <family val="2"/>
          </rPr>
          <t xml:space="preserve">
</t>
        </r>
      </text>
    </comment>
  </commentList>
</comments>
</file>

<file path=xl/sharedStrings.xml><?xml version="1.0" encoding="utf-8"?>
<sst xmlns="http://schemas.openxmlformats.org/spreadsheetml/2006/main" count="5161" uniqueCount="1455">
  <si>
    <t>First Name(s)</t>
  </si>
  <si>
    <t>Last Name</t>
  </si>
  <si>
    <t>Contract No.</t>
  </si>
  <si>
    <t>Introducer No.</t>
  </si>
  <si>
    <t>Plan</t>
  </si>
  <si>
    <t>Title</t>
  </si>
  <si>
    <t>Initials</t>
  </si>
  <si>
    <t>ID No.</t>
  </si>
  <si>
    <t>Contact No.</t>
  </si>
  <si>
    <t>Email Address</t>
  </si>
  <si>
    <t>Area Code</t>
  </si>
  <si>
    <t>Postal Address</t>
  </si>
  <si>
    <t>Employed</t>
  </si>
  <si>
    <t>Occupation</t>
  </si>
  <si>
    <t>Branch</t>
  </si>
  <si>
    <t>Account No.</t>
  </si>
  <si>
    <t>Name of Bank</t>
  </si>
  <si>
    <t>Account Type</t>
  </si>
  <si>
    <t>Place</t>
  </si>
  <si>
    <t>PLB</t>
  </si>
  <si>
    <t>Miss</t>
  </si>
  <si>
    <t>Mr</t>
  </si>
  <si>
    <t>Mrs</t>
  </si>
  <si>
    <t>Dr</t>
  </si>
  <si>
    <t>Hon</t>
  </si>
  <si>
    <t>Prof</t>
  </si>
  <si>
    <t xml:space="preserve">Yes </t>
  </si>
  <si>
    <t>No</t>
  </si>
  <si>
    <t>Account Holders Name</t>
  </si>
  <si>
    <t>Cheque</t>
  </si>
  <si>
    <t>Current</t>
  </si>
  <si>
    <t>Savings</t>
  </si>
  <si>
    <t>Transmission</t>
  </si>
  <si>
    <t>Other</t>
  </si>
  <si>
    <t>Debit Start Date</t>
  </si>
  <si>
    <t>Admin Fee</t>
  </si>
  <si>
    <t>Admin Settlement</t>
  </si>
  <si>
    <t>Monthly Fee</t>
  </si>
  <si>
    <t>Transaction ID</t>
  </si>
  <si>
    <t>Comm</t>
  </si>
  <si>
    <t>Qual No.</t>
  </si>
  <si>
    <t>Joinging Fee Bonus</t>
  </si>
  <si>
    <t>Amount</t>
  </si>
  <si>
    <t>Instal</t>
  </si>
  <si>
    <t>Total Due</t>
  </si>
  <si>
    <t xml:space="preserve">
Merchant No.
</t>
  </si>
  <si>
    <t>Joining Fee Plan</t>
  </si>
  <si>
    <t>Admin Payable</t>
  </si>
  <si>
    <t>No. Of 
Instalments</t>
  </si>
  <si>
    <t>Gross Commission</t>
  </si>
  <si>
    <t>Premiums</t>
  </si>
  <si>
    <t>Commission 
Percentage</t>
  </si>
  <si>
    <t>Admin Fee
Commission</t>
  </si>
  <si>
    <t>Monthly 
Commission</t>
  </si>
  <si>
    <t>Statement 
ID</t>
  </si>
  <si>
    <t>K0000001</t>
  </si>
  <si>
    <t>FNB</t>
  </si>
  <si>
    <t>K0000002</t>
  </si>
  <si>
    <t>Nedbank</t>
  </si>
  <si>
    <t>Contract No</t>
  </si>
  <si>
    <t>Name:</t>
  </si>
  <si>
    <t>Commission Levels</t>
  </si>
  <si>
    <t>Gross Premium</t>
  </si>
  <si>
    <t>Gross Policies</t>
  </si>
  <si>
    <t>Gross 
Commission</t>
  </si>
  <si>
    <t>Unpaid Policies</t>
  </si>
  <si>
    <t>Unpaid Premium Deductions</t>
  </si>
  <si>
    <t>Unpaid Commission Deductions</t>
  </si>
  <si>
    <t>Paid Policies</t>
  </si>
  <si>
    <t>Paid Premiums</t>
  </si>
  <si>
    <t>Paid Commission</t>
  </si>
  <si>
    <t>Commission Step 1</t>
  </si>
  <si>
    <t>Commission Step 2</t>
  </si>
  <si>
    <t>Commission Step 3</t>
  </si>
  <si>
    <t>Commission Step 4</t>
  </si>
  <si>
    <t>Commission Step 5</t>
  </si>
  <si>
    <t>Commission Step 6</t>
  </si>
  <si>
    <t>Commission Step 7</t>
  </si>
  <si>
    <t>Sub-Total</t>
  </si>
  <si>
    <t>Commission Step 8</t>
  </si>
  <si>
    <t>Commission Step 9</t>
  </si>
  <si>
    <t>Commission Step 10</t>
  </si>
  <si>
    <t>Commission Step 11</t>
  </si>
  <si>
    <t>Commission Step 12</t>
  </si>
  <si>
    <t>Admin Fee Commission</t>
  </si>
  <si>
    <t xml:space="preserve">
Paid Premiums
</t>
  </si>
  <si>
    <t xml:space="preserve">
Deductions
</t>
  </si>
  <si>
    <t xml:space="preserve">
Total
</t>
  </si>
  <si>
    <t>Total Commission</t>
  </si>
  <si>
    <t>K0000000</t>
  </si>
  <si>
    <t>ABSA</t>
  </si>
  <si>
    <t>Admin Start Date</t>
  </si>
  <si>
    <t>Summary Commission Statement</t>
  </si>
  <si>
    <t>Wealth Creator One Policies</t>
  </si>
  <si>
    <t xml:space="preserve">
Total
Policies
</t>
  </si>
  <si>
    <t>Log ID</t>
  </si>
  <si>
    <t>Transaction Date</t>
  </si>
  <si>
    <t>Detailed Commission Statement</t>
  </si>
  <si>
    <t xml:space="preserve">
Standard Commission
</t>
  </si>
  <si>
    <t>Wealth Creator Levels</t>
  </si>
  <si>
    <t>Creator Bonus 
Commissions</t>
  </si>
  <si>
    <t>Wealth Creator One</t>
  </si>
  <si>
    <t>Wealth Creator Two</t>
  </si>
  <si>
    <t>Wealth Creator Three</t>
  </si>
  <si>
    <t>Wealth Creator Four</t>
  </si>
  <si>
    <t>Wealth Creator Five</t>
  </si>
  <si>
    <t>Wealth Creator Six</t>
  </si>
  <si>
    <t>Wealth Creator Seven</t>
  </si>
  <si>
    <t>Wealth Creator Two Policies</t>
  </si>
  <si>
    <t>Wealth Creator Three Policies</t>
  </si>
  <si>
    <t>Wealth Creator Four Policies</t>
  </si>
  <si>
    <t>Wealth Creator Five Policies</t>
  </si>
  <si>
    <t>Wealth Creator Six Policies</t>
  </si>
  <si>
    <t>Wealth Creator Seven Policies</t>
  </si>
  <si>
    <t>Address (of covered property)</t>
  </si>
  <si>
    <t>Gross Salary (Monthly)</t>
  </si>
  <si>
    <t>Current Creator Level</t>
  </si>
  <si>
    <t>Total
Dependents</t>
  </si>
  <si>
    <t>PPR</t>
  </si>
  <si>
    <t>Peter Peterus Ramangena</t>
  </si>
  <si>
    <t>Mohoje</t>
  </si>
  <si>
    <t>mohojepkt@telkomsa.net</t>
  </si>
  <si>
    <t xml:space="preserve">72 KoringBlom Crescent, Pellissier, Bloemfontein </t>
  </si>
  <si>
    <t>Bloemfontein</t>
  </si>
  <si>
    <t>Bloemfontein Brandwag</t>
  </si>
  <si>
    <t>PPR Mohoje</t>
  </si>
  <si>
    <r>
      <rPr>
        <b/>
        <sz val="10"/>
        <color indexed="8"/>
        <rFont val="Calibri"/>
        <family val="2"/>
      </rPr>
      <t>K</t>
    </r>
    <r>
      <rPr>
        <sz val="10"/>
        <color indexed="8"/>
        <rFont val="Calibri"/>
        <family val="2"/>
      </rPr>
      <t>0000001</t>
    </r>
  </si>
  <si>
    <t>MT</t>
  </si>
  <si>
    <t>myvictory100.biz@gmail.com</t>
  </si>
  <si>
    <t>Mphobole Thapelo</t>
  </si>
  <si>
    <t>Ramphobole</t>
  </si>
  <si>
    <t>Plot 184, Derde &amp; Barden Road, Bloemspruit, Bloemfontein</t>
  </si>
  <si>
    <t xml:space="preserve">72 KoringBlom Crescent Pellissier Bloemfo ntein </t>
  </si>
  <si>
    <t>Nomacala Anacleta</t>
  </si>
  <si>
    <t>Educator</t>
  </si>
  <si>
    <t>Standard Bank</t>
  </si>
  <si>
    <t>NA Mohoje</t>
  </si>
  <si>
    <t>K0000539</t>
  </si>
  <si>
    <t>TP</t>
  </si>
  <si>
    <t>N/A</t>
  </si>
  <si>
    <t>Tshepo Petrus</t>
  </si>
  <si>
    <t>Bogoloane</t>
  </si>
  <si>
    <t>1333 Section F, Botshabelo</t>
  </si>
  <si>
    <t>Sales Rep</t>
  </si>
  <si>
    <t>Botshabelo</t>
  </si>
  <si>
    <t>TP Bogoloane</t>
  </si>
  <si>
    <t>K0000011</t>
  </si>
  <si>
    <t>K</t>
  </si>
  <si>
    <t>kgmholo@gmail.com</t>
  </si>
  <si>
    <t>Kagisho</t>
  </si>
  <si>
    <t>Mholo</t>
  </si>
  <si>
    <t>29786 Chrishani Turflugte, Bloemfontein</t>
  </si>
  <si>
    <t>Business Consultant</t>
  </si>
  <si>
    <t>K Mholo</t>
  </si>
  <si>
    <t xml:space="preserve">AL </t>
  </si>
  <si>
    <t>maphula-m@yahoo.com</t>
  </si>
  <si>
    <t>Broker</t>
  </si>
  <si>
    <t xml:space="preserve">Andrew Lionel </t>
  </si>
  <si>
    <t>Peterson</t>
  </si>
  <si>
    <t>25 Pekan Street, Meiringspark, Klerksdorp</t>
  </si>
  <si>
    <t>Klerksdorp</t>
  </si>
  <si>
    <t>AL Peterson</t>
  </si>
  <si>
    <t xml:space="preserve">MM </t>
  </si>
  <si>
    <t>shine.tsholofelo@gmail.com</t>
  </si>
  <si>
    <t>Self Employed</t>
  </si>
  <si>
    <t>Maleshoane Marrium</t>
  </si>
  <si>
    <t>Molise</t>
  </si>
  <si>
    <t>10519 Makoane Str, Phelindaba</t>
  </si>
  <si>
    <t>Loglogan Bloemfontein</t>
  </si>
  <si>
    <t>MM Molise</t>
  </si>
  <si>
    <t>LM</t>
  </si>
  <si>
    <t>Bloemfontein Elizabeth Street</t>
  </si>
  <si>
    <t>Lindiwe Magdelina</t>
  </si>
  <si>
    <t>Tshabalala</t>
  </si>
  <si>
    <t>lindiwetma@gmail.com</t>
  </si>
  <si>
    <t>638 Hintsa Street, Phahameng Rockland, Bloemfontein</t>
  </si>
  <si>
    <t>LM Tshabalala</t>
  </si>
  <si>
    <t>NH</t>
  </si>
  <si>
    <t>sakkien@webmail.co.za</t>
  </si>
  <si>
    <t>Ntakuseni Hezehiel</t>
  </si>
  <si>
    <t>Nengwenani</t>
  </si>
  <si>
    <t>10071 Rose Avenue, Graasland, Bloemfontein</t>
  </si>
  <si>
    <t>Sales Manager</t>
  </si>
  <si>
    <t>NH Nengwenani</t>
  </si>
  <si>
    <t>K0000676</t>
  </si>
  <si>
    <t>TE</t>
  </si>
  <si>
    <t>Tebogo Enoch</t>
  </si>
  <si>
    <t>Bobejaan</t>
  </si>
  <si>
    <t>41 Macdonald Str, Promosa, Potchestroom</t>
  </si>
  <si>
    <t>TE Bobbejaan</t>
  </si>
  <si>
    <t>Potchefstroom</t>
  </si>
  <si>
    <t>41 Macdonald Str, Promosa, Potchefstroom</t>
  </si>
  <si>
    <t>TB</t>
  </si>
  <si>
    <t>tmmolelekoa@gmail.com</t>
  </si>
  <si>
    <t>Intermediary</t>
  </si>
  <si>
    <t>Tumo Bouman</t>
  </si>
  <si>
    <t>Molelekoa</t>
  </si>
  <si>
    <t xml:space="preserve">57001 Sekhupi Square, Batho </t>
  </si>
  <si>
    <t>TB Molelekoa</t>
  </si>
  <si>
    <t>Hierarchy Statement</t>
  </si>
  <si>
    <t>TV</t>
  </si>
  <si>
    <t>menyatsovictor@gmail.com</t>
  </si>
  <si>
    <t>Thabang Victor</t>
  </si>
  <si>
    <t>Menyatso</t>
  </si>
  <si>
    <t>2076 SECTION C2, BOTSHABELO</t>
  </si>
  <si>
    <t>Financial Advisor</t>
  </si>
  <si>
    <t>TV Menyatso</t>
  </si>
  <si>
    <t>K0000665</t>
  </si>
  <si>
    <t>TW</t>
  </si>
  <si>
    <t>Thokozile Winnie</t>
  </si>
  <si>
    <t>Finger</t>
  </si>
  <si>
    <t>3098 Nyokong Str, Bochabela, Bloemfontein</t>
  </si>
  <si>
    <t>TW Finger</t>
  </si>
  <si>
    <t xml:space="preserve">MA </t>
  </si>
  <si>
    <t>Matshidiso Agnes</t>
  </si>
  <si>
    <t>Julius</t>
  </si>
  <si>
    <t>11633 Ditira Str, Bloemanda, Bloemfontein</t>
  </si>
  <si>
    <t>MA Julius</t>
  </si>
  <si>
    <t>DMT</t>
  </si>
  <si>
    <t>dkotsi7@gmail.com</t>
  </si>
  <si>
    <t>Duncan Molefi Teboho</t>
  </si>
  <si>
    <t>Kotsi</t>
  </si>
  <si>
    <t>4979 Maleeme Str, Thabong, Welkom</t>
  </si>
  <si>
    <t>Parktown</t>
  </si>
  <si>
    <t>DMT Kotsi</t>
  </si>
  <si>
    <t>TZ</t>
  </si>
  <si>
    <t>thulanizeblonmavuso@gmail.com</t>
  </si>
  <si>
    <t>Sales Consultant</t>
  </si>
  <si>
    <t>Thulani Zeblon</t>
  </si>
  <si>
    <t>20527 Graasland 3, Bergman, Bloemfontein</t>
  </si>
  <si>
    <t>TZ Mavuso</t>
  </si>
  <si>
    <t>Mavuso</t>
  </si>
  <si>
    <t>MJ</t>
  </si>
  <si>
    <t>ketelamj@gmail.com</t>
  </si>
  <si>
    <t>n/a</t>
  </si>
  <si>
    <t>Mahlomola Justice</t>
  </si>
  <si>
    <t>Ketela</t>
  </si>
  <si>
    <t>81 Jakaranda Str, Ebeneheizer Hoogte, Wepener</t>
  </si>
  <si>
    <t>Capitec Bank</t>
  </si>
  <si>
    <t>MJ Ketela</t>
  </si>
  <si>
    <t>LZ</t>
  </si>
  <si>
    <t>Lineo Zitha</t>
  </si>
  <si>
    <t>Morobane</t>
  </si>
  <si>
    <t>6811 Phase 4, Bloemside, Bloemfontein</t>
  </si>
  <si>
    <t>LZ Morobane</t>
  </si>
  <si>
    <t>LW</t>
  </si>
  <si>
    <t>closetohome@vodama11.co.za</t>
  </si>
  <si>
    <t>Teacher</t>
  </si>
  <si>
    <t>Linda</t>
  </si>
  <si>
    <t>Maliehe</t>
  </si>
  <si>
    <t>1583B Khubutla Str, Mofolo Central P, Soweto</t>
  </si>
  <si>
    <t>L Maliehe</t>
  </si>
  <si>
    <t>General Commision</t>
  </si>
  <si>
    <t>Creator Bonus</t>
  </si>
  <si>
    <t>Joining Fee Bonus</t>
  </si>
  <si>
    <t>Deductions</t>
  </si>
  <si>
    <t>Status</t>
  </si>
  <si>
    <t>K0000003</t>
  </si>
  <si>
    <t>K0000009</t>
  </si>
  <si>
    <t>K0000013</t>
  </si>
  <si>
    <t>K0000014</t>
  </si>
  <si>
    <t>K0000004</t>
  </si>
  <si>
    <t>K0000006</t>
  </si>
  <si>
    <t>K0000005</t>
  </si>
  <si>
    <t>K0000007</t>
  </si>
  <si>
    <t>K0000008</t>
  </si>
  <si>
    <t>K0000010</t>
  </si>
  <si>
    <t>K0000012</t>
  </si>
  <si>
    <t>K0000015</t>
  </si>
  <si>
    <t>K0000016</t>
  </si>
  <si>
    <t>K0000017</t>
  </si>
  <si>
    <t>K0000018</t>
  </si>
  <si>
    <t>K0000019</t>
  </si>
  <si>
    <t>K0000020</t>
  </si>
  <si>
    <t>K0000021</t>
  </si>
  <si>
    <t>K0000022</t>
  </si>
  <si>
    <t>K0000023</t>
  </si>
  <si>
    <t>K0000024</t>
  </si>
  <si>
    <t>K0000025</t>
  </si>
  <si>
    <t>K0000026</t>
  </si>
  <si>
    <t>K0000027</t>
  </si>
  <si>
    <t>K0000028</t>
  </si>
  <si>
    <t>K0000029</t>
  </si>
  <si>
    <t>K0000030</t>
  </si>
  <si>
    <t>K0000031</t>
  </si>
  <si>
    <t>K0000032</t>
  </si>
  <si>
    <t>K0000033</t>
  </si>
  <si>
    <t>K0000034</t>
  </si>
  <si>
    <t>K0000035</t>
  </si>
  <si>
    <t>K0000036</t>
  </si>
  <si>
    <t>K0000037</t>
  </si>
  <si>
    <t>K0000038</t>
  </si>
  <si>
    <t>K0000039</t>
  </si>
  <si>
    <t>K0000040</t>
  </si>
  <si>
    <t>K0000041</t>
  </si>
  <si>
    <t>K0000042</t>
  </si>
  <si>
    <t>K0000043</t>
  </si>
  <si>
    <t>K0000044</t>
  </si>
  <si>
    <t>K0000045</t>
  </si>
  <si>
    <t>K0000046</t>
  </si>
  <si>
    <t>K0000047</t>
  </si>
  <si>
    <t>K0000048</t>
  </si>
  <si>
    <t>K0000049</t>
  </si>
  <si>
    <t>K0000050</t>
  </si>
  <si>
    <t>K0000051</t>
  </si>
  <si>
    <t>K0000052</t>
  </si>
  <si>
    <t>K0000053</t>
  </si>
  <si>
    <t>K0000054</t>
  </si>
  <si>
    <t>K0000055</t>
  </si>
  <si>
    <t>K0000056</t>
  </si>
  <si>
    <t>K0000057</t>
  </si>
  <si>
    <t>K0000058</t>
  </si>
  <si>
    <t>K0000059</t>
  </si>
  <si>
    <t>K0000060</t>
  </si>
  <si>
    <t>K0000061</t>
  </si>
  <si>
    <t>K0000062</t>
  </si>
  <si>
    <t>K0000063</t>
  </si>
  <si>
    <t>K0000064</t>
  </si>
  <si>
    <t>K0000065</t>
  </si>
  <si>
    <t>K0000066</t>
  </si>
  <si>
    <t>K0000067</t>
  </si>
  <si>
    <t>K0000068</t>
  </si>
  <si>
    <t>K0000069</t>
  </si>
  <si>
    <t>K0000070</t>
  </si>
  <si>
    <t>K0000071</t>
  </si>
  <si>
    <t>K0000072</t>
  </si>
  <si>
    <t>K0000073</t>
  </si>
  <si>
    <t>K0000074</t>
  </si>
  <si>
    <t>K0000075</t>
  </si>
  <si>
    <t>K0000076</t>
  </si>
  <si>
    <t>K0000077</t>
  </si>
  <si>
    <t>K0000078</t>
  </si>
  <si>
    <t>K0000079</t>
  </si>
  <si>
    <t>K0000080</t>
  </si>
  <si>
    <t>K0000081</t>
  </si>
  <si>
    <t>K0000082</t>
  </si>
  <si>
    <t>K0000083</t>
  </si>
  <si>
    <t>K0000084</t>
  </si>
  <si>
    <t>K0000085</t>
  </si>
  <si>
    <t>K0000086</t>
  </si>
  <si>
    <t>K0000087</t>
  </si>
  <si>
    <t>K0000088</t>
  </si>
  <si>
    <t>K0000089</t>
  </si>
  <si>
    <t>K0000090</t>
  </si>
  <si>
    <t>K0000091</t>
  </si>
  <si>
    <t>K0000092</t>
  </si>
  <si>
    <t>K0000093</t>
  </si>
  <si>
    <t>K0000094</t>
  </si>
  <si>
    <t>K0000095</t>
  </si>
  <si>
    <t>K0000096</t>
  </si>
  <si>
    <t>K0000097</t>
  </si>
  <si>
    <t>K0000098</t>
  </si>
  <si>
    <t>K0000099</t>
  </si>
  <si>
    <t>K0000100</t>
  </si>
  <si>
    <t>K0000101</t>
  </si>
  <si>
    <t>K0000102</t>
  </si>
  <si>
    <t>K0000103</t>
  </si>
  <si>
    <t>K0000104</t>
  </si>
  <si>
    <t>K0000105</t>
  </si>
  <si>
    <t>K0000106</t>
  </si>
  <si>
    <t>K0000107</t>
  </si>
  <si>
    <t>K0000108</t>
  </si>
  <si>
    <t>K0000109</t>
  </si>
  <si>
    <t>K0000110</t>
  </si>
  <si>
    <t>K0000111</t>
  </si>
  <si>
    <t>K0000112</t>
  </si>
  <si>
    <t>K0000113</t>
  </si>
  <si>
    <t>K0000114</t>
  </si>
  <si>
    <t>K0000115</t>
  </si>
  <si>
    <t>K0000116</t>
  </si>
  <si>
    <t>K0000117</t>
  </si>
  <si>
    <t>K0000118</t>
  </si>
  <si>
    <t>K0000119</t>
  </si>
  <si>
    <t>K0000120</t>
  </si>
  <si>
    <t>K0000121</t>
  </si>
  <si>
    <t>K0000122</t>
  </si>
  <si>
    <t>K0000123</t>
  </si>
  <si>
    <t>K0000124</t>
  </si>
  <si>
    <t>K0000125</t>
  </si>
  <si>
    <t>K0000126</t>
  </si>
  <si>
    <t>K0000127</t>
  </si>
  <si>
    <t>K0000128</t>
  </si>
  <si>
    <t>K0000129</t>
  </si>
  <si>
    <t>K0000130</t>
  </si>
  <si>
    <t>K0000131</t>
  </si>
  <si>
    <t>K0000132</t>
  </si>
  <si>
    <t>K0000133</t>
  </si>
  <si>
    <t>K0000134</t>
  </si>
  <si>
    <t>K0000135</t>
  </si>
  <si>
    <t>K0000136</t>
  </si>
  <si>
    <t>K0000137</t>
  </si>
  <si>
    <t>K0000138</t>
  </si>
  <si>
    <t>K0000139</t>
  </si>
  <si>
    <t>K0000140</t>
  </si>
  <si>
    <t>K0000141</t>
  </si>
  <si>
    <t>K0000142</t>
  </si>
  <si>
    <t>K0000143</t>
  </si>
  <si>
    <t>K0000144</t>
  </si>
  <si>
    <t>K0000145</t>
  </si>
  <si>
    <t>K0000146</t>
  </si>
  <si>
    <t>K0000147</t>
  </si>
  <si>
    <t>K0000148</t>
  </si>
  <si>
    <t>K0000149</t>
  </si>
  <si>
    <t>K0000150</t>
  </si>
  <si>
    <t>K0000151</t>
  </si>
  <si>
    <t>K0000152</t>
  </si>
  <si>
    <t>K0000153</t>
  </si>
  <si>
    <t>K0000154</t>
  </si>
  <si>
    <t>K0000155</t>
  </si>
  <si>
    <t>K0000156</t>
  </si>
  <si>
    <t>K0000157</t>
  </si>
  <si>
    <t>K0000158</t>
  </si>
  <si>
    <t>K0000159</t>
  </si>
  <si>
    <t>K0000160</t>
  </si>
  <si>
    <t>K0000161</t>
  </si>
  <si>
    <t>K0000162</t>
  </si>
  <si>
    <t>K0000163</t>
  </si>
  <si>
    <t>K0000164</t>
  </si>
  <si>
    <t>K0000165</t>
  </si>
  <si>
    <t>K0000166</t>
  </si>
  <si>
    <t>K0000167</t>
  </si>
  <si>
    <t>K0000168</t>
  </si>
  <si>
    <t>K0000169</t>
  </si>
  <si>
    <t>K0000170</t>
  </si>
  <si>
    <t>K0000171</t>
  </si>
  <si>
    <t>K0000172</t>
  </si>
  <si>
    <t>K0000173</t>
  </si>
  <si>
    <t>K0000174</t>
  </si>
  <si>
    <t>K0000175</t>
  </si>
  <si>
    <t>K0000176</t>
  </si>
  <si>
    <t>K0000177</t>
  </si>
  <si>
    <t>K0000178</t>
  </si>
  <si>
    <t>K0000179</t>
  </si>
  <si>
    <t>K0000180</t>
  </si>
  <si>
    <t>K0000181</t>
  </si>
  <si>
    <t>K0000182</t>
  </si>
  <si>
    <t>K0000183</t>
  </si>
  <si>
    <t>K0000184</t>
  </si>
  <si>
    <t>K0000185</t>
  </si>
  <si>
    <t>K0000186</t>
  </si>
  <si>
    <t>K0000187</t>
  </si>
  <si>
    <t>K0000188</t>
  </si>
  <si>
    <t>K0000189</t>
  </si>
  <si>
    <t>K0000190</t>
  </si>
  <si>
    <t>K0000191</t>
  </si>
  <si>
    <t>K0000192</t>
  </si>
  <si>
    <t>K0000193</t>
  </si>
  <si>
    <t>K0000194</t>
  </si>
  <si>
    <t>K0000195</t>
  </si>
  <si>
    <t>K0000196</t>
  </si>
  <si>
    <t>K0000197</t>
  </si>
  <si>
    <t>K0000198</t>
  </si>
  <si>
    <t>K0000199</t>
  </si>
  <si>
    <t>K0000200</t>
  </si>
  <si>
    <t>K0000201</t>
  </si>
  <si>
    <t>K0000202</t>
  </si>
  <si>
    <t>K0000203</t>
  </si>
  <si>
    <t>K0000204</t>
  </si>
  <si>
    <t>K0000205</t>
  </si>
  <si>
    <t>K0000206</t>
  </si>
  <si>
    <t>K0000207</t>
  </si>
  <si>
    <t>K0000208</t>
  </si>
  <si>
    <t>K0000209</t>
  </si>
  <si>
    <t>K0000210</t>
  </si>
  <si>
    <t>K0000211</t>
  </si>
  <si>
    <t>K0000212</t>
  </si>
  <si>
    <t>K0000213</t>
  </si>
  <si>
    <t>K0000214</t>
  </si>
  <si>
    <t>K0000215</t>
  </si>
  <si>
    <t>K0000216</t>
  </si>
  <si>
    <t>K0000217</t>
  </si>
  <si>
    <t>K0000218</t>
  </si>
  <si>
    <t>K0000219</t>
  </si>
  <si>
    <t>K0000220</t>
  </si>
  <si>
    <t>K0000221</t>
  </si>
  <si>
    <t>K0000222</t>
  </si>
  <si>
    <t>K0000223</t>
  </si>
  <si>
    <t>K0000224</t>
  </si>
  <si>
    <t>K0000225</t>
  </si>
  <si>
    <t>K0000226</t>
  </si>
  <si>
    <t>K0000227</t>
  </si>
  <si>
    <t>K0000228</t>
  </si>
  <si>
    <t>K0000229</t>
  </si>
  <si>
    <t>K0000230</t>
  </si>
  <si>
    <t>K0000231</t>
  </si>
  <si>
    <t>K0000232</t>
  </si>
  <si>
    <t>K0000233</t>
  </si>
  <si>
    <t>K0000234</t>
  </si>
  <si>
    <t>K0000235</t>
  </si>
  <si>
    <t>K0000236</t>
  </si>
  <si>
    <t>K0000237</t>
  </si>
  <si>
    <t>K0000238</t>
  </si>
  <si>
    <t>K0000239</t>
  </si>
  <si>
    <t>K0000240</t>
  </si>
  <si>
    <t>K0000241</t>
  </si>
  <si>
    <t>K0000242</t>
  </si>
  <si>
    <t>K0000243</t>
  </si>
  <si>
    <t>K0000244</t>
  </si>
  <si>
    <t>K0000245</t>
  </si>
  <si>
    <t>K0000246</t>
  </si>
  <si>
    <t>K0000247</t>
  </si>
  <si>
    <t>K0000248</t>
  </si>
  <si>
    <t>K0000249</t>
  </si>
  <si>
    <t>K0000250</t>
  </si>
  <si>
    <t>K0000251</t>
  </si>
  <si>
    <t>K0000252</t>
  </si>
  <si>
    <t>K0000253</t>
  </si>
  <si>
    <t>K0000254</t>
  </si>
  <si>
    <t>K0000255</t>
  </si>
  <si>
    <t>K0000256</t>
  </si>
  <si>
    <t>K0000257</t>
  </si>
  <si>
    <t>K0000258</t>
  </si>
  <si>
    <t>K0000259</t>
  </si>
  <si>
    <t>K0000260</t>
  </si>
  <si>
    <t>K0000261</t>
  </si>
  <si>
    <t>K0000262</t>
  </si>
  <si>
    <t>K0000263</t>
  </si>
  <si>
    <t>K0000264</t>
  </si>
  <si>
    <t>K0000265</t>
  </si>
  <si>
    <t>K0000266</t>
  </si>
  <si>
    <t>K0000267</t>
  </si>
  <si>
    <t>K0000268</t>
  </si>
  <si>
    <t>K0000269</t>
  </si>
  <si>
    <t>K0000270</t>
  </si>
  <si>
    <t>K0000271</t>
  </si>
  <si>
    <t>K0000272</t>
  </si>
  <si>
    <t>K0000273</t>
  </si>
  <si>
    <t>K0000274</t>
  </si>
  <si>
    <t>K0000275</t>
  </si>
  <si>
    <t>K0000276</t>
  </si>
  <si>
    <t>K0000277</t>
  </si>
  <si>
    <t>K0000278</t>
  </si>
  <si>
    <t>K0000279</t>
  </si>
  <si>
    <t>K0000280</t>
  </si>
  <si>
    <t>K0000281</t>
  </si>
  <si>
    <t>K0000282</t>
  </si>
  <si>
    <t>K0000283</t>
  </si>
  <si>
    <t>K0000284</t>
  </si>
  <si>
    <t>K0000285</t>
  </si>
  <si>
    <t>K0000286</t>
  </si>
  <si>
    <t>K0000287</t>
  </si>
  <si>
    <t>K0000288</t>
  </si>
  <si>
    <t>K0000289</t>
  </si>
  <si>
    <t>K0000290</t>
  </si>
  <si>
    <t>K0000291</t>
  </si>
  <si>
    <t>K0000292</t>
  </si>
  <si>
    <t>K0000293</t>
  </si>
  <si>
    <t>K0000294</t>
  </si>
  <si>
    <t>K0000295</t>
  </si>
  <si>
    <t>K0000296</t>
  </si>
  <si>
    <t>K0000297</t>
  </si>
  <si>
    <t>K0000298</t>
  </si>
  <si>
    <t>K0000299</t>
  </si>
  <si>
    <t>K0000300</t>
  </si>
  <si>
    <t>K0000301</t>
  </si>
  <si>
    <t>K0000302</t>
  </si>
  <si>
    <t>K0000303</t>
  </si>
  <si>
    <t>K0000304</t>
  </si>
  <si>
    <t>K0000305</t>
  </si>
  <si>
    <t>K0000306</t>
  </si>
  <si>
    <t>K0000307</t>
  </si>
  <si>
    <t>K0000308</t>
  </si>
  <si>
    <t>K0000309</t>
  </si>
  <si>
    <t>K0000310</t>
  </si>
  <si>
    <t>K0000311</t>
  </si>
  <si>
    <t>K0000312</t>
  </si>
  <si>
    <t>K0000313</t>
  </si>
  <si>
    <t>K0000314</t>
  </si>
  <si>
    <t>K0000315</t>
  </si>
  <si>
    <t>K0000316</t>
  </si>
  <si>
    <t>K0000317</t>
  </si>
  <si>
    <t>K0000318</t>
  </si>
  <si>
    <t>K0000319</t>
  </si>
  <si>
    <t>K0000320</t>
  </si>
  <si>
    <t>K0000321</t>
  </si>
  <si>
    <t>K0000322</t>
  </si>
  <si>
    <t>K0000323</t>
  </si>
  <si>
    <t>K0000324</t>
  </si>
  <si>
    <t>K0000325</t>
  </si>
  <si>
    <t>K0000326</t>
  </si>
  <si>
    <t>K0000327</t>
  </si>
  <si>
    <t>K0000328</t>
  </si>
  <si>
    <t>K0000329</t>
  </si>
  <si>
    <t>K0000330</t>
  </si>
  <si>
    <t>K0000331</t>
  </si>
  <si>
    <t>K0000332</t>
  </si>
  <si>
    <t>K0000333</t>
  </si>
  <si>
    <t>K0000334</t>
  </si>
  <si>
    <t>K0000335</t>
  </si>
  <si>
    <t>K0000336</t>
  </si>
  <si>
    <t>K0000337</t>
  </si>
  <si>
    <t>K0000338</t>
  </si>
  <si>
    <t>K0000339</t>
  </si>
  <si>
    <t>K0000340</t>
  </si>
  <si>
    <t>K0000341</t>
  </si>
  <si>
    <t>K0000342</t>
  </si>
  <si>
    <t>K0000343</t>
  </si>
  <si>
    <t>K0000344</t>
  </si>
  <si>
    <t>K0000345</t>
  </si>
  <si>
    <t>K0000346</t>
  </si>
  <si>
    <t>K0000347</t>
  </si>
  <si>
    <t>K0000348</t>
  </si>
  <si>
    <t>K0000349</t>
  </si>
  <si>
    <t>K0000350</t>
  </si>
  <si>
    <t>K0000351</t>
  </si>
  <si>
    <t>K0000352</t>
  </si>
  <si>
    <t>K0000353</t>
  </si>
  <si>
    <t>K0000354</t>
  </si>
  <si>
    <t>K0000355</t>
  </si>
  <si>
    <t>K0000356</t>
  </si>
  <si>
    <t>K0000357</t>
  </si>
  <si>
    <t>K0000358</t>
  </si>
  <si>
    <t>K0000359</t>
  </si>
  <si>
    <t>K0000360</t>
  </si>
  <si>
    <t>K0000361</t>
  </si>
  <si>
    <t>K0000362</t>
  </si>
  <si>
    <t>K0000363</t>
  </si>
  <si>
    <t>K0000364</t>
  </si>
  <si>
    <t>K0000365</t>
  </si>
  <si>
    <t>K0000366</t>
  </si>
  <si>
    <t>K0000367</t>
  </si>
  <si>
    <t>K0000368</t>
  </si>
  <si>
    <t>K0000369</t>
  </si>
  <si>
    <t>K0000370</t>
  </si>
  <si>
    <t>K0000371</t>
  </si>
  <si>
    <t>K0000372</t>
  </si>
  <si>
    <t>K0000373</t>
  </si>
  <si>
    <t>K0000374</t>
  </si>
  <si>
    <t>K0000375</t>
  </si>
  <si>
    <t>K0000376</t>
  </si>
  <si>
    <t>K0000377</t>
  </si>
  <si>
    <t>K0000378</t>
  </si>
  <si>
    <t>K0000379</t>
  </si>
  <si>
    <t>K0000380</t>
  </si>
  <si>
    <t>K0000381</t>
  </si>
  <si>
    <t>K0000382</t>
  </si>
  <si>
    <t>K0000383</t>
  </si>
  <si>
    <t>K0000384</t>
  </si>
  <si>
    <t>K0000385</t>
  </si>
  <si>
    <t>K0000386</t>
  </si>
  <si>
    <t>K0000387</t>
  </si>
  <si>
    <t>K0000388</t>
  </si>
  <si>
    <t>K0000389</t>
  </si>
  <si>
    <t>K0000390</t>
  </si>
  <si>
    <t>K0000391</t>
  </si>
  <si>
    <t>K0000392</t>
  </si>
  <si>
    <t>K0000393</t>
  </si>
  <si>
    <t>K0000394</t>
  </si>
  <si>
    <t>K0000395</t>
  </si>
  <si>
    <t>K0000396</t>
  </si>
  <si>
    <t>K0000397</t>
  </si>
  <si>
    <t>K0000398</t>
  </si>
  <si>
    <t>K0000399</t>
  </si>
  <si>
    <t>K0000400</t>
  </si>
  <si>
    <t>K0000401</t>
  </si>
  <si>
    <t>K0000402</t>
  </si>
  <si>
    <t>K0000403</t>
  </si>
  <si>
    <t>K0000404</t>
  </si>
  <si>
    <t>K0000405</t>
  </si>
  <si>
    <t>K0000406</t>
  </si>
  <si>
    <t>K0000407</t>
  </si>
  <si>
    <t>K0000408</t>
  </si>
  <si>
    <t>K0000409</t>
  </si>
  <si>
    <t>K0000410</t>
  </si>
  <si>
    <t>K0000411</t>
  </si>
  <si>
    <t>K0000412</t>
  </si>
  <si>
    <t>K0000413</t>
  </si>
  <si>
    <t>K0000414</t>
  </si>
  <si>
    <t>K0000415</t>
  </si>
  <si>
    <t>K0000416</t>
  </si>
  <si>
    <t>K0000417</t>
  </si>
  <si>
    <t>K0000418</t>
  </si>
  <si>
    <t>K0000419</t>
  </si>
  <si>
    <t>K0000420</t>
  </si>
  <si>
    <t>K0000421</t>
  </si>
  <si>
    <t>K0000422</t>
  </si>
  <si>
    <t>K0000423</t>
  </si>
  <si>
    <t>K0000424</t>
  </si>
  <si>
    <t>K0000425</t>
  </si>
  <si>
    <t>K0000426</t>
  </si>
  <si>
    <t>K0000427</t>
  </si>
  <si>
    <t>K0000428</t>
  </si>
  <si>
    <t>K0000429</t>
  </si>
  <si>
    <t>K0000430</t>
  </si>
  <si>
    <t>K0000431</t>
  </si>
  <si>
    <t>K0000432</t>
  </si>
  <si>
    <t>K0000433</t>
  </si>
  <si>
    <t>K0000434</t>
  </si>
  <si>
    <t>K0000435</t>
  </si>
  <si>
    <t>K0000436</t>
  </si>
  <si>
    <t>K0000437</t>
  </si>
  <si>
    <t>K0000438</t>
  </si>
  <si>
    <t>K0000439</t>
  </si>
  <si>
    <t>K0000440</t>
  </si>
  <si>
    <t>K0000441</t>
  </si>
  <si>
    <t>K0000442</t>
  </si>
  <si>
    <t>K0000443</t>
  </si>
  <si>
    <t>K0000444</t>
  </si>
  <si>
    <t>K0000445</t>
  </si>
  <si>
    <t>K0000446</t>
  </si>
  <si>
    <t>K0000447</t>
  </si>
  <si>
    <t>K0000448</t>
  </si>
  <si>
    <t>K0000449</t>
  </si>
  <si>
    <t>K0000450</t>
  </si>
  <si>
    <t>K0000451</t>
  </si>
  <si>
    <t>K0000452</t>
  </si>
  <si>
    <t>K0000453</t>
  </si>
  <si>
    <t>K0000454</t>
  </si>
  <si>
    <t>K0000455</t>
  </si>
  <si>
    <t>K0000456</t>
  </si>
  <si>
    <t>K0000457</t>
  </si>
  <si>
    <t>K0000458</t>
  </si>
  <si>
    <t>K0000459</t>
  </si>
  <si>
    <t>K0000460</t>
  </si>
  <si>
    <t>K0000461</t>
  </si>
  <si>
    <t>K0000462</t>
  </si>
  <si>
    <t>K0000463</t>
  </si>
  <si>
    <t>K0000464</t>
  </si>
  <si>
    <t>K0000465</t>
  </si>
  <si>
    <t>K0000466</t>
  </si>
  <si>
    <t>K0000467</t>
  </si>
  <si>
    <t>K0000468</t>
  </si>
  <si>
    <t>K0000469</t>
  </si>
  <si>
    <t>K0000470</t>
  </si>
  <si>
    <t>K0000471</t>
  </si>
  <si>
    <t>K0000472</t>
  </si>
  <si>
    <t>K0000473</t>
  </si>
  <si>
    <t>K0000474</t>
  </si>
  <si>
    <t>K0000475</t>
  </si>
  <si>
    <t>K0000476</t>
  </si>
  <si>
    <t>K0000477</t>
  </si>
  <si>
    <t>K0000478</t>
  </si>
  <si>
    <t>K0000479</t>
  </si>
  <si>
    <t>K0000480</t>
  </si>
  <si>
    <t>K0000481</t>
  </si>
  <si>
    <t>K0000482</t>
  </si>
  <si>
    <t>K0000483</t>
  </si>
  <si>
    <t>K0000484</t>
  </si>
  <si>
    <t>K0000485</t>
  </si>
  <si>
    <t>K0000486</t>
  </si>
  <si>
    <t>K0000487</t>
  </si>
  <si>
    <t>K0000488</t>
  </si>
  <si>
    <t>K0000489</t>
  </si>
  <si>
    <t>K0000490</t>
  </si>
  <si>
    <t>K0000491</t>
  </si>
  <si>
    <t>K0000492</t>
  </si>
  <si>
    <t>K0000493</t>
  </si>
  <si>
    <t>K0000494</t>
  </si>
  <si>
    <t>K0000495</t>
  </si>
  <si>
    <t>K0000496</t>
  </si>
  <si>
    <t>K0000497</t>
  </si>
  <si>
    <t>K0000498</t>
  </si>
  <si>
    <t>K0000499</t>
  </si>
  <si>
    <t>K0000500</t>
  </si>
  <si>
    <t>K0000501</t>
  </si>
  <si>
    <t>K0000502</t>
  </si>
  <si>
    <t>K0000503</t>
  </si>
  <si>
    <t>K0000504</t>
  </si>
  <si>
    <t>K0000505</t>
  </si>
  <si>
    <t>K0000506</t>
  </si>
  <si>
    <t>K0000507</t>
  </si>
  <si>
    <t>K0000508</t>
  </si>
  <si>
    <t>K0000509</t>
  </si>
  <si>
    <t>K0000510</t>
  </si>
  <si>
    <t>K0000511</t>
  </si>
  <si>
    <t>K0000512</t>
  </si>
  <si>
    <t>K0000513</t>
  </si>
  <si>
    <t>K0000514</t>
  </si>
  <si>
    <t>K0000515</t>
  </si>
  <si>
    <t>K0000516</t>
  </si>
  <si>
    <t>K0000517</t>
  </si>
  <si>
    <t>K0000518</t>
  </si>
  <si>
    <t>K0000519</t>
  </si>
  <si>
    <t>K0000520</t>
  </si>
  <si>
    <t>K0000521</t>
  </si>
  <si>
    <t>K0000522</t>
  </si>
  <si>
    <t>K0000523</t>
  </si>
  <si>
    <t>K0000524</t>
  </si>
  <si>
    <t>K0000525</t>
  </si>
  <si>
    <t>K0000526</t>
  </si>
  <si>
    <t>K0000527</t>
  </si>
  <si>
    <t>K0000528</t>
  </si>
  <si>
    <t>K0000529</t>
  </si>
  <si>
    <t>K0000530</t>
  </si>
  <si>
    <t>K0000531</t>
  </si>
  <si>
    <t>K0000532</t>
  </si>
  <si>
    <t>K0000533</t>
  </si>
  <si>
    <t>K0000534</t>
  </si>
  <si>
    <t>K0000535</t>
  </si>
  <si>
    <t>K0000536</t>
  </si>
  <si>
    <t>K0000537</t>
  </si>
  <si>
    <t>K0000538</t>
  </si>
  <si>
    <t>K0000540</t>
  </si>
  <si>
    <t>K0000541</t>
  </si>
  <si>
    <t>K0000542</t>
  </si>
  <si>
    <t>K0000543</t>
  </si>
  <si>
    <t>K0000544</t>
  </si>
  <si>
    <t>K0000545</t>
  </si>
  <si>
    <t>K0000546</t>
  </si>
  <si>
    <t>K0000547</t>
  </si>
  <si>
    <t>K0000548</t>
  </si>
  <si>
    <t>K0000549</t>
  </si>
  <si>
    <t>K0000550</t>
  </si>
  <si>
    <t>K0000551</t>
  </si>
  <si>
    <t>K0000552</t>
  </si>
  <si>
    <t>K0000553</t>
  </si>
  <si>
    <t>K0000554</t>
  </si>
  <si>
    <t>K0000555</t>
  </si>
  <si>
    <t>K0000556</t>
  </si>
  <si>
    <t>K0000557</t>
  </si>
  <si>
    <t>K0000558</t>
  </si>
  <si>
    <t>K0000559</t>
  </si>
  <si>
    <t>K0000560</t>
  </si>
  <si>
    <t>K0000561</t>
  </si>
  <si>
    <t>K0000562</t>
  </si>
  <si>
    <t>K0000563</t>
  </si>
  <si>
    <t>K0000564</t>
  </si>
  <si>
    <t>K0000565</t>
  </si>
  <si>
    <t>K0000566</t>
  </si>
  <si>
    <t>K0000567</t>
  </si>
  <si>
    <t>K0000568</t>
  </si>
  <si>
    <t>K0000569</t>
  </si>
  <si>
    <t>K0000570</t>
  </si>
  <si>
    <t>K0000571</t>
  </si>
  <si>
    <t>K0000572</t>
  </si>
  <si>
    <t>K0000573</t>
  </si>
  <si>
    <t>K0000574</t>
  </si>
  <si>
    <t>K0000575</t>
  </si>
  <si>
    <t>K0000576</t>
  </si>
  <si>
    <t>K0000577</t>
  </si>
  <si>
    <t>K0000578</t>
  </si>
  <si>
    <t>K0000579</t>
  </si>
  <si>
    <t>K0000580</t>
  </si>
  <si>
    <t>K0000581</t>
  </si>
  <si>
    <t>K0000582</t>
  </si>
  <si>
    <t>K0000583</t>
  </si>
  <si>
    <t>K0000584</t>
  </si>
  <si>
    <t>K0000585</t>
  </si>
  <si>
    <t>K0000586</t>
  </si>
  <si>
    <t>K0000587</t>
  </si>
  <si>
    <t>K0000588</t>
  </si>
  <si>
    <t>K0000589</t>
  </si>
  <si>
    <t>K0000590</t>
  </si>
  <si>
    <t>K0000591</t>
  </si>
  <si>
    <t>K0000592</t>
  </si>
  <si>
    <t>K0000593</t>
  </si>
  <si>
    <t>K0000594</t>
  </si>
  <si>
    <t>K0000595</t>
  </si>
  <si>
    <t>K0000596</t>
  </si>
  <si>
    <t>K0000597</t>
  </si>
  <si>
    <t>K0000598</t>
  </si>
  <si>
    <t>K0000599</t>
  </si>
  <si>
    <t>K0000600</t>
  </si>
  <si>
    <t>K0000601</t>
  </si>
  <si>
    <t>K0000602</t>
  </si>
  <si>
    <t>K0000603</t>
  </si>
  <si>
    <t>K0000604</t>
  </si>
  <si>
    <t>K0000605</t>
  </si>
  <si>
    <t>K0000606</t>
  </si>
  <si>
    <t>K0000607</t>
  </si>
  <si>
    <t>K0000608</t>
  </si>
  <si>
    <t>K0000609</t>
  </si>
  <si>
    <t>K0000610</t>
  </si>
  <si>
    <t>K0000611</t>
  </si>
  <si>
    <t>K0000612</t>
  </si>
  <si>
    <t>K0000613</t>
  </si>
  <si>
    <t>K0000614</t>
  </si>
  <si>
    <t>K0000615</t>
  </si>
  <si>
    <t>K0000616</t>
  </si>
  <si>
    <t>K0000617</t>
  </si>
  <si>
    <t>K0000618</t>
  </si>
  <si>
    <t>K0000619</t>
  </si>
  <si>
    <t>K0000620</t>
  </si>
  <si>
    <t>K0000621</t>
  </si>
  <si>
    <t>K0000622</t>
  </si>
  <si>
    <t>K0000623</t>
  </si>
  <si>
    <t>K0000624</t>
  </si>
  <si>
    <t>K0000625</t>
  </si>
  <si>
    <t>K0000626</t>
  </si>
  <si>
    <t>K0000627</t>
  </si>
  <si>
    <t>K0000628</t>
  </si>
  <si>
    <t>K0000629</t>
  </si>
  <si>
    <t>K0000630</t>
  </si>
  <si>
    <t>K0000631</t>
  </si>
  <si>
    <t>K0000632</t>
  </si>
  <si>
    <t>K0000633</t>
  </si>
  <si>
    <t>K0000634</t>
  </si>
  <si>
    <t>K0000635</t>
  </si>
  <si>
    <t>K0000636</t>
  </si>
  <si>
    <t>K0000637</t>
  </si>
  <si>
    <t>K0000638</t>
  </si>
  <si>
    <t>K0000639</t>
  </si>
  <si>
    <t>K0000640</t>
  </si>
  <si>
    <t>K0000641</t>
  </si>
  <si>
    <t>K0000642</t>
  </si>
  <si>
    <t>K0000643</t>
  </si>
  <si>
    <t>K0000644</t>
  </si>
  <si>
    <t>K0000645</t>
  </si>
  <si>
    <t>K0000646</t>
  </si>
  <si>
    <t>K0000647</t>
  </si>
  <si>
    <t>K0000648</t>
  </si>
  <si>
    <t>K0000649</t>
  </si>
  <si>
    <t>K0000650</t>
  </si>
  <si>
    <t>K0000651</t>
  </si>
  <si>
    <t>K0000652</t>
  </si>
  <si>
    <t>K0000653</t>
  </si>
  <si>
    <t>K0000654</t>
  </si>
  <si>
    <t>K0000655</t>
  </si>
  <si>
    <t>K0000656</t>
  </si>
  <si>
    <t>K0000657</t>
  </si>
  <si>
    <t>K0000658</t>
  </si>
  <si>
    <t>K0000659</t>
  </si>
  <si>
    <t>K0000660</t>
  </si>
  <si>
    <t>K0000661</t>
  </si>
  <si>
    <t>K0000662</t>
  </si>
  <si>
    <t>K0000663</t>
  </si>
  <si>
    <t>K0000664</t>
  </si>
  <si>
    <t>K0000666</t>
  </si>
  <si>
    <t>K0000667</t>
  </si>
  <si>
    <t>K0000668</t>
  </si>
  <si>
    <t>K0000669</t>
  </si>
  <si>
    <t>K0000670</t>
  </si>
  <si>
    <t>K0000671</t>
  </si>
  <si>
    <t>K0000672</t>
  </si>
  <si>
    <t>K0000673</t>
  </si>
  <si>
    <t>K0000674</t>
  </si>
  <si>
    <t>K0000675</t>
  </si>
  <si>
    <t>K0000677</t>
  </si>
  <si>
    <t>K0000678</t>
  </si>
  <si>
    <t>K0000679</t>
  </si>
  <si>
    <t>K0000680</t>
  </si>
  <si>
    <t>K0000681</t>
  </si>
  <si>
    <t>K0000682</t>
  </si>
  <si>
    <t>K0000683</t>
  </si>
  <si>
    <t>K0000684</t>
  </si>
  <si>
    <t>K0000685</t>
  </si>
  <si>
    <t>K0000686</t>
  </si>
  <si>
    <t>K0000687</t>
  </si>
  <si>
    <t>K0000688</t>
  </si>
  <si>
    <t>K0000689</t>
  </si>
  <si>
    <t>K0000690</t>
  </si>
  <si>
    <t>K0000691</t>
  </si>
  <si>
    <t>K0000692</t>
  </si>
  <si>
    <t>K0000693</t>
  </si>
  <si>
    <t>K0000694</t>
  </si>
  <si>
    <t>K0000695</t>
  </si>
  <si>
    <t>K0000696</t>
  </si>
  <si>
    <t>K0000697</t>
  </si>
  <si>
    <t>K0000698</t>
  </si>
  <si>
    <t>K0000699</t>
  </si>
  <si>
    <t>K0000700</t>
  </si>
  <si>
    <t>K0000701</t>
  </si>
  <si>
    <t>K0000702</t>
  </si>
  <si>
    <t>K0000703</t>
  </si>
  <si>
    <t>K0000704</t>
  </si>
  <si>
    <t>K0000705</t>
  </si>
  <si>
    <t>K0000706</t>
  </si>
  <si>
    <t>K0000707</t>
  </si>
  <si>
    <t>K0000708</t>
  </si>
  <si>
    <t>K0000709</t>
  </si>
  <si>
    <t>K0000710</t>
  </si>
  <si>
    <t>K0000711</t>
  </si>
  <si>
    <t>K0000712</t>
  </si>
  <si>
    <t>K0000713</t>
  </si>
  <si>
    <t>K0000714</t>
  </si>
  <si>
    <t>K0000715</t>
  </si>
  <si>
    <t>K0000716</t>
  </si>
  <si>
    <t>K0000717</t>
  </si>
  <si>
    <t>K0000718</t>
  </si>
  <si>
    <t>K0000719</t>
  </si>
  <si>
    <t>K0000720</t>
  </si>
  <si>
    <t>K0000721</t>
  </si>
  <si>
    <t>K0000722</t>
  </si>
  <si>
    <t>K0000723</t>
  </si>
  <si>
    <t>K0000724</t>
  </si>
  <si>
    <t>K0000725</t>
  </si>
  <si>
    <t>K0000726</t>
  </si>
  <si>
    <t>K0000727</t>
  </si>
  <si>
    <t>K0000728</t>
  </si>
  <si>
    <t>K0000729</t>
  </si>
  <si>
    <t>K0000730</t>
  </si>
  <si>
    <t>K0000731</t>
  </si>
  <si>
    <t>K0000732</t>
  </si>
  <si>
    <t>K0000733</t>
  </si>
  <si>
    <t>K0000734</t>
  </si>
  <si>
    <t>K0000735</t>
  </si>
  <si>
    <t>K0000736</t>
  </si>
  <si>
    <t>K0000737</t>
  </si>
  <si>
    <t>K0000738</t>
  </si>
  <si>
    <t>K0000739</t>
  </si>
  <si>
    <t>K0000740</t>
  </si>
  <si>
    <t>K0000741</t>
  </si>
  <si>
    <t>K0000742</t>
  </si>
  <si>
    <t>K0000743</t>
  </si>
  <si>
    <t>K0000744</t>
  </si>
  <si>
    <t>K0000745</t>
  </si>
  <si>
    <t>K0000746</t>
  </si>
  <si>
    <t>K0000747</t>
  </si>
  <si>
    <t>K0000748</t>
  </si>
  <si>
    <t>K0000749</t>
  </si>
  <si>
    <t>K0000750</t>
  </si>
  <si>
    <t>K0000751</t>
  </si>
  <si>
    <t>K0000752</t>
  </si>
  <si>
    <t>K0000753</t>
  </si>
  <si>
    <t>K0000754</t>
  </si>
  <si>
    <t>K0000755</t>
  </si>
  <si>
    <t>K0000756</t>
  </si>
  <si>
    <t>K0000757</t>
  </si>
  <si>
    <t>K0000758</t>
  </si>
  <si>
    <t>K0000759</t>
  </si>
  <si>
    <t>K0000760</t>
  </si>
  <si>
    <t>K0000761</t>
  </si>
  <si>
    <t>K0000762</t>
  </si>
  <si>
    <t>K0000763</t>
  </si>
  <si>
    <t>K0000764</t>
  </si>
  <si>
    <t>K0000765</t>
  </si>
  <si>
    <t>K0000766</t>
  </si>
  <si>
    <t>K0000767</t>
  </si>
  <si>
    <t>K0000768</t>
  </si>
  <si>
    <t>K0000769</t>
  </si>
  <si>
    <t>K0000770</t>
  </si>
  <si>
    <t>K0000771</t>
  </si>
  <si>
    <t>K0000772</t>
  </si>
  <si>
    <t>K0000773</t>
  </si>
  <si>
    <t>K0000774</t>
  </si>
  <si>
    <t>K0000775</t>
  </si>
  <si>
    <t>K0000776</t>
  </si>
  <si>
    <t>K0000777</t>
  </si>
  <si>
    <t>K0000778</t>
  </si>
  <si>
    <t>K0000779</t>
  </si>
  <si>
    <t>K0000780</t>
  </si>
  <si>
    <t>K0000781</t>
  </si>
  <si>
    <t>K0000782</t>
  </si>
  <si>
    <t>K0000783</t>
  </si>
  <si>
    <t>K0000784</t>
  </si>
  <si>
    <t>K0000785</t>
  </si>
  <si>
    <t>K0000786</t>
  </si>
  <si>
    <t>K0000787</t>
  </si>
  <si>
    <t>K0000788</t>
  </si>
  <si>
    <t>K0000789</t>
  </si>
  <si>
    <t>K0000790</t>
  </si>
  <si>
    <t>K0000791</t>
  </si>
  <si>
    <t>K0000792</t>
  </si>
  <si>
    <t>K0000793</t>
  </si>
  <si>
    <t>K0000794</t>
  </si>
  <si>
    <t>K0000795</t>
  </si>
  <si>
    <t>K0000796</t>
  </si>
  <si>
    <t>K0000797</t>
  </si>
  <si>
    <t>K0000798</t>
  </si>
  <si>
    <t>K0000799</t>
  </si>
  <si>
    <t>K0000800</t>
  </si>
  <si>
    <t>K0000801</t>
  </si>
  <si>
    <t>K0000802</t>
  </si>
  <si>
    <t>K0000803</t>
  </si>
  <si>
    <t>K0000804</t>
  </si>
  <si>
    <t>K0000805</t>
  </si>
  <si>
    <t>K0000806</t>
  </si>
  <si>
    <t>K0000807</t>
  </si>
  <si>
    <t>K0000808</t>
  </si>
  <si>
    <t>K0000809</t>
  </si>
  <si>
    <t>K0000810</t>
  </si>
  <si>
    <t>K0000811</t>
  </si>
  <si>
    <t>K0000812</t>
  </si>
  <si>
    <t>K0000813</t>
  </si>
  <si>
    <t>K0000814</t>
  </si>
  <si>
    <t>K0000815</t>
  </si>
  <si>
    <t>K0000816</t>
  </si>
  <si>
    <t>K0000817</t>
  </si>
  <si>
    <t>K0000818</t>
  </si>
  <si>
    <t>K0000819</t>
  </si>
  <si>
    <t>K0000820</t>
  </si>
  <si>
    <t>K0000821</t>
  </si>
  <si>
    <t>K0000822</t>
  </si>
  <si>
    <t>K0000823</t>
  </si>
  <si>
    <t>K0000824</t>
  </si>
  <si>
    <t>K0000825</t>
  </si>
  <si>
    <t>K0000826</t>
  </si>
  <si>
    <t>K0000827</t>
  </si>
  <si>
    <t>K0000828</t>
  </si>
  <si>
    <t>K0000829</t>
  </si>
  <si>
    <t>K0000830</t>
  </si>
  <si>
    <t>K0000831</t>
  </si>
  <si>
    <t>K0000832</t>
  </si>
  <si>
    <t>K0000833</t>
  </si>
  <si>
    <t>K0000834</t>
  </si>
  <si>
    <t>K0000835</t>
  </si>
  <si>
    <t>K0000836</t>
  </si>
  <si>
    <t>K0000837</t>
  </si>
  <si>
    <t>K0000838</t>
  </si>
  <si>
    <t>K0000839</t>
  </si>
  <si>
    <t>K0000840</t>
  </si>
  <si>
    <t>K0000841</t>
  </si>
  <si>
    <t>K0000842</t>
  </si>
  <si>
    <t>K0000843</t>
  </si>
  <si>
    <t>K0000844</t>
  </si>
  <si>
    <t>K0000845</t>
  </si>
  <si>
    <t>K0000846</t>
  </si>
  <si>
    <t>K0000847</t>
  </si>
  <si>
    <t>K0000848</t>
  </si>
  <si>
    <t>K0000849</t>
  </si>
  <si>
    <t>K0000850</t>
  </si>
  <si>
    <t>K0000851</t>
  </si>
  <si>
    <t>K0000852</t>
  </si>
  <si>
    <t>K0000853</t>
  </si>
  <si>
    <t>K0000854</t>
  </si>
  <si>
    <t>K0000855</t>
  </si>
  <si>
    <t>K0000856</t>
  </si>
  <si>
    <t>K0000857</t>
  </si>
  <si>
    <t>K0000858</t>
  </si>
  <si>
    <t>K0000859</t>
  </si>
  <si>
    <t>K0000860</t>
  </si>
  <si>
    <t>K0000861</t>
  </si>
  <si>
    <t>K0000862</t>
  </si>
  <si>
    <t>K0000863</t>
  </si>
  <si>
    <t>K0000864</t>
  </si>
  <si>
    <t>K0000865</t>
  </si>
  <si>
    <t>K0000866</t>
  </si>
  <si>
    <t>K0000867</t>
  </si>
  <si>
    <t>K0000868</t>
  </si>
  <si>
    <t>K0000869</t>
  </si>
  <si>
    <t>K0000870</t>
  </si>
  <si>
    <t>K0000871</t>
  </si>
  <si>
    <t>K0000872</t>
  </si>
  <si>
    <t>K0000873</t>
  </si>
  <si>
    <t>K0000874</t>
  </si>
  <si>
    <t>K0000875</t>
  </si>
  <si>
    <t>K0000876</t>
  </si>
  <si>
    <t>K0000877</t>
  </si>
  <si>
    <t>K0000878</t>
  </si>
  <si>
    <t>K0000879</t>
  </si>
  <si>
    <t>K0000880</t>
  </si>
  <si>
    <t>K0000881</t>
  </si>
  <si>
    <t>K0000882</t>
  </si>
  <si>
    <t>K0000883</t>
  </si>
  <si>
    <t>K0000884</t>
  </si>
  <si>
    <t>K0000885</t>
  </si>
  <si>
    <t>K0000886</t>
  </si>
  <si>
    <t>K0000887</t>
  </si>
  <si>
    <t>K0000888</t>
  </si>
  <si>
    <t>K0000889</t>
  </si>
  <si>
    <t>K0000890</t>
  </si>
  <si>
    <t>K0000891</t>
  </si>
  <si>
    <t>K0000892</t>
  </si>
  <si>
    <t>K0000893</t>
  </si>
  <si>
    <t>K0000894</t>
  </si>
  <si>
    <t>K0000895</t>
  </si>
  <si>
    <t>K0000896</t>
  </si>
  <si>
    <t>K0000897</t>
  </si>
  <si>
    <t>K0000898</t>
  </si>
  <si>
    <t>K0000899</t>
  </si>
  <si>
    <t>K0000900</t>
  </si>
  <si>
    <t>K0000901</t>
  </si>
  <si>
    <t>K0000902</t>
  </si>
  <si>
    <t>K0000903</t>
  </si>
  <si>
    <t>K0000904</t>
  </si>
  <si>
    <t>K0000905</t>
  </si>
  <si>
    <t>K0000906</t>
  </si>
  <si>
    <t>K0000907</t>
  </si>
  <si>
    <t>K0000908</t>
  </si>
  <si>
    <t>K0000909</t>
  </si>
  <si>
    <t>K0000910</t>
  </si>
  <si>
    <t>K0000911</t>
  </si>
  <si>
    <t>K0000912</t>
  </si>
  <si>
    <t>K0000913</t>
  </si>
  <si>
    <t>K0000914</t>
  </si>
  <si>
    <t>K0000915</t>
  </si>
  <si>
    <t>K0000916</t>
  </si>
  <si>
    <t>K0000917</t>
  </si>
  <si>
    <t>K0000918</t>
  </si>
  <si>
    <t>K0000919</t>
  </si>
  <si>
    <t>K0000920</t>
  </si>
  <si>
    <t>K0000921</t>
  </si>
  <si>
    <t>K0000922</t>
  </si>
  <si>
    <t>K0000923</t>
  </si>
  <si>
    <t>K0000924</t>
  </si>
  <si>
    <t>K0000925</t>
  </si>
  <si>
    <t>K0000926</t>
  </si>
  <si>
    <t>K0000927</t>
  </si>
  <si>
    <t>K0000928</t>
  </si>
  <si>
    <t>K0000929</t>
  </si>
  <si>
    <t>K0000930</t>
  </si>
  <si>
    <t>K0000931</t>
  </si>
  <si>
    <t>K0000932</t>
  </si>
  <si>
    <t>K0000933</t>
  </si>
  <si>
    <t>K0000934</t>
  </si>
  <si>
    <t>K0000935</t>
  </si>
  <si>
    <t>K0000936</t>
  </si>
  <si>
    <t>K0000937</t>
  </si>
  <si>
    <t>K0000938</t>
  </si>
  <si>
    <t>K0000939</t>
  </si>
  <si>
    <t>K0000940</t>
  </si>
  <si>
    <t>K0000941</t>
  </si>
  <si>
    <t>K0000942</t>
  </si>
  <si>
    <t>K0000943</t>
  </si>
  <si>
    <t>K0000944</t>
  </si>
  <si>
    <t>K0000945</t>
  </si>
  <si>
    <t>K0000946</t>
  </si>
  <si>
    <t>K0000947</t>
  </si>
  <si>
    <t>K0000948</t>
  </si>
  <si>
    <t>K0000949</t>
  </si>
  <si>
    <t>K0000950</t>
  </si>
  <si>
    <t>K0000951</t>
  </si>
  <si>
    <t>K0000952</t>
  </si>
  <si>
    <t>K0000953</t>
  </si>
  <si>
    <t>K0000954</t>
  </si>
  <si>
    <t>K0000955</t>
  </si>
  <si>
    <t>K0000956</t>
  </si>
  <si>
    <t>K0000957</t>
  </si>
  <si>
    <t>K0000958</t>
  </si>
  <si>
    <t>K0000959</t>
  </si>
  <si>
    <t>K0000960</t>
  </si>
  <si>
    <t>K0000961</t>
  </si>
  <si>
    <t>K0000962</t>
  </si>
  <si>
    <t>K0000963</t>
  </si>
  <si>
    <t>K0000964</t>
  </si>
  <si>
    <t>K0000965</t>
  </si>
  <si>
    <t>K0000966</t>
  </si>
  <si>
    <t>K0000967</t>
  </si>
  <si>
    <t>K0000968</t>
  </si>
  <si>
    <t>K0000969</t>
  </si>
  <si>
    <t>K0000970</t>
  </si>
  <si>
    <t>K0000971</t>
  </si>
  <si>
    <t>K0000972</t>
  </si>
  <si>
    <t>K0000973</t>
  </si>
  <si>
    <t>K0000974</t>
  </si>
  <si>
    <t>K0000975</t>
  </si>
  <si>
    <t>K0000976</t>
  </si>
  <si>
    <t>K0000977</t>
  </si>
  <si>
    <t>K0000978</t>
  </si>
  <si>
    <t>K0000979</t>
  </si>
  <si>
    <t>K0000980</t>
  </si>
  <si>
    <t>K0000981</t>
  </si>
  <si>
    <t>K0000982</t>
  </si>
  <si>
    <t>K0000983</t>
  </si>
  <si>
    <t>K0000984</t>
  </si>
  <si>
    <t>K0000985</t>
  </si>
  <si>
    <t>K0000986</t>
  </si>
  <si>
    <t>K0000987</t>
  </si>
  <si>
    <t>K0000988</t>
  </si>
  <si>
    <t>K0000989</t>
  </si>
  <si>
    <t>K0000990</t>
  </si>
  <si>
    <t>K0000991</t>
  </si>
  <si>
    <t>K0000992</t>
  </si>
  <si>
    <t>K0000993</t>
  </si>
  <si>
    <t>K0000994</t>
  </si>
  <si>
    <t>K0000995</t>
  </si>
  <si>
    <t>K0000996</t>
  </si>
  <si>
    <t>K0000997</t>
  </si>
  <si>
    <t>K0000998</t>
  </si>
  <si>
    <t>K0000999</t>
  </si>
  <si>
    <t>K0001000</t>
  </si>
  <si>
    <t>Name</t>
  </si>
  <si>
    <t>Mount Everest 1000</t>
  </si>
  <si>
    <t>Mount Everest 5000</t>
  </si>
  <si>
    <t>ID</t>
  </si>
  <si>
    <t xml:space="preserve">
WC Level
</t>
  </si>
  <si>
    <t>Mount Kilimanjaro 100</t>
  </si>
  <si>
    <t>Mount Kilimanjaro 15</t>
  </si>
  <si>
    <t>Mount Kilimanjaro 30</t>
  </si>
  <si>
    <t>Mount Kilimanjaro 60</t>
  </si>
  <si>
    <t>Mount Kilimanjaro 250</t>
  </si>
  <si>
    <t>Mount Kilimanjaro 500</t>
  </si>
  <si>
    <t>Mount Kilimanjaro 700</t>
  </si>
  <si>
    <t>Mount Everest 3000</t>
  </si>
  <si>
    <t>Mount Everest 2000</t>
  </si>
  <si>
    <t>Mount Everest 1500</t>
  </si>
  <si>
    <t>Creator Level Bonus</t>
  </si>
  <si>
    <t>WCQ Min</t>
  </si>
  <si>
    <t>WCQ Max</t>
  </si>
  <si>
    <t>Mths Qual</t>
  </si>
  <si>
    <t>Mpe Cecilia</t>
  </si>
  <si>
    <t>Ncheche</t>
  </si>
  <si>
    <t>5076 Mojatau Street, Rocklands, Bloemfontein</t>
  </si>
  <si>
    <t>Pensioner</t>
  </si>
  <si>
    <t>MC Ncheche</t>
  </si>
  <si>
    <t>P</t>
  </si>
  <si>
    <t>Porven</t>
  </si>
  <si>
    <t>Moholo</t>
  </si>
  <si>
    <t>porven@webmail.co.za</t>
  </si>
  <si>
    <t>16597 Kgabushwane street,Rocklands,Bloemfontein</t>
  </si>
  <si>
    <t>Bloemfontein Water Front</t>
  </si>
  <si>
    <t>MPS Moholo</t>
  </si>
  <si>
    <t>Khoeli Puleng</t>
  </si>
  <si>
    <t>Mavis</t>
  </si>
  <si>
    <t>pulengkhoeli@gmail.com</t>
  </si>
  <si>
    <t>1538 Eureka Park, Meloding, Virginia</t>
  </si>
  <si>
    <t>VIRGINIA</t>
  </si>
  <si>
    <t>KP Mavis</t>
  </si>
  <si>
    <t>AT</t>
  </si>
  <si>
    <t>Ali Tshidiso</t>
  </si>
  <si>
    <t>Zakaria</t>
  </si>
  <si>
    <t>tshedisoa33@gmail.com</t>
  </si>
  <si>
    <t>2622 N Section, Botshabelo</t>
  </si>
  <si>
    <t>AT ZAKARIA</t>
  </si>
  <si>
    <t>MD</t>
  </si>
  <si>
    <t>Maria Dikgweng</t>
  </si>
  <si>
    <t>Thibakgwane</t>
  </si>
  <si>
    <t>15127 Phase Six, Bloemfontein</t>
  </si>
  <si>
    <t>PB</t>
  </si>
  <si>
    <t>Precious Boipelo</t>
  </si>
  <si>
    <t>Malebo</t>
  </si>
  <si>
    <t>3701 Tau Street, Rocklands, Bloemfontein</t>
  </si>
  <si>
    <t>Advisor</t>
  </si>
  <si>
    <t>Bloemfontein Maitland</t>
  </si>
  <si>
    <t>PB Malebo</t>
  </si>
  <si>
    <t>MD Thibakgwane</t>
  </si>
  <si>
    <t xml:space="preserve">
Commission Levels
</t>
  </si>
  <si>
    <t>Gross Subscriber Fees</t>
  </si>
  <si>
    <t>Gross Subscriber Policies</t>
  </si>
  <si>
    <t>Unpaid Subscriber Policies</t>
  </si>
  <si>
    <t>Unpaid Subscriber Fees</t>
  </si>
  <si>
    <t xml:space="preserve">
Commission
Deductions
</t>
  </si>
  <si>
    <t>Net Subscriber Policies</t>
  </si>
  <si>
    <t>Earned Commission</t>
  </si>
  <si>
    <t>Earned 
Commission</t>
  </si>
  <si>
    <t>Net Subscriber 
Fees</t>
  </si>
  <si>
    <t>Earned Bonus</t>
  </si>
  <si>
    <t>Bonus Level</t>
  </si>
  <si>
    <t>None</t>
  </si>
  <si>
    <t xml:space="preserve">
Paid Admin Fee
</t>
  </si>
  <si>
    <t>Total Commission Earned</t>
  </si>
  <si>
    <t>Date</t>
  </si>
  <si>
    <t>Reason</t>
  </si>
  <si>
    <t>InsFunds</t>
  </si>
  <si>
    <t>Relationship Exists</t>
  </si>
  <si>
    <t>Creator Level</t>
  </si>
  <si>
    <t>Unique Agents</t>
  </si>
  <si>
    <t>Wealth Create 
One</t>
  </si>
  <si>
    <t>Wealth Create 
Two</t>
  </si>
  <si>
    <t>Wealth Create 
Three</t>
  </si>
  <si>
    <t>Wealth Create 
Four</t>
  </si>
  <si>
    <t>Wealth Create 
Five</t>
  </si>
  <si>
    <t>Wealth Create 
Six</t>
  </si>
  <si>
    <t>Wealth Create 
Seven</t>
  </si>
  <si>
    <t>Total Agents</t>
  </si>
  <si>
    <t>Total Policy Count</t>
  </si>
  <si>
    <t>Active Agents</t>
  </si>
  <si>
    <t>Paid Subscriptions</t>
  </si>
  <si>
    <t>Cancelled Subscriptions</t>
  </si>
  <si>
    <t>Unpaid Subscriptions</t>
  </si>
  <si>
    <t xml:space="preserve">
Intro No
</t>
  </si>
  <si>
    <t>Agent No</t>
  </si>
  <si>
    <t>Surname</t>
  </si>
  <si>
    <t>Join Date</t>
  </si>
  <si>
    <t>Debt Day</t>
  </si>
  <si>
    <t>Policy Paid</t>
  </si>
  <si>
    <t>Y</t>
  </si>
  <si>
    <t>KP</t>
  </si>
  <si>
    <t>Wealth Create Two</t>
  </si>
  <si>
    <t>Wealth Create Three</t>
  </si>
  <si>
    <t>Wealth Create Four</t>
  </si>
  <si>
    <t>Wealth Create Five</t>
  </si>
  <si>
    <t>Wealth Create Six</t>
  </si>
  <si>
    <t>Wealth Create Seven</t>
  </si>
  <si>
    <t>Commission Month</t>
  </si>
  <si>
    <t>Subscription 
Settlement</t>
  </si>
  <si>
    <t>Subscription 
Start Date</t>
  </si>
  <si>
    <t>Gross Subscriber Fee</t>
  </si>
  <si>
    <t>Net 
Commission</t>
  </si>
  <si>
    <t>Net 
Subscriber Fee</t>
  </si>
  <si>
    <t>Totals</t>
  </si>
  <si>
    <t>Wealth Creator 
One</t>
  </si>
  <si>
    <t>Wealth Creator 
Two</t>
  </si>
  <si>
    <t>Wealth Creator 
Three</t>
  </si>
  <si>
    <t>Wealth Creator 
Four</t>
  </si>
  <si>
    <t>Wealth Creator 
Five</t>
  </si>
  <si>
    <t>Wealth Creator 
Six</t>
  </si>
  <si>
    <t>Wealth Creator 
Seven</t>
  </si>
  <si>
    <t>Paid Policy</t>
  </si>
  <si>
    <t>Statement Date</t>
  </si>
  <si>
    <t>Additional Commissions</t>
  </si>
  <si>
    <t xml:space="preserve">
Commission/Bonus
</t>
  </si>
  <si>
    <t>Admin Fee Bonus</t>
  </si>
  <si>
    <t xml:space="preserve">
Admin Fee Bonus
</t>
  </si>
  <si>
    <t>Fee Paid</t>
  </si>
  <si>
    <t>Patience Kelebogile</t>
  </si>
  <si>
    <t>Tsiu</t>
  </si>
  <si>
    <t>PK</t>
  </si>
  <si>
    <t>5968 Kopane Street, Rocklands Location,Bloemfontein</t>
  </si>
  <si>
    <t>Maitland, Bloemfontein</t>
  </si>
  <si>
    <t>PK Tsiu</t>
  </si>
  <si>
    <t>M</t>
  </si>
  <si>
    <t>Mirriam</t>
  </si>
  <si>
    <t>Masethi</t>
  </si>
  <si>
    <t>78 Darius Mhlongo Street, Mohlakeng</t>
  </si>
  <si>
    <t>Eye Screener</t>
  </si>
  <si>
    <t>Randfontein</t>
  </si>
  <si>
    <t>M Masethi</t>
  </si>
  <si>
    <t>TR</t>
  </si>
  <si>
    <t>Thapelo Robert</t>
  </si>
  <si>
    <t>Mokgautsi</t>
  </si>
  <si>
    <t>mokgautsit@gmail.com</t>
  </si>
  <si>
    <t>7404 Johnny Mokua Street, Mohlakeng, Randfontein</t>
  </si>
  <si>
    <t>TR Mokgautsi</t>
  </si>
  <si>
    <t>HA</t>
  </si>
  <si>
    <t>Happy Alex</t>
  </si>
  <si>
    <t>Bobejane</t>
  </si>
  <si>
    <t>alex.bobejane@harmony.co.za</t>
  </si>
  <si>
    <t>317 Atamela Street, Wedela</t>
  </si>
  <si>
    <t>Supervisor</t>
  </si>
  <si>
    <t>HA Bobejane</t>
  </si>
  <si>
    <t>Tshitso Petrus</t>
  </si>
  <si>
    <t>Ntlhare</t>
  </si>
  <si>
    <t>0781010258@mtnloaded.co.za</t>
  </si>
  <si>
    <t>1578 K Section, Botshabelo</t>
  </si>
  <si>
    <t>TP Ntlhare</t>
  </si>
  <si>
    <t>LL</t>
  </si>
  <si>
    <t>Lesley Lebohang</t>
  </si>
  <si>
    <t>Baholo</t>
  </si>
  <si>
    <t>lebohangbaholo@yahoo.com</t>
  </si>
  <si>
    <t>62 Klerck Avenue, Brandwag, Bloemfontein</t>
  </si>
  <si>
    <t>P O Box 100833, Brandwag Brandhof, Bloemfontein</t>
  </si>
  <si>
    <t>Sales Executive</t>
  </si>
  <si>
    <t>Brandwag</t>
  </si>
  <si>
    <t>LL Baholo</t>
  </si>
  <si>
    <t>PJC</t>
  </si>
  <si>
    <t>Potlako John Cowen</t>
  </si>
  <si>
    <t>Khetsekile</t>
  </si>
  <si>
    <t>pkhetsekile@oldmutual.com</t>
  </si>
  <si>
    <t>16404 Ndlonlo Street,Phase 2,Bloemfontein</t>
  </si>
  <si>
    <t>PJC Khetsekile</t>
  </si>
  <si>
    <t>EM</t>
  </si>
  <si>
    <t>Elizabeth Monica</t>
  </si>
  <si>
    <t>Mafole</t>
  </si>
  <si>
    <t>mafole.monica@gmail.com</t>
  </si>
  <si>
    <t>2151 Phomolong Location,Po Lengau,Kroonstard</t>
  </si>
  <si>
    <t>Po Box 3431,Bloemfontein</t>
  </si>
  <si>
    <t>Human resource Officer</t>
  </si>
  <si>
    <t>EMT Mafole</t>
  </si>
  <si>
    <t>W</t>
  </si>
  <si>
    <t>Weziwe</t>
  </si>
  <si>
    <t>Monaheng</t>
  </si>
  <si>
    <t>17858 Phase 2,Bloemfontein</t>
  </si>
  <si>
    <t>20,000</t>
  </si>
  <si>
    <t>W Monaheng</t>
  </si>
  <si>
    <t>I</t>
  </si>
  <si>
    <t>Itumeleng</t>
  </si>
  <si>
    <t>Maleke</t>
  </si>
  <si>
    <t>257 monisi section,Katlehong,Johannesburg</t>
  </si>
  <si>
    <t>Germiston</t>
  </si>
  <si>
    <t>I Maleke</t>
  </si>
  <si>
    <t>KD</t>
  </si>
  <si>
    <t>Kelebogile Dorathy</t>
  </si>
  <si>
    <t>Maruping</t>
  </si>
  <si>
    <t>7378 Mokoloko Street,Rocklands,Bloemfontein</t>
  </si>
  <si>
    <t>KD Maruping</t>
  </si>
  <si>
    <t>AL</t>
  </si>
  <si>
    <t>Annie    Lochner</t>
  </si>
  <si>
    <t>Roux</t>
  </si>
  <si>
    <t>lochner1919@gmail.com</t>
  </si>
  <si>
    <t>Plot 29,Ribblesdale,Bloemfontein</t>
  </si>
  <si>
    <t>Po Box 37717,Langenhoven Park,Bloemfontein</t>
  </si>
  <si>
    <t>AL Roux</t>
  </si>
  <si>
    <t>NA</t>
  </si>
  <si>
    <t>MC</t>
  </si>
</sst>
</file>

<file path=xl/styles.xml><?xml version="1.0" encoding="utf-8"?>
<styleSheet xmlns="http://schemas.openxmlformats.org/spreadsheetml/2006/main">
  <numFmts count="8">
    <numFmt numFmtId="164" formatCode="\K000000\1"/>
    <numFmt numFmtId="165" formatCode="\(000\)\ 0000000"/>
    <numFmt numFmtId="166" formatCode="&quot;R&quot;\ #,##0.00;[Red]&quot;R&quot;\ #,##0.00"/>
    <numFmt numFmtId="167" formatCode="&quot;R&quot;\ #,##0.00"/>
    <numFmt numFmtId="168" formatCode="yyyy/mm/dd;@"/>
    <numFmt numFmtId="169" formatCode="[$-1C09]dd\ mmmm\ yyyy;@"/>
    <numFmt numFmtId="170" formatCode="yyyy\-mm\-dd;@"/>
    <numFmt numFmtId="171" formatCode="dd"/>
  </numFmts>
  <fonts count="10">
    <font>
      <sz val="11"/>
      <color theme="1"/>
      <name val="Calibri"/>
      <family val="2"/>
      <scheme val="minor"/>
    </font>
    <font>
      <sz val="10"/>
      <color theme="1"/>
      <name val="Calibri"/>
      <family val="2"/>
    </font>
    <font>
      <sz val="10"/>
      <color theme="1"/>
      <name val="Calibri"/>
      <family val="2"/>
      <scheme val="minor"/>
    </font>
    <font>
      <b/>
      <sz val="10"/>
      <color theme="1"/>
      <name val="Calibri"/>
      <family val="2"/>
      <scheme val="minor"/>
    </font>
    <font>
      <sz val="9"/>
      <color indexed="81"/>
      <name val="Tahoma"/>
      <family val="2"/>
    </font>
    <font>
      <sz val="8"/>
      <color rgb="FF000000"/>
      <name val="Verdana"/>
      <family val="2"/>
    </font>
    <font>
      <u/>
      <sz val="11"/>
      <color theme="10"/>
      <name val="Calibri"/>
      <family val="2"/>
    </font>
    <font>
      <b/>
      <sz val="10"/>
      <color indexed="8"/>
      <name val="Calibri"/>
      <family val="2"/>
    </font>
    <font>
      <sz val="10"/>
      <color indexed="8"/>
      <name val="Calibri"/>
      <family val="2"/>
    </font>
    <font>
      <b/>
      <sz val="11"/>
      <color theme="1"/>
      <name val="Calibri"/>
      <family val="2"/>
      <scheme val="minor"/>
    </font>
  </fonts>
  <fills count="4">
    <fill>
      <patternFill patternType="none"/>
    </fill>
    <fill>
      <patternFill patternType="gray125"/>
    </fill>
    <fill>
      <patternFill patternType="solid">
        <fgColor rgb="FFBFD231"/>
        <bgColor indexed="64"/>
      </patternFill>
    </fill>
    <fill>
      <patternFill patternType="solid">
        <fgColor rgb="FFFF0000"/>
        <bgColor indexed="64"/>
      </patternFill>
    </fill>
  </fills>
  <borders count="1">
    <border>
      <left/>
      <right/>
      <top/>
      <bottom/>
      <diagonal/>
    </border>
  </borders>
  <cellStyleXfs count="2">
    <xf numFmtId="169" fontId="0" fillId="0" borderId="0"/>
    <xf numFmtId="169" fontId="6" fillId="0" borderId="0" applyNumberFormat="0" applyFill="0" applyBorder="0" applyAlignment="0" applyProtection="0">
      <alignment vertical="top"/>
      <protection locked="0"/>
    </xf>
  </cellStyleXfs>
  <cellXfs count="84">
    <xf numFmtId="169" fontId="0" fillId="0" borderId="0" xfId="0"/>
    <xf numFmtId="169" fontId="1" fillId="0" borderId="0" xfId="0" applyNumberFormat="1" applyFont="1" applyAlignment="1" applyProtection="1">
      <alignment horizontal="center"/>
    </xf>
    <xf numFmtId="169" fontId="2" fillId="0" borderId="0" xfId="0" applyFont="1"/>
    <xf numFmtId="167" fontId="2" fillId="0" borderId="0" xfId="0" applyNumberFormat="1" applyFont="1"/>
    <xf numFmtId="9" fontId="2" fillId="0" borderId="0" xfId="0" applyNumberFormat="1" applyFont="1"/>
    <xf numFmtId="169" fontId="3" fillId="0" borderId="0" xfId="0" applyFont="1"/>
    <xf numFmtId="169" fontId="2" fillId="0" borderId="0" xfId="0" applyFont="1" applyAlignment="1">
      <alignment horizontal="center" vertical="center"/>
    </xf>
    <xf numFmtId="14" fontId="2" fillId="0" borderId="0" xfId="0" applyNumberFormat="1" applyFont="1"/>
    <xf numFmtId="169" fontId="3" fillId="0" borderId="0" xfId="0" applyFont="1" applyAlignment="1">
      <alignment horizontal="right"/>
    </xf>
    <xf numFmtId="169" fontId="2" fillId="0" borderId="0" xfId="0" applyFont="1" applyAlignment="1" applyProtection="1">
      <alignment horizontal="center" vertical="center" wrapText="1"/>
      <protection locked="0"/>
    </xf>
    <xf numFmtId="169" fontId="2" fillId="0" borderId="0" xfId="0" applyFont="1" applyProtection="1">
      <protection locked="0"/>
    </xf>
    <xf numFmtId="169" fontId="1" fillId="0" borderId="0" xfId="0" applyFont="1" applyProtection="1">
      <protection locked="0"/>
    </xf>
    <xf numFmtId="169" fontId="1" fillId="0" borderId="0" xfId="0" applyNumberFormat="1" applyFont="1" applyAlignment="1" applyProtection="1">
      <alignment horizontal="center"/>
      <protection locked="0"/>
    </xf>
    <xf numFmtId="169" fontId="1" fillId="0" borderId="0" xfId="0" applyFont="1" applyAlignment="1" applyProtection="1">
      <alignment horizontal="center"/>
      <protection locked="0"/>
    </xf>
    <xf numFmtId="169" fontId="1" fillId="0" borderId="0" xfId="0" applyFont="1" applyAlignment="1" applyProtection="1">
      <alignment horizontal="center" vertical="center"/>
      <protection locked="0"/>
    </xf>
    <xf numFmtId="49" fontId="1" fillId="0" borderId="0" xfId="0" applyNumberFormat="1" applyFont="1" applyProtection="1">
      <protection locked="0"/>
    </xf>
    <xf numFmtId="1" fontId="1" fillId="0" borderId="0" xfId="0" applyNumberFormat="1" applyFont="1" applyProtection="1">
      <protection locked="0"/>
    </xf>
    <xf numFmtId="165" fontId="1" fillId="0" borderId="0" xfId="0" applyNumberFormat="1" applyFont="1" applyProtection="1">
      <protection locked="0"/>
    </xf>
    <xf numFmtId="166" fontId="1" fillId="0" borderId="0" xfId="0" applyNumberFormat="1" applyFont="1" applyProtection="1">
      <protection locked="0"/>
    </xf>
    <xf numFmtId="169" fontId="2" fillId="0" borderId="0" xfId="0" applyFont="1" applyAlignment="1" applyProtection="1">
      <alignment horizontal="center" vertical="center" wrapText="1"/>
    </xf>
    <xf numFmtId="169" fontId="2" fillId="0" borderId="0" xfId="0" applyFont="1" applyAlignment="1" applyProtection="1">
      <alignment horizontal="center" vertical="center"/>
    </xf>
    <xf numFmtId="169" fontId="2" fillId="0" borderId="0" xfId="0" applyFont="1" applyProtection="1"/>
    <xf numFmtId="169" fontId="2" fillId="0" borderId="0" xfId="0" applyNumberFormat="1" applyFont="1" applyProtection="1"/>
    <xf numFmtId="167" fontId="2" fillId="0" borderId="0" xfId="0" applyNumberFormat="1" applyFont="1" applyProtection="1"/>
    <xf numFmtId="9" fontId="2" fillId="0" borderId="0" xfId="0" applyNumberFormat="1" applyFont="1" applyProtection="1"/>
    <xf numFmtId="169" fontId="2" fillId="0" borderId="0" xfId="0" applyFont="1" applyAlignment="1" applyProtection="1">
      <alignment wrapText="1"/>
    </xf>
    <xf numFmtId="14" fontId="1" fillId="0" borderId="0" xfId="0" applyNumberFormat="1" applyFont="1" applyAlignment="1" applyProtection="1">
      <alignment horizontal="right"/>
      <protection locked="0"/>
    </xf>
    <xf numFmtId="164" fontId="1" fillId="0" borderId="0" xfId="0" applyNumberFormat="1" applyFont="1" applyAlignment="1" applyProtection="1">
      <alignment horizontal="center"/>
    </xf>
    <xf numFmtId="169" fontId="1" fillId="0" borderId="0" xfId="0" applyNumberFormat="1" applyFont="1" applyFill="1" applyAlignment="1" applyProtection="1">
      <alignment horizontal="center"/>
    </xf>
    <xf numFmtId="169" fontId="1" fillId="0" borderId="0" xfId="0" applyFont="1" applyFill="1"/>
    <xf numFmtId="49" fontId="1" fillId="0" borderId="0" xfId="0" applyNumberFormat="1" applyFont="1" applyFill="1"/>
    <xf numFmtId="1" fontId="1" fillId="0" borderId="0" xfId="0" applyNumberFormat="1" applyFont="1" applyFill="1"/>
    <xf numFmtId="165" fontId="1" fillId="0" borderId="0" xfId="0" applyNumberFormat="1" applyFont="1" applyFill="1"/>
    <xf numFmtId="49" fontId="6" fillId="0" borderId="0" xfId="1" applyNumberFormat="1" applyFill="1" applyAlignment="1" applyProtection="1"/>
    <xf numFmtId="166" fontId="1" fillId="0" borderId="0" xfId="0" applyNumberFormat="1" applyFont="1" applyFill="1"/>
    <xf numFmtId="169" fontId="1" fillId="0" borderId="0" xfId="0" applyFont="1" applyFill="1" applyAlignment="1">
      <alignment horizontal="center"/>
    </xf>
    <xf numFmtId="14" fontId="1" fillId="0" borderId="0" xfId="0" applyNumberFormat="1" applyFont="1" applyFill="1"/>
    <xf numFmtId="167" fontId="2" fillId="0" borderId="0" xfId="0" applyNumberFormat="1" applyFont="1" applyProtection="1">
      <protection locked="0"/>
    </xf>
    <xf numFmtId="168" fontId="1" fillId="0" borderId="0" xfId="0" applyNumberFormat="1" applyFont="1" applyAlignment="1" applyProtection="1">
      <alignment horizontal="right"/>
    </xf>
    <xf numFmtId="169" fontId="2" fillId="0" borderId="0" xfId="0" applyFont="1" applyAlignment="1" applyProtection="1">
      <alignment horizontal="right"/>
    </xf>
    <xf numFmtId="169" fontId="2" fillId="2" borderId="0" xfId="0" applyFont="1" applyFill="1" applyAlignment="1">
      <alignment horizontal="center" vertical="center" wrapText="1"/>
    </xf>
    <xf numFmtId="169" fontId="2" fillId="0" borderId="0" xfId="0" applyNumberFormat="1" applyFont="1" applyFill="1" applyAlignment="1">
      <alignment horizontal="left"/>
    </xf>
    <xf numFmtId="169" fontId="2" fillId="2" borderId="0" xfId="0" applyFont="1" applyFill="1" applyAlignment="1">
      <alignment horizontal="left" vertical="center" wrapText="1"/>
    </xf>
    <xf numFmtId="169" fontId="3" fillId="2" borderId="0" xfId="0" applyFont="1" applyFill="1" applyAlignment="1">
      <alignment horizontal="left" vertical="center" wrapText="1"/>
    </xf>
    <xf numFmtId="169" fontId="2" fillId="0" borderId="0" xfId="0" applyFont="1" applyAlignment="1"/>
    <xf numFmtId="169" fontId="9" fillId="0" borderId="0" xfId="0" applyFont="1" applyFill="1" applyAlignment="1">
      <alignment horizontal="left" wrapText="1"/>
    </xf>
    <xf numFmtId="14" fontId="1" fillId="0" borderId="0" xfId="0" applyNumberFormat="1" applyFont="1" applyProtection="1">
      <protection locked="0"/>
    </xf>
    <xf numFmtId="164" fontId="1" fillId="3" borderId="0" xfId="0" applyNumberFormat="1" applyFont="1" applyFill="1" applyAlignment="1" applyProtection="1">
      <alignment horizontal="left" vertical="center"/>
    </xf>
    <xf numFmtId="14" fontId="1" fillId="0" borderId="0" xfId="0" applyNumberFormat="1" applyFont="1" applyFill="1" applyProtection="1">
      <protection locked="0"/>
    </xf>
    <xf numFmtId="169" fontId="2" fillId="3" borderId="0" xfId="0" applyFont="1" applyFill="1" applyAlignment="1">
      <alignment horizontal="center" vertical="center"/>
    </xf>
    <xf numFmtId="169" fontId="2" fillId="3" borderId="0" xfId="0" applyFont="1" applyFill="1" applyAlignment="1" applyProtection="1">
      <alignment horizontal="center" vertical="center"/>
    </xf>
    <xf numFmtId="169" fontId="2" fillId="3" borderId="0" xfId="0" applyFont="1" applyFill="1" applyAlignment="1">
      <alignment horizontal="center" vertical="center" wrapText="1"/>
    </xf>
    <xf numFmtId="169" fontId="1" fillId="0" borderId="0" xfId="0" applyFont="1" applyAlignment="1" applyProtection="1">
      <alignment horizontal="center" vertical="center" wrapText="1"/>
      <protection locked="0"/>
    </xf>
    <xf numFmtId="169" fontId="0" fillId="0" borderId="0" xfId="0" applyProtection="1">
      <protection locked="0"/>
    </xf>
    <xf numFmtId="14" fontId="1" fillId="0" borderId="0" xfId="0" applyNumberFormat="1" applyFont="1" applyAlignment="1" applyProtection="1">
      <alignment horizontal="center" vertical="center"/>
      <protection locked="0"/>
    </xf>
    <xf numFmtId="14" fontId="2" fillId="0" borderId="0" xfId="0" applyNumberFormat="1" applyFont="1" applyProtection="1">
      <protection locked="0"/>
    </xf>
    <xf numFmtId="1" fontId="2" fillId="0" borderId="0" xfId="0" applyNumberFormat="1" applyFont="1"/>
    <xf numFmtId="1" fontId="2" fillId="2" borderId="0" xfId="0" applyNumberFormat="1" applyFont="1" applyFill="1" applyAlignment="1">
      <alignment horizontal="center" vertical="center" wrapText="1"/>
    </xf>
    <xf numFmtId="1" fontId="2" fillId="0" borderId="0" xfId="0" applyNumberFormat="1" applyFont="1" applyProtection="1">
      <protection locked="0"/>
    </xf>
    <xf numFmtId="170" fontId="2" fillId="0" borderId="0" xfId="0" applyNumberFormat="1" applyFont="1"/>
    <xf numFmtId="1" fontId="1" fillId="0" borderId="0" xfId="0" applyNumberFormat="1" applyFont="1" applyAlignment="1" applyProtection="1">
      <alignment horizontal="center" vertical="center"/>
      <protection locked="0"/>
    </xf>
    <xf numFmtId="1" fontId="0" fillId="0" borderId="0" xfId="0" applyNumberFormat="1" applyProtection="1">
      <protection locked="0"/>
    </xf>
    <xf numFmtId="1" fontId="1" fillId="0" borderId="0" xfId="0" applyNumberFormat="1" applyFont="1" applyAlignment="1" applyProtection="1">
      <alignment horizontal="center" vertical="center" wrapText="1"/>
      <protection locked="0"/>
    </xf>
    <xf numFmtId="1" fontId="1" fillId="3" borderId="0" xfId="0" applyNumberFormat="1" applyFont="1" applyFill="1" applyAlignment="1" applyProtection="1">
      <alignment horizontal="center" vertical="center" wrapText="1"/>
    </xf>
    <xf numFmtId="1" fontId="1" fillId="0" borderId="0" xfId="0" applyNumberFormat="1" applyFont="1" applyProtection="1"/>
    <xf numFmtId="1" fontId="1" fillId="0" borderId="0" xfId="0" applyNumberFormat="1" applyFont="1" applyAlignment="1" applyProtection="1">
      <alignment horizontal="center" vertical="center" wrapText="1"/>
    </xf>
    <xf numFmtId="1" fontId="2" fillId="0" borderId="0" xfId="0" applyNumberFormat="1" applyFont="1" applyAlignment="1" applyProtection="1">
      <alignment horizontal="center" vertical="center" wrapText="1"/>
      <protection locked="0"/>
    </xf>
    <xf numFmtId="1" fontId="2" fillId="3" borderId="0" xfId="0" applyNumberFormat="1" applyFont="1" applyFill="1" applyAlignment="1">
      <alignment horizontal="center" vertical="center" wrapText="1"/>
    </xf>
    <xf numFmtId="1" fontId="5" fillId="0" borderId="0" xfId="0" applyNumberFormat="1" applyFont="1" applyProtection="1">
      <protection locked="0"/>
    </xf>
    <xf numFmtId="14" fontId="2" fillId="3" borderId="0" xfId="0" applyNumberFormat="1" applyFont="1" applyFill="1" applyAlignment="1">
      <alignment horizontal="center" vertical="center" wrapText="1"/>
    </xf>
    <xf numFmtId="169" fontId="2" fillId="2" borderId="0" xfId="0" applyFont="1" applyFill="1"/>
    <xf numFmtId="169" fontId="2" fillId="0" borderId="0" xfId="0" applyFont="1" applyFill="1"/>
    <xf numFmtId="1" fontId="2" fillId="0" borderId="0" xfId="0" applyNumberFormat="1" applyFont="1" applyAlignment="1">
      <alignment horizontal="right"/>
    </xf>
    <xf numFmtId="14" fontId="2" fillId="0" borderId="0" xfId="0" applyNumberFormat="1" applyFont="1" applyAlignment="1">
      <alignment horizontal="right"/>
    </xf>
    <xf numFmtId="169" fontId="2" fillId="0" borderId="0" xfId="0" applyFont="1" applyAlignment="1">
      <alignment horizontal="right"/>
    </xf>
    <xf numFmtId="14" fontId="2" fillId="0" borderId="0" xfId="0" applyNumberFormat="1" applyFont="1" applyAlignment="1">
      <alignment horizontal="left"/>
    </xf>
    <xf numFmtId="171" fontId="2" fillId="0" borderId="0" xfId="0" applyNumberFormat="1" applyFont="1" applyAlignment="1">
      <alignment horizontal="right"/>
    </xf>
    <xf numFmtId="169" fontId="3" fillId="0" borderId="0" xfId="0" applyFont="1" applyProtection="1">
      <protection locked="0"/>
    </xf>
    <xf numFmtId="1" fontId="3" fillId="0" borderId="0" xfId="0" applyNumberFormat="1" applyFont="1" applyAlignment="1">
      <alignment wrapText="1"/>
    </xf>
    <xf numFmtId="1" fontId="3" fillId="0" borderId="0" xfId="0" applyNumberFormat="1" applyFont="1"/>
    <xf numFmtId="167" fontId="2" fillId="0" borderId="0" xfId="0" applyNumberFormat="1" applyFont="1" applyAlignment="1">
      <alignment horizontal="right"/>
    </xf>
    <xf numFmtId="14" fontId="3" fillId="0" borderId="0" xfId="0" applyNumberFormat="1" applyFont="1" applyAlignment="1">
      <alignment horizontal="right"/>
    </xf>
    <xf numFmtId="49" fontId="6" fillId="0" borderId="0" xfId="1" applyNumberFormat="1" applyAlignment="1" applyProtection="1">
      <protection locked="0"/>
    </xf>
    <xf numFmtId="169" fontId="2" fillId="0" borderId="0" xfId="0" applyFont="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BFD231"/>
      <color rgb="FF001642"/>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361951</xdr:colOff>
      <xdr:row>0</xdr:row>
      <xdr:rowOff>0</xdr:rowOff>
    </xdr:from>
    <xdr:to>
      <xdr:col>9</xdr:col>
      <xdr:colOff>1081351</xdr:colOff>
      <xdr:row>5</xdr:row>
      <xdr:rowOff>0</xdr:rowOff>
    </xdr:to>
    <xdr:pic>
      <xdr:nvPicPr>
        <xdr:cNvPr id="2" name="Picture 1" descr="Khiars 12 Page A4 Application Form P1.jpg"/>
        <xdr:cNvPicPr>
          <a:picLocks noChangeAspect="1"/>
        </xdr:cNvPicPr>
      </xdr:nvPicPr>
      <xdr:blipFill>
        <a:blip xmlns:r="http://schemas.openxmlformats.org/officeDocument/2006/relationships" r:embed="rId1" cstate="print"/>
        <a:srcRect l="79013" t="5064" r="7634" b="83847"/>
        <a:stretch>
          <a:fillRect/>
        </a:stretch>
      </xdr:blipFill>
      <xdr:spPr>
        <a:xfrm>
          <a:off x="13287376" y="0"/>
          <a:ext cx="719400" cy="838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361951</xdr:colOff>
      <xdr:row>0</xdr:row>
      <xdr:rowOff>0</xdr:rowOff>
    </xdr:from>
    <xdr:to>
      <xdr:col>11</xdr:col>
      <xdr:colOff>1081351</xdr:colOff>
      <xdr:row>5</xdr:row>
      <xdr:rowOff>0</xdr:rowOff>
    </xdr:to>
    <xdr:pic>
      <xdr:nvPicPr>
        <xdr:cNvPr id="2" name="Picture 1" descr="Khiars 12 Page A4 Application Form P1.jpg"/>
        <xdr:cNvPicPr>
          <a:picLocks noChangeAspect="1"/>
        </xdr:cNvPicPr>
      </xdr:nvPicPr>
      <xdr:blipFill>
        <a:blip xmlns:r="http://schemas.openxmlformats.org/officeDocument/2006/relationships" r:embed="rId1" cstate="print"/>
        <a:srcRect l="79013" t="5064" r="7634" b="83847"/>
        <a:stretch>
          <a:fillRect/>
        </a:stretch>
      </xdr:blipFill>
      <xdr:spPr>
        <a:xfrm>
          <a:off x="11934826" y="0"/>
          <a:ext cx="719400" cy="838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361951</xdr:colOff>
      <xdr:row>0</xdr:row>
      <xdr:rowOff>0</xdr:rowOff>
    </xdr:from>
    <xdr:to>
      <xdr:col>9</xdr:col>
      <xdr:colOff>1081351</xdr:colOff>
      <xdr:row>5</xdr:row>
      <xdr:rowOff>142875</xdr:rowOff>
    </xdr:to>
    <xdr:pic>
      <xdr:nvPicPr>
        <xdr:cNvPr id="2" name="Picture 1" descr="Khiars 12 Page A4 Application Form P1.jpg"/>
        <xdr:cNvPicPr>
          <a:picLocks noChangeAspect="1"/>
        </xdr:cNvPicPr>
      </xdr:nvPicPr>
      <xdr:blipFill>
        <a:blip xmlns:r="http://schemas.openxmlformats.org/officeDocument/2006/relationships" r:embed="rId1" cstate="print"/>
        <a:srcRect l="79013" t="5064" r="7634" b="83847"/>
        <a:stretch>
          <a:fillRect/>
        </a:stretch>
      </xdr:blipFill>
      <xdr:spPr>
        <a:xfrm>
          <a:off x="13287376" y="0"/>
          <a:ext cx="719400" cy="838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361951</xdr:colOff>
      <xdr:row>0</xdr:row>
      <xdr:rowOff>0</xdr:rowOff>
    </xdr:from>
    <xdr:to>
      <xdr:col>9</xdr:col>
      <xdr:colOff>1081351</xdr:colOff>
      <xdr:row>5</xdr:row>
      <xdr:rowOff>0</xdr:rowOff>
    </xdr:to>
    <xdr:pic>
      <xdr:nvPicPr>
        <xdr:cNvPr id="2" name="Picture 1" descr="Khiars 12 Page A4 Application Form P1.jpg"/>
        <xdr:cNvPicPr>
          <a:picLocks noChangeAspect="1"/>
        </xdr:cNvPicPr>
      </xdr:nvPicPr>
      <xdr:blipFill>
        <a:blip xmlns:r="http://schemas.openxmlformats.org/officeDocument/2006/relationships" r:embed="rId1" cstate="print"/>
        <a:srcRect l="79013" t="5064" r="7634" b="83847"/>
        <a:stretch>
          <a:fillRect/>
        </a:stretch>
      </xdr:blipFill>
      <xdr:spPr>
        <a:xfrm>
          <a:off x="13287376" y="0"/>
          <a:ext cx="719400" cy="8382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agiso/AppData/Local/Temp/Rar$DIa0.867/KHIARS%20User%20Databas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freehomeandcar/AppData/Local/Temp/Temp1_KHIARS%20Commission%20Database.zip/KHIARS%20Commission%20Database%20(cop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us"/>
      <sheetName val="Dropdowns"/>
      <sheetName val="Acc"/>
      <sheetName val="CommissionDD"/>
      <sheetName val="Comms"/>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Dropdowns"/>
      <sheetName val="CommissionDD"/>
      <sheetName val="Comms"/>
      <sheetName val="Failed Transactions"/>
      <sheetName val="Rships"/>
      <sheetName val="Cus"/>
      <sheetName val="Acc"/>
      <sheetName val="TransLog"/>
      <sheetName val="SummaryCommissionStatement"/>
      <sheetName val="DetailedCommissionStatement"/>
      <sheetName val="HierarchyState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mailto:mafole.monica@gmail.com" TargetMode="External"/><Relationship Id="rId7" Type="http://schemas.openxmlformats.org/officeDocument/2006/relationships/comments" Target="../comments3.xml"/><Relationship Id="rId2" Type="http://schemas.openxmlformats.org/officeDocument/2006/relationships/hyperlink" Target="mailto:pkhetsekile@oldmutual.com" TargetMode="External"/><Relationship Id="rId1" Type="http://schemas.openxmlformats.org/officeDocument/2006/relationships/hyperlink" Target="mailto:lebohangbaholo@yahoo.com" TargetMode="External"/><Relationship Id="rId6" Type="http://schemas.openxmlformats.org/officeDocument/2006/relationships/vmlDrawing" Target="../drawings/vmlDrawing3.vml"/><Relationship Id="rId5" Type="http://schemas.openxmlformats.org/officeDocument/2006/relationships/printerSettings" Target="../printerSettings/printerSettings5.bin"/><Relationship Id="rId4" Type="http://schemas.openxmlformats.org/officeDocument/2006/relationships/hyperlink" Target="mailto:lochner1919@gmail.com"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sheetPr codeName="Sheet1">
    <tabColor rgb="FFC00000"/>
  </sheetPr>
  <dimension ref="A1:E6"/>
  <sheetViews>
    <sheetView workbookViewId="0"/>
  </sheetViews>
  <sheetFormatPr defaultRowHeight="15"/>
  <cols>
    <col min="2" max="2" width="1.5703125" customWidth="1"/>
    <col min="4" max="4" width="1.7109375" customWidth="1"/>
    <col min="5" max="5" width="12.5703125" bestFit="1" customWidth="1"/>
  </cols>
  <sheetData>
    <row r="1" spans="1:5">
      <c r="A1" t="s">
        <v>23</v>
      </c>
      <c r="C1" t="s">
        <v>26</v>
      </c>
      <c r="E1" t="s">
        <v>29</v>
      </c>
    </row>
    <row r="2" spans="1:5">
      <c r="A2" t="s">
        <v>24</v>
      </c>
      <c r="C2" t="s">
        <v>27</v>
      </c>
      <c r="E2" t="s">
        <v>30</v>
      </c>
    </row>
    <row r="3" spans="1:5">
      <c r="A3" t="s">
        <v>20</v>
      </c>
      <c r="E3" t="s">
        <v>31</v>
      </c>
    </row>
    <row r="4" spans="1:5">
      <c r="A4" t="s">
        <v>21</v>
      </c>
      <c r="E4" t="s">
        <v>32</v>
      </c>
    </row>
    <row r="5" spans="1:5">
      <c r="A5" t="s">
        <v>22</v>
      </c>
      <c r="E5" t="s">
        <v>33</v>
      </c>
    </row>
    <row r="6" spans="1:5">
      <c r="A6" t="s">
        <v>25</v>
      </c>
    </row>
  </sheetData>
  <sheetProtection password="9AEB" sheet="1" objects="1" scenarios="1"/>
  <sortState ref="A1:A6">
    <sortCondition ref="A1"/>
  </sortState>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tabColor rgb="FFC00000"/>
  </sheetPr>
  <dimension ref="A1:I36"/>
  <sheetViews>
    <sheetView tabSelected="1" workbookViewId="0"/>
  </sheetViews>
  <sheetFormatPr defaultColWidth="9.140625" defaultRowHeight="12.75"/>
  <cols>
    <col min="1" max="1" width="18.85546875" style="56" bestFit="1" customWidth="1"/>
    <col min="2" max="2" width="1.7109375" style="2" customWidth="1"/>
    <col min="3" max="3" width="10.42578125" style="2" bestFit="1" customWidth="1"/>
    <col min="4" max="4" width="1.7109375" style="2" customWidth="1"/>
    <col min="5" max="5" width="16.140625" style="56" bestFit="1" customWidth="1"/>
    <col min="6" max="7" width="14.140625" style="56" bestFit="1" customWidth="1"/>
    <col min="8" max="8" width="15" style="56" bestFit="1" customWidth="1"/>
    <col min="9" max="9" width="19.7109375" style="2" bestFit="1" customWidth="1"/>
    <col min="10" max="16384" width="9.140625" style="2"/>
  </cols>
  <sheetData>
    <row r="1" spans="1:9" ht="38.25">
      <c r="A1" s="78" t="s">
        <v>98</v>
      </c>
      <c r="B1" s="5"/>
      <c r="C1" s="5"/>
      <c r="D1" s="5"/>
      <c r="E1" s="79"/>
    </row>
    <row r="2" spans="1:9">
      <c r="A2" s="79" t="s">
        <v>99</v>
      </c>
      <c r="B2" s="5"/>
      <c r="C2" s="5" t="s">
        <v>39</v>
      </c>
      <c r="D2" s="5"/>
      <c r="E2" s="79" t="s">
        <v>40</v>
      </c>
    </row>
    <row r="3" spans="1:9">
      <c r="A3" s="56">
        <v>1</v>
      </c>
      <c r="C3" s="4">
        <v>0.12</v>
      </c>
      <c r="E3" s="56">
        <v>10</v>
      </c>
    </row>
    <row r="4" spans="1:9">
      <c r="A4" s="56">
        <v>2</v>
      </c>
      <c r="C4" s="4">
        <v>0.26</v>
      </c>
      <c r="E4" s="56">
        <v>100</v>
      </c>
    </row>
    <row r="5" spans="1:9">
      <c r="A5" s="56">
        <v>3</v>
      </c>
      <c r="C5" s="4">
        <v>0.15</v>
      </c>
      <c r="E5" s="56">
        <v>1000</v>
      </c>
    </row>
    <row r="6" spans="1:9">
      <c r="A6" s="56">
        <v>4</v>
      </c>
      <c r="C6" s="4">
        <v>0.09</v>
      </c>
      <c r="E6" s="56">
        <v>10000</v>
      </c>
    </row>
    <row r="7" spans="1:9">
      <c r="A7" s="56">
        <v>5</v>
      </c>
      <c r="C7" s="4">
        <v>0.05</v>
      </c>
      <c r="E7" s="56">
        <v>100000</v>
      </c>
    </row>
    <row r="8" spans="1:9">
      <c r="A8" s="56">
        <v>6</v>
      </c>
      <c r="C8" s="4">
        <v>0.03</v>
      </c>
      <c r="E8" s="56">
        <v>1000000</v>
      </c>
    </row>
    <row r="9" spans="1:9">
      <c r="A9" s="56">
        <v>7</v>
      </c>
      <c r="C9" s="4">
        <v>0.03</v>
      </c>
      <c r="E9" s="56">
        <v>10000000</v>
      </c>
    </row>
    <row r="12" spans="1:9" ht="25.5">
      <c r="A12" s="78" t="s">
        <v>100</v>
      </c>
      <c r="B12" s="5"/>
      <c r="C12" s="5"/>
      <c r="D12" s="5"/>
      <c r="E12" s="79"/>
      <c r="F12" s="79"/>
      <c r="G12" s="79"/>
      <c r="H12" s="79"/>
    </row>
    <row r="13" spans="1:9">
      <c r="A13" s="79" t="s">
        <v>1266</v>
      </c>
      <c r="B13" s="5"/>
      <c r="C13" s="5" t="s">
        <v>39</v>
      </c>
      <c r="D13" s="5"/>
      <c r="E13" s="79" t="s">
        <v>40</v>
      </c>
      <c r="F13" s="79" t="s">
        <v>1267</v>
      </c>
      <c r="G13" s="79" t="s">
        <v>1268</v>
      </c>
      <c r="H13" s="79" t="s">
        <v>1269</v>
      </c>
      <c r="I13" s="5" t="s">
        <v>1251</v>
      </c>
    </row>
    <row r="14" spans="1:9">
      <c r="A14" s="56">
        <v>1</v>
      </c>
      <c r="C14" s="3">
        <v>350</v>
      </c>
      <c r="E14" s="56">
        <v>15</v>
      </c>
      <c r="F14" s="56">
        <v>1</v>
      </c>
      <c r="G14" s="56">
        <v>1</v>
      </c>
      <c r="H14" s="56">
        <v>6</v>
      </c>
      <c r="I14" s="2" t="s">
        <v>1257</v>
      </c>
    </row>
    <row r="15" spans="1:9">
      <c r="A15" s="56">
        <v>2</v>
      </c>
      <c r="C15" s="3">
        <v>1300</v>
      </c>
      <c r="E15" s="56">
        <v>30</v>
      </c>
      <c r="F15" s="56">
        <v>1</v>
      </c>
      <c r="G15" s="56">
        <v>2</v>
      </c>
      <c r="H15" s="56">
        <v>6</v>
      </c>
      <c r="I15" s="2" t="s">
        <v>1258</v>
      </c>
    </row>
    <row r="16" spans="1:9">
      <c r="A16" s="56">
        <v>3</v>
      </c>
      <c r="C16" s="3">
        <v>1800</v>
      </c>
      <c r="E16" s="56">
        <v>60</v>
      </c>
      <c r="F16" s="56">
        <v>1</v>
      </c>
      <c r="G16" s="56">
        <v>3</v>
      </c>
      <c r="H16" s="56">
        <v>12</v>
      </c>
      <c r="I16" s="2" t="s">
        <v>1259</v>
      </c>
    </row>
    <row r="17" spans="1:9">
      <c r="A17" s="56">
        <v>4</v>
      </c>
      <c r="C17" s="3">
        <v>2500</v>
      </c>
      <c r="E17" s="56">
        <v>100</v>
      </c>
      <c r="F17" s="56">
        <v>1</v>
      </c>
      <c r="G17" s="56">
        <v>4</v>
      </c>
      <c r="H17" s="56">
        <v>12</v>
      </c>
      <c r="I17" s="2" t="s">
        <v>1256</v>
      </c>
    </row>
    <row r="18" spans="1:9">
      <c r="A18" s="56">
        <v>5</v>
      </c>
      <c r="C18" s="3">
        <v>3500</v>
      </c>
      <c r="E18" s="56">
        <v>250</v>
      </c>
      <c r="F18" s="56">
        <v>1</v>
      </c>
      <c r="G18" s="56">
        <v>5</v>
      </c>
      <c r="H18" s="56">
        <v>12</v>
      </c>
      <c r="I18" s="2" t="s">
        <v>1260</v>
      </c>
    </row>
    <row r="19" spans="1:9">
      <c r="A19" s="56">
        <v>6</v>
      </c>
      <c r="C19" s="3">
        <v>4500</v>
      </c>
      <c r="E19" s="56">
        <v>500</v>
      </c>
      <c r="F19" s="56">
        <v>1</v>
      </c>
      <c r="G19" s="56">
        <v>5</v>
      </c>
      <c r="H19" s="56">
        <v>12</v>
      </c>
      <c r="I19" s="2" t="s">
        <v>1261</v>
      </c>
    </row>
    <row r="20" spans="1:9">
      <c r="A20" s="56">
        <v>7</v>
      </c>
      <c r="C20" s="3">
        <v>5500</v>
      </c>
      <c r="E20" s="56">
        <v>700</v>
      </c>
      <c r="F20" s="56">
        <v>1</v>
      </c>
      <c r="G20" s="56">
        <v>5</v>
      </c>
      <c r="H20" s="56">
        <v>12</v>
      </c>
      <c r="I20" s="2" t="s">
        <v>1262</v>
      </c>
    </row>
    <row r="21" spans="1:9">
      <c r="A21" s="56">
        <v>8</v>
      </c>
      <c r="C21" s="3">
        <v>7000</v>
      </c>
      <c r="E21" s="56">
        <v>1000</v>
      </c>
      <c r="F21" s="56">
        <v>1</v>
      </c>
      <c r="G21" s="56">
        <v>6</v>
      </c>
      <c r="H21" s="56">
        <v>12</v>
      </c>
      <c r="I21" s="2" t="s">
        <v>1252</v>
      </c>
    </row>
    <row r="22" spans="1:9">
      <c r="A22" s="56">
        <v>9</v>
      </c>
      <c r="C22" s="3">
        <v>9000</v>
      </c>
      <c r="E22" s="56">
        <v>1500</v>
      </c>
      <c r="F22" s="56">
        <v>1</v>
      </c>
      <c r="G22" s="56">
        <v>7</v>
      </c>
      <c r="H22" s="56">
        <v>24</v>
      </c>
      <c r="I22" s="2" t="s">
        <v>1265</v>
      </c>
    </row>
    <row r="23" spans="1:9">
      <c r="A23" s="56">
        <v>10</v>
      </c>
      <c r="C23" s="3">
        <v>12500</v>
      </c>
      <c r="E23" s="56">
        <v>2000</v>
      </c>
      <c r="F23" s="56">
        <v>1</v>
      </c>
      <c r="G23" s="56">
        <v>7</v>
      </c>
      <c r="H23" s="56">
        <v>24</v>
      </c>
      <c r="I23" s="2" t="s">
        <v>1264</v>
      </c>
    </row>
    <row r="24" spans="1:9">
      <c r="A24" s="56">
        <v>11</v>
      </c>
      <c r="C24" s="3">
        <v>17000</v>
      </c>
      <c r="E24" s="56">
        <v>3000</v>
      </c>
      <c r="F24" s="56">
        <v>1</v>
      </c>
      <c r="G24" s="56">
        <v>7</v>
      </c>
      <c r="H24" s="56">
        <v>36</v>
      </c>
      <c r="I24" s="2" t="s">
        <v>1263</v>
      </c>
    </row>
    <row r="25" spans="1:9">
      <c r="A25" s="56">
        <v>12</v>
      </c>
      <c r="C25" s="3">
        <v>25000</v>
      </c>
      <c r="E25" s="56">
        <v>5000</v>
      </c>
      <c r="F25" s="56">
        <v>1</v>
      </c>
      <c r="G25" s="56">
        <v>7</v>
      </c>
      <c r="H25" s="56">
        <v>36</v>
      </c>
      <c r="I25" s="2" t="s">
        <v>1253</v>
      </c>
    </row>
    <row r="28" spans="1:9">
      <c r="A28" s="79" t="s">
        <v>41</v>
      </c>
      <c r="B28" s="5"/>
      <c r="C28" s="5"/>
      <c r="D28" s="5"/>
      <c r="E28" s="79"/>
      <c r="F28" s="79"/>
      <c r="G28" s="79"/>
      <c r="H28" s="79"/>
    </row>
    <row r="29" spans="1:9">
      <c r="A29" s="79" t="s">
        <v>42</v>
      </c>
      <c r="B29" s="5"/>
      <c r="C29" s="5" t="s">
        <v>39</v>
      </c>
      <c r="D29" s="5"/>
      <c r="E29" s="79" t="s">
        <v>43</v>
      </c>
      <c r="F29" s="79"/>
      <c r="G29" s="79"/>
      <c r="H29" s="79" t="s">
        <v>44</v>
      </c>
    </row>
    <row r="30" spans="1:9">
      <c r="A30" s="56">
        <v>1500</v>
      </c>
      <c r="C30" s="4">
        <v>0.2</v>
      </c>
      <c r="E30" s="56">
        <v>1</v>
      </c>
      <c r="H30" s="56">
        <f>A30*C30</f>
        <v>300</v>
      </c>
    </row>
    <row r="31" spans="1:9">
      <c r="A31" s="56">
        <v>750</v>
      </c>
      <c r="C31" s="4">
        <v>0.2</v>
      </c>
      <c r="E31" s="56">
        <v>2</v>
      </c>
      <c r="H31" s="56">
        <f>A31*C31</f>
        <v>150</v>
      </c>
    </row>
    <row r="32" spans="1:9">
      <c r="A32" s="56">
        <v>500</v>
      </c>
      <c r="C32" s="4">
        <v>0.2</v>
      </c>
      <c r="E32" s="56">
        <v>3</v>
      </c>
      <c r="H32" s="56">
        <f>A32*C32</f>
        <v>100</v>
      </c>
    </row>
    <row r="35" spans="1:1">
      <c r="A35" s="79" t="s">
        <v>1369</v>
      </c>
    </row>
    <row r="36" spans="1:1">
      <c r="A36" s="7">
        <v>41628</v>
      </c>
    </row>
  </sheetData>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sheetPr codeName="Sheet3">
    <tabColor rgb="FFC00000"/>
  </sheetPr>
  <dimension ref="A1:H1001"/>
  <sheetViews>
    <sheetView workbookViewId="0">
      <pane ySplit="1" topLeftCell="A2" activePane="bottomLeft" state="frozen"/>
      <selection pane="bottomLeft" activeCell="E2" sqref="E2"/>
    </sheetView>
  </sheetViews>
  <sheetFormatPr defaultColWidth="9.140625" defaultRowHeight="12.75"/>
  <cols>
    <col min="1" max="1" width="9.140625" style="21"/>
    <col min="2" max="2" width="10.7109375" style="21" bestFit="1" customWidth="1"/>
    <col min="3" max="3" width="12.85546875" style="21" bestFit="1" customWidth="1"/>
    <col min="4" max="4" width="13.5703125" style="21" bestFit="1" customWidth="1"/>
    <col min="5" max="5" width="15.85546875" style="21" bestFit="1" customWidth="1"/>
    <col min="6" max="6" width="15.85546875" style="21" customWidth="1"/>
    <col min="7" max="8" width="15.85546875" style="21" bestFit="1" customWidth="1"/>
    <col min="9" max="16384" width="9.140625" style="21"/>
  </cols>
  <sheetData>
    <row r="1" spans="1:8" s="20" customFormat="1" ht="51">
      <c r="A1" s="19" t="s">
        <v>54</v>
      </c>
      <c r="B1" s="20" t="s">
        <v>2</v>
      </c>
      <c r="C1" s="19" t="s">
        <v>94</v>
      </c>
      <c r="D1" s="20" t="s">
        <v>50</v>
      </c>
      <c r="E1" s="19" t="s">
        <v>51</v>
      </c>
      <c r="F1" s="19" t="s">
        <v>53</v>
      </c>
      <c r="G1" s="19" t="s">
        <v>52</v>
      </c>
      <c r="H1" s="20" t="s">
        <v>49</v>
      </c>
    </row>
    <row r="2" spans="1:8">
      <c r="A2" s="21">
        <f>IF($B2="","",(ROW($A1)))</f>
        <v>1</v>
      </c>
      <c r="B2" s="1" t="str">
        <f>IF(Cus!$B2&lt;&gt;"",Cus!$A2,"")</f>
        <v>K0000001</v>
      </c>
      <c r="C2" s="22">
        <f>IF($B2="","",Cus!$AA2)</f>
        <v>30</v>
      </c>
      <c r="D2" s="23">
        <f>IF($B2="","",(Acc!$H2*$C2))</f>
        <v>11850</v>
      </c>
      <c r="E2" s="24">
        <f>IF(C2&lt;=CommissionDD!$E$3,CommissionDD!$C$3,IF(C2&lt;=CommissionDD!$E$4,CommissionDD!$C$4,IF(C2&lt;=CommissionDD!$E$5,CommissionDD!$C$5,IF(C2&lt;=CommissionDD!$E$6,CommissionDD!$C$6,IF(C2&lt;=CommissionDD!$E$7,CommissionDD!$C$7,IF(C2&lt;=CommissionDD!$E$8,CommissionDD!$C$8,CommissionDD!$C$9))))))</f>
        <v>0.26</v>
      </c>
      <c r="F2" s="23">
        <f>IF($B2="","",D2*E2)</f>
        <v>3081</v>
      </c>
      <c r="G2" s="23">
        <f>IF($B2="","",(Acc!$F2*CommissionDD!$C$30))</f>
        <v>0</v>
      </c>
      <c r="H2" s="23">
        <f t="shared" ref="H2:H65" si="0">IF($B2="","",F2+G2)</f>
        <v>3081</v>
      </c>
    </row>
    <row r="3" spans="1:8">
      <c r="A3" s="21">
        <f t="shared" ref="A3:A66" si="1">IF($B3="","",(ROW($A2)))</f>
        <v>2</v>
      </c>
      <c r="B3" s="1" t="str">
        <f>IF(Cus!$B3&lt;&gt;"",Cus!$A3,"")</f>
        <v>K0000002</v>
      </c>
      <c r="C3" s="22">
        <f>IF($B3="","",Cus!$AA3)</f>
        <v>6</v>
      </c>
      <c r="D3" s="23">
        <f>IF($B3="","",(Acc!$H3*$C3))</f>
        <v>2370</v>
      </c>
      <c r="E3" s="24">
        <f>IF(C3&lt;=CommissionDD!$E$3,CommissionDD!$C$3,IF(C3&lt;=CommissionDD!$E$4,CommissionDD!$C$4,IF(C3&lt;=CommissionDD!$E$5,CommissionDD!$C$5,IF(C3&lt;=CommissionDD!$E$6,CommissionDD!$C$6,IF(C3&lt;=CommissionDD!$E$7,CommissionDD!$C$7,IF(C3&lt;=CommissionDD!$E$8,CommissionDD!$C$8,CommissionDD!$C$9))))))</f>
        <v>0.12</v>
      </c>
      <c r="F3" s="23">
        <f>IF($B3="","",D3*E3)</f>
        <v>284.39999999999998</v>
      </c>
      <c r="G3" s="23">
        <f>IF($B3="","",(Acc!$F3*CommissionDD!$C$30))</f>
        <v>0</v>
      </c>
      <c r="H3" s="23">
        <f t="shared" si="0"/>
        <v>284.39999999999998</v>
      </c>
    </row>
    <row r="4" spans="1:8">
      <c r="A4" s="21">
        <f t="shared" si="1"/>
        <v>3</v>
      </c>
      <c r="B4" s="1" t="str">
        <f>IF(Cus!$B4&lt;&gt;"",Cus!$A4,"")</f>
        <v>K0000003</v>
      </c>
      <c r="C4" s="22">
        <f>IF($B4="","",Cus!$AA4)</f>
        <v>0</v>
      </c>
      <c r="D4" s="23">
        <f>IF($B4="","",(Acc!$H4*$C4))</f>
        <v>0</v>
      </c>
      <c r="E4" s="24">
        <f>IF(C4&lt;=CommissionDD!$E$3,CommissionDD!$C$3,IF(C4&lt;=CommissionDD!$E$4,CommissionDD!$C$4,IF(C4&lt;=CommissionDD!$E$5,CommissionDD!$C$5,IF(C4&lt;=CommissionDD!$E$6,CommissionDD!$C$6,IF(C4&lt;=CommissionDD!$E$7,CommissionDD!$C$7,IF(C4&lt;=CommissionDD!$E$8,CommissionDD!$C$8,CommissionDD!$C$9))))))</f>
        <v>0.12</v>
      </c>
      <c r="F4" s="23">
        <f>IF($B4="","",D4*E4)</f>
        <v>0</v>
      </c>
      <c r="G4" s="23">
        <f>IF($B4="","",(Acc!$F4*CommissionDD!$C$30))</f>
        <v>0</v>
      </c>
      <c r="H4" s="23">
        <f t="shared" si="0"/>
        <v>0</v>
      </c>
    </row>
    <row r="5" spans="1:8">
      <c r="A5" s="21" t="str">
        <f t="shared" si="1"/>
        <v/>
      </c>
      <c r="B5" s="1" t="str">
        <f>IF(Cus!$B5&lt;&gt;"",Cus!$A5,"")</f>
        <v/>
      </c>
      <c r="C5" s="22" t="str">
        <f>IF($B5="","",Cus!$AA5)</f>
        <v/>
      </c>
      <c r="D5" s="23" t="str">
        <f>IF($B5="","",(Acc!$H5*$C5))</f>
        <v/>
      </c>
      <c r="E5" s="24">
        <f>IF(C5&lt;=CommissionDD!$E$3,CommissionDD!$C$3,IF(C5&lt;=CommissionDD!$E$4,CommissionDD!$C$4,IF(C5&lt;=CommissionDD!$E$5,CommissionDD!$C$5,IF(C5&lt;=CommissionDD!$E$6,CommissionDD!$C$6,IF(C5&lt;=CommissionDD!$E$7,CommissionDD!$C$7,IF(C5&lt;=CommissionDD!$E$8,CommissionDD!$C$8,CommissionDD!$C$9))))))</f>
        <v>0.03</v>
      </c>
      <c r="F5" s="23" t="str">
        <f t="shared" ref="F5:F68" si="2">IF($B5="","",D5*E5)</f>
        <v/>
      </c>
      <c r="G5" s="23" t="str">
        <f>IF($B5="","",(Acc!$F5*CommissionDD!$C$30))</f>
        <v/>
      </c>
      <c r="H5" s="23" t="str">
        <f t="shared" si="0"/>
        <v/>
      </c>
    </row>
    <row r="6" spans="1:8">
      <c r="A6" s="21" t="str">
        <f t="shared" si="1"/>
        <v/>
      </c>
      <c r="B6" s="1" t="str">
        <f>IF(Cus!$B6&lt;&gt;"",Cus!$A6,"")</f>
        <v/>
      </c>
      <c r="C6" s="22" t="str">
        <f>IF($B6="","",Cus!$AA6)</f>
        <v/>
      </c>
      <c r="D6" s="23" t="str">
        <f>IF($B6="","",(Acc!$H6*$C6))</f>
        <v/>
      </c>
      <c r="E6" s="24">
        <f>IF(C6&lt;=CommissionDD!$E$3,CommissionDD!$C$3,IF(C6&lt;=CommissionDD!$E$4,CommissionDD!$C$4,IF(C6&lt;=CommissionDD!$E$5,CommissionDD!$C$5,IF(C6&lt;=CommissionDD!$E$6,CommissionDD!$C$6,IF(C6&lt;=CommissionDD!$E$7,CommissionDD!$C$7,IF(C6&lt;=CommissionDD!$E$8,CommissionDD!$C$8,CommissionDD!$C$9))))))</f>
        <v>0.03</v>
      </c>
      <c r="F6" s="23" t="str">
        <f t="shared" si="2"/>
        <v/>
      </c>
      <c r="G6" s="23" t="str">
        <f>IF($B6="","",(Acc!$F6*CommissionDD!$C$30))</f>
        <v/>
      </c>
      <c r="H6" s="23" t="str">
        <f t="shared" si="0"/>
        <v/>
      </c>
    </row>
    <row r="7" spans="1:8">
      <c r="A7" s="21">
        <f t="shared" si="1"/>
        <v>6</v>
      </c>
      <c r="B7" s="1" t="str">
        <f>IF(Cus!$B7&lt;&gt;"",Cus!$A7,"")</f>
        <v>K0000006</v>
      </c>
      <c r="C7" s="22">
        <f>IF($B7="","",Cus!$AA7)</f>
        <v>3</v>
      </c>
      <c r="D7" s="23">
        <f>IF($B7="","",(Acc!$H7*$C7))</f>
        <v>1185</v>
      </c>
      <c r="E7" s="24">
        <f>IF(C7&lt;=CommissionDD!$E$3,CommissionDD!$C$3,IF(C7&lt;=CommissionDD!$E$4,CommissionDD!$C$4,IF(C7&lt;=CommissionDD!$E$5,CommissionDD!$C$5,IF(C7&lt;=CommissionDD!$E$6,CommissionDD!$C$6,IF(C7&lt;=CommissionDD!$E$7,CommissionDD!$C$7,IF(C7&lt;=CommissionDD!$E$8,CommissionDD!$C$8,CommissionDD!$C$9))))))</f>
        <v>0.12</v>
      </c>
      <c r="F7" s="23">
        <f t="shared" si="2"/>
        <v>142.19999999999999</v>
      </c>
      <c r="G7" s="23">
        <f>IF($B7="","",(Acc!$F7*CommissionDD!$C$30))</f>
        <v>0</v>
      </c>
      <c r="H7" s="23">
        <f t="shared" si="0"/>
        <v>142.19999999999999</v>
      </c>
    </row>
    <row r="8" spans="1:8">
      <c r="A8" s="21" t="str">
        <f t="shared" si="1"/>
        <v/>
      </c>
      <c r="B8" s="1" t="str">
        <f>IF(Cus!$B8&lt;&gt;"",Cus!$A8,"")</f>
        <v/>
      </c>
      <c r="C8" s="22" t="str">
        <f>IF($B8="","",Cus!$AA8)</f>
        <v/>
      </c>
      <c r="D8" s="23" t="str">
        <f>IF($B8="","",(Acc!$H8*$C8))</f>
        <v/>
      </c>
      <c r="E8" s="24">
        <f>IF(C8&lt;=CommissionDD!$E$3,CommissionDD!$C$3,IF(C8&lt;=CommissionDD!$E$4,CommissionDD!$C$4,IF(C8&lt;=CommissionDD!$E$5,CommissionDD!$C$5,IF(C8&lt;=CommissionDD!$E$6,CommissionDD!$C$6,IF(C8&lt;=CommissionDD!$E$7,CommissionDD!$C$7,IF(C8&lt;=CommissionDD!$E$8,CommissionDD!$C$8,CommissionDD!$C$9))))))</f>
        <v>0.03</v>
      </c>
      <c r="F8" s="23" t="str">
        <f t="shared" si="2"/>
        <v/>
      </c>
      <c r="G8" s="23" t="str">
        <f>IF($B8="","",(Acc!$F8*CommissionDD!$C$30))</f>
        <v/>
      </c>
      <c r="H8" s="23" t="str">
        <f t="shared" si="0"/>
        <v/>
      </c>
    </row>
    <row r="9" spans="1:8">
      <c r="A9" s="21" t="str">
        <f t="shared" si="1"/>
        <v/>
      </c>
      <c r="B9" s="1" t="str">
        <f>IF(Cus!$B9&lt;&gt;"",Cus!$A9,"")</f>
        <v/>
      </c>
      <c r="C9" s="22" t="str">
        <f>IF($B9="","",Cus!$AA9)</f>
        <v/>
      </c>
      <c r="D9" s="23" t="str">
        <f>IF($B9="","",(Acc!$H9*$C9))</f>
        <v/>
      </c>
      <c r="E9" s="24">
        <f>IF(C9&lt;=CommissionDD!$E$3,CommissionDD!$C$3,IF(C9&lt;=CommissionDD!$E$4,CommissionDD!$C$4,IF(C9&lt;=CommissionDD!$E$5,CommissionDD!$C$5,IF(C9&lt;=CommissionDD!$E$6,CommissionDD!$C$6,IF(C9&lt;=CommissionDD!$E$7,CommissionDD!$C$7,IF(C9&lt;=CommissionDD!$E$8,CommissionDD!$C$8,CommissionDD!$C$9))))))</f>
        <v>0.03</v>
      </c>
      <c r="F9" s="23" t="str">
        <f t="shared" si="2"/>
        <v/>
      </c>
      <c r="G9" s="23" t="str">
        <f>IF($B9="","",(Acc!$F9*CommissionDD!$C$30))</f>
        <v/>
      </c>
      <c r="H9" s="23" t="str">
        <f t="shared" si="0"/>
        <v/>
      </c>
    </row>
    <row r="10" spans="1:8">
      <c r="A10" s="21" t="str">
        <f t="shared" si="1"/>
        <v/>
      </c>
      <c r="B10" s="1" t="str">
        <f>IF(Cus!$B10&lt;&gt;"",Cus!$A10,"")</f>
        <v/>
      </c>
      <c r="C10" s="22" t="str">
        <f>IF($B10="","",Cus!$AA10)</f>
        <v/>
      </c>
      <c r="D10" s="23" t="str">
        <f>IF($B10="","",(Acc!$H10*$C10))</f>
        <v/>
      </c>
      <c r="E10" s="24">
        <f>IF(C10&lt;=CommissionDD!$E$3,CommissionDD!$C$3,IF(C10&lt;=CommissionDD!$E$4,CommissionDD!$C$4,IF(C10&lt;=CommissionDD!$E$5,CommissionDD!$C$5,IF(C10&lt;=CommissionDD!$E$6,CommissionDD!$C$6,IF(C10&lt;=CommissionDD!$E$7,CommissionDD!$C$7,IF(C10&lt;=CommissionDD!$E$8,CommissionDD!$C$8,CommissionDD!$C$9))))))</f>
        <v>0.03</v>
      </c>
      <c r="F10" s="23" t="str">
        <f t="shared" si="2"/>
        <v/>
      </c>
      <c r="G10" s="23" t="str">
        <f>IF($B10="","",(Acc!$F10*CommissionDD!$C$30))</f>
        <v/>
      </c>
      <c r="H10" s="23" t="str">
        <f t="shared" si="0"/>
        <v/>
      </c>
    </row>
    <row r="11" spans="1:8">
      <c r="A11" s="21" t="str">
        <f t="shared" si="1"/>
        <v/>
      </c>
      <c r="B11" s="1" t="str">
        <f>IF(Cus!$B11&lt;&gt;"",Cus!$A11,"")</f>
        <v/>
      </c>
      <c r="C11" s="22" t="str">
        <f>IF($B11="","",Cus!$AA11)</f>
        <v/>
      </c>
      <c r="D11" s="23" t="str">
        <f>IF($B11="","",(Acc!$H11*$C11))</f>
        <v/>
      </c>
      <c r="E11" s="24">
        <f>IF(C11&lt;=CommissionDD!$E$3,CommissionDD!$C$3,IF(C11&lt;=CommissionDD!$E$4,CommissionDD!$C$4,IF(C11&lt;=CommissionDD!$E$5,CommissionDD!$C$5,IF(C11&lt;=CommissionDD!$E$6,CommissionDD!$C$6,IF(C11&lt;=CommissionDD!$E$7,CommissionDD!$C$7,IF(C11&lt;=CommissionDD!$E$8,CommissionDD!$C$8,CommissionDD!$C$9))))))</f>
        <v>0.03</v>
      </c>
      <c r="F11" s="23" t="str">
        <f t="shared" si="2"/>
        <v/>
      </c>
      <c r="G11" s="23" t="str">
        <f>IF($B11="","",(Acc!$F11*CommissionDD!$C$30))</f>
        <v/>
      </c>
      <c r="H11" s="23" t="str">
        <f t="shared" si="0"/>
        <v/>
      </c>
    </row>
    <row r="12" spans="1:8">
      <c r="A12" s="21">
        <f t="shared" si="1"/>
        <v>11</v>
      </c>
      <c r="B12" s="1" t="str">
        <f>IF(Cus!$B12&lt;&gt;"",Cus!$A12,"")</f>
        <v>K0000011</v>
      </c>
      <c r="C12" s="22">
        <f>IF($B12="","",Cus!$AA12)</f>
        <v>1</v>
      </c>
      <c r="D12" s="23">
        <f>IF($B12="","",(Acc!$H12*$C12))</f>
        <v>395</v>
      </c>
      <c r="E12" s="24">
        <f>IF(C12&lt;=CommissionDD!$E$3,CommissionDD!$C$3,IF(C12&lt;=CommissionDD!$E$4,CommissionDD!$C$4,IF(C12&lt;=CommissionDD!$E$5,CommissionDD!$C$5,IF(C12&lt;=CommissionDD!$E$6,CommissionDD!$C$6,IF(C12&lt;=CommissionDD!$E$7,CommissionDD!$C$7,IF(C12&lt;=CommissionDD!$E$8,CommissionDD!$C$8,CommissionDD!$C$9))))))</f>
        <v>0.12</v>
      </c>
      <c r="F12" s="23">
        <f t="shared" si="2"/>
        <v>47.4</v>
      </c>
      <c r="G12" s="23">
        <f>IF($B12="","",(Acc!$F12*CommissionDD!$C$30))</f>
        <v>0</v>
      </c>
      <c r="H12" s="23">
        <f t="shared" si="0"/>
        <v>47.4</v>
      </c>
    </row>
    <row r="13" spans="1:8">
      <c r="A13" s="21" t="str">
        <f t="shared" si="1"/>
        <v/>
      </c>
      <c r="B13" s="1" t="str">
        <f>IF(Cus!$B13&lt;&gt;"",Cus!$A13,"")</f>
        <v/>
      </c>
      <c r="C13" s="22" t="str">
        <f>IF($B13="","",Cus!$AA13)</f>
        <v/>
      </c>
      <c r="D13" s="23" t="str">
        <f>IF($B13="","",(Acc!$H13*$C13))</f>
        <v/>
      </c>
      <c r="E13" s="24">
        <f>IF(C13&lt;=CommissionDD!$E$3,CommissionDD!$C$3,IF(C13&lt;=CommissionDD!$E$4,CommissionDD!$C$4,IF(C13&lt;=CommissionDD!$E$5,CommissionDD!$C$5,IF(C13&lt;=CommissionDD!$E$6,CommissionDD!$C$6,IF(C13&lt;=CommissionDD!$E$7,CommissionDD!$C$7,IF(C13&lt;=CommissionDD!$E$8,CommissionDD!$C$8,CommissionDD!$C$9))))))</f>
        <v>0.03</v>
      </c>
      <c r="F13" s="23" t="str">
        <f t="shared" si="2"/>
        <v/>
      </c>
      <c r="G13" s="23" t="str">
        <f>IF($B13="","",(Acc!$F13*CommissionDD!$C$30))</f>
        <v/>
      </c>
      <c r="H13" s="23" t="str">
        <f t="shared" si="0"/>
        <v/>
      </c>
    </row>
    <row r="14" spans="1:8">
      <c r="A14" s="21" t="str">
        <f t="shared" si="1"/>
        <v/>
      </c>
      <c r="B14" s="1" t="str">
        <f>IF(Cus!$B14&lt;&gt;"",Cus!$A14,"")</f>
        <v/>
      </c>
      <c r="C14" s="22" t="str">
        <f>IF($B14="","",Cus!$AA14)</f>
        <v/>
      </c>
      <c r="D14" s="23" t="str">
        <f>IF($B14="","",(Acc!$H14*$C14))</f>
        <v/>
      </c>
      <c r="E14" s="24">
        <f>IF(C14&lt;=CommissionDD!$E$3,CommissionDD!$C$3,IF(C14&lt;=CommissionDD!$E$4,CommissionDD!$C$4,IF(C14&lt;=CommissionDD!$E$5,CommissionDD!$C$5,IF(C14&lt;=CommissionDD!$E$6,CommissionDD!$C$6,IF(C14&lt;=CommissionDD!$E$7,CommissionDD!$C$7,IF(C14&lt;=CommissionDD!$E$8,CommissionDD!$C$8,CommissionDD!$C$9))))))</f>
        <v>0.03</v>
      </c>
      <c r="F14" s="23" t="str">
        <f t="shared" si="2"/>
        <v/>
      </c>
      <c r="G14" s="23" t="str">
        <f>IF($B14="","",(Acc!$F14*CommissionDD!$C$30))</f>
        <v/>
      </c>
      <c r="H14" s="23" t="str">
        <f t="shared" si="0"/>
        <v/>
      </c>
    </row>
    <row r="15" spans="1:8">
      <c r="A15" s="21">
        <f t="shared" si="1"/>
        <v>14</v>
      </c>
      <c r="B15" s="1" t="str">
        <f>IF(Cus!$B15&lt;&gt;"",Cus!$A15,"")</f>
        <v>K0000014</v>
      </c>
      <c r="C15" s="22">
        <f>IF($B15="","",Cus!$AA15)</f>
        <v>0</v>
      </c>
      <c r="D15" s="23">
        <f>IF($B15="","",(Acc!$H15*$C15))</f>
        <v>0</v>
      </c>
      <c r="E15" s="24">
        <f>IF(C15&lt;=CommissionDD!$E$3,CommissionDD!$C$3,IF(C15&lt;=CommissionDD!$E$4,CommissionDD!$C$4,IF(C15&lt;=CommissionDD!$E$5,CommissionDD!$C$5,IF(C15&lt;=CommissionDD!$E$6,CommissionDD!$C$6,IF(C15&lt;=CommissionDD!$E$7,CommissionDD!$C$7,IF(C15&lt;=CommissionDD!$E$8,CommissionDD!$C$8,CommissionDD!$C$9))))))</f>
        <v>0.12</v>
      </c>
      <c r="F15" s="23">
        <f t="shared" si="2"/>
        <v>0</v>
      </c>
      <c r="G15" s="23">
        <f>IF($B15="","",(Acc!$F15*CommissionDD!$C$30))</f>
        <v>0</v>
      </c>
      <c r="H15" s="23">
        <f t="shared" si="0"/>
        <v>0</v>
      </c>
    </row>
    <row r="16" spans="1:8">
      <c r="A16" s="21" t="str">
        <f t="shared" si="1"/>
        <v/>
      </c>
      <c r="B16" s="1" t="str">
        <f>IF(Cus!$B16&lt;&gt;"",Cus!$A16,"")</f>
        <v/>
      </c>
      <c r="C16" s="22" t="str">
        <f>IF($B16="","",Cus!$AA16)</f>
        <v/>
      </c>
      <c r="D16" s="23" t="str">
        <f>IF($B16="","",(Acc!$H16*$C16))</f>
        <v/>
      </c>
      <c r="E16" s="24">
        <f>IF(C16&lt;=CommissionDD!$E$3,CommissionDD!$C$3,IF(C16&lt;=CommissionDD!$E$4,CommissionDD!$C$4,IF(C16&lt;=CommissionDD!$E$5,CommissionDD!$C$5,IF(C16&lt;=CommissionDD!$E$6,CommissionDD!$C$6,IF(C16&lt;=CommissionDD!$E$7,CommissionDD!$C$7,IF(C16&lt;=CommissionDD!$E$8,CommissionDD!$C$8,CommissionDD!$C$9))))))</f>
        <v>0.03</v>
      </c>
      <c r="F16" s="23" t="str">
        <f t="shared" si="2"/>
        <v/>
      </c>
      <c r="G16" s="23" t="str">
        <f>IF($B16="","",(Acc!$F16*CommissionDD!$C$30))</f>
        <v/>
      </c>
      <c r="H16" s="23" t="str">
        <f t="shared" si="0"/>
        <v/>
      </c>
    </row>
    <row r="17" spans="1:8">
      <c r="A17" s="21" t="str">
        <f t="shared" si="1"/>
        <v/>
      </c>
      <c r="B17" s="1" t="str">
        <f>IF(Cus!$B17&lt;&gt;"",Cus!$A17,"")</f>
        <v/>
      </c>
      <c r="C17" s="22" t="str">
        <f>IF($B17="","",Cus!$AA17)</f>
        <v/>
      </c>
      <c r="D17" s="23" t="str">
        <f>IF($B17="","",(Acc!$H17*$C17))</f>
        <v/>
      </c>
      <c r="E17" s="24">
        <f>IF(C17&lt;=CommissionDD!$E$3,CommissionDD!$C$3,IF(C17&lt;=CommissionDD!$E$4,CommissionDD!$C$4,IF(C17&lt;=CommissionDD!$E$5,CommissionDD!$C$5,IF(C17&lt;=CommissionDD!$E$6,CommissionDD!$C$6,IF(C17&lt;=CommissionDD!$E$7,CommissionDD!$C$7,IF(C17&lt;=CommissionDD!$E$8,CommissionDD!$C$8,CommissionDD!$C$9))))))</f>
        <v>0.03</v>
      </c>
      <c r="F17" s="23" t="str">
        <f t="shared" si="2"/>
        <v/>
      </c>
      <c r="G17" s="23" t="str">
        <f>IF($B17="","",(Acc!$F17*CommissionDD!$C$30))</f>
        <v/>
      </c>
      <c r="H17" s="23" t="str">
        <f t="shared" si="0"/>
        <v/>
      </c>
    </row>
    <row r="18" spans="1:8">
      <c r="A18" s="21" t="str">
        <f t="shared" si="1"/>
        <v/>
      </c>
      <c r="B18" s="1" t="str">
        <f>IF(Cus!$B18&lt;&gt;"",Cus!$A18,"")</f>
        <v/>
      </c>
      <c r="C18" s="22" t="str">
        <f>IF($B18="","",Cus!$AA18)</f>
        <v/>
      </c>
      <c r="D18" s="23" t="str">
        <f>IF($B18="","",(Acc!$H18*$C18))</f>
        <v/>
      </c>
      <c r="E18" s="24">
        <f>IF(C18&lt;=CommissionDD!$E$3,CommissionDD!$C$3,IF(C18&lt;=CommissionDD!$E$4,CommissionDD!$C$4,IF(C18&lt;=CommissionDD!$E$5,CommissionDD!$C$5,IF(C18&lt;=CommissionDD!$E$6,CommissionDD!$C$6,IF(C18&lt;=CommissionDD!$E$7,CommissionDD!$C$7,IF(C18&lt;=CommissionDD!$E$8,CommissionDD!$C$8,CommissionDD!$C$9))))))</f>
        <v>0.03</v>
      </c>
      <c r="F18" s="23" t="str">
        <f t="shared" si="2"/>
        <v/>
      </c>
      <c r="G18" s="23" t="str">
        <f>IF($B18="","",(Acc!$F18*CommissionDD!$C$30))</f>
        <v/>
      </c>
      <c r="H18" s="23" t="str">
        <f t="shared" si="0"/>
        <v/>
      </c>
    </row>
    <row r="19" spans="1:8">
      <c r="A19" s="21" t="str">
        <f t="shared" si="1"/>
        <v/>
      </c>
      <c r="B19" s="1" t="str">
        <f>IF(Cus!$B19&lt;&gt;"",Cus!$A19,"")</f>
        <v/>
      </c>
      <c r="C19" s="22" t="str">
        <f>IF($B19="","",Cus!$AA19)</f>
        <v/>
      </c>
      <c r="D19" s="23" t="str">
        <f>IF($B19="","",(Acc!$H19*$C19))</f>
        <v/>
      </c>
      <c r="E19" s="24">
        <f>IF(C19&lt;=CommissionDD!$E$3,CommissionDD!$C$3,IF(C19&lt;=CommissionDD!$E$4,CommissionDD!$C$4,IF(C19&lt;=CommissionDD!$E$5,CommissionDD!$C$5,IF(C19&lt;=CommissionDD!$E$6,CommissionDD!$C$6,IF(C19&lt;=CommissionDD!$E$7,CommissionDD!$C$7,IF(C19&lt;=CommissionDD!$E$8,CommissionDD!$C$8,CommissionDD!$C$9))))))</f>
        <v>0.03</v>
      </c>
      <c r="F19" s="23" t="str">
        <f t="shared" si="2"/>
        <v/>
      </c>
      <c r="G19" s="23" t="str">
        <f>IF($B19="","",(Acc!$F19*CommissionDD!$C$30))</f>
        <v/>
      </c>
      <c r="H19" s="23" t="str">
        <f t="shared" si="0"/>
        <v/>
      </c>
    </row>
    <row r="20" spans="1:8">
      <c r="A20" s="21">
        <f t="shared" si="1"/>
        <v>19</v>
      </c>
      <c r="B20" s="1" t="str">
        <f>IF(Cus!$B20&lt;&gt;"",Cus!$A20,"")</f>
        <v>K0000019</v>
      </c>
      <c r="C20" s="22">
        <f>IF($B20="","",Cus!$AA20)</f>
        <v>0</v>
      </c>
      <c r="D20" s="23">
        <f>IF($B20="","",(Acc!$H20*$C20))</f>
        <v>0</v>
      </c>
      <c r="E20" s="24">
        <f>IF(C20&lt;=CommissionDD!$E$3,CommissionDD!$C$3,IF(C20&lt;=CommissionDD!$E$4,CommissionDD!$C$4,IF(C20&lt;=CommissionDD!$E$5,CommissionDD!$C$5,IF(C20&lt;=CommissionDD!$E$6,CommissionDD!$C$6,IF(C20&lt;=CommissionDD!$E$7,CommissionDD!$C$7,IF(C20&lt;=CommissionDD!$E$8,CommissionDD!$C$8,CommissionDD!$C$9))))))</f>
        <v>0.12</v>
      </c>
      <c r="F20" s="23">
        <f t="shared" si="2"/>
        <v>0</v>
      </c>
      <c r="G20" s="23">
        <f>IF($B20="","",(Acc!$F20*CommissionDD!$C$30))</f>
        <v>0</v>
      </c>
      <c r="H20" s="23">
        <f t="shared" si="0"/>
        <v>0</v>
      </c>
    </row>
    <row r="21" spans="1:8">
      <c r="A21" s="21" t="str">
        <f t="shared" si="1"/>
        <v/>
      </c>
      <c r="B21" s="1" t="str">
        <f>IF(Cus!$B21&lt;&gt;"",Cus!$A21,"")</f>
        <v/>
      </c>
      <c r="C21" s="22" t="str">
        <f>IF($B21="","",Cus!$AA21)</f>
        <v/>
      </c>
      <c r="D21" s="23" t="str">
        <f>IF($B21="","",(Acc!$H21*$C21))</f>
        <v/>
      </c>
      <c r="E21" s="24">
        <f>IF(C21&lt;=CommissionDD!$E$3,CommissionDD!$C$3,IF(C21&lt;=CommissionDD!$E$4,CommissionDD!$C$4,IF(C21&lt;=CommissionDD!$E$5,CommissionDD!$C$5,IF(C21&lt;=CommissionDD!$E$6,CommissionDD!$C$6,IF(C21&lt;=CommissionDD!$E$7,CommissionDD!$C$7,IF(C21&lt;=CommissionDD!$E$8,CommissionDD!$C$8,CommissionDD!$C$9))))))</f>
        <v>0.03</v>
      </c>
      <c r="F21" s="23" t="str">
        <f t="shared" si="2"/>
        <v/>
      </c>
      <c r="G21" s="23" t="str">
        <f>IF($B21="","",(Acc!$F21*CommissionDD!$C$30))</f>
        <v/>
      </c>
      <c r="H21" s="23" t="str">
        <f t="shared" si="0"/>
        <v/>
      </c>
    </row>
    <row r="22" spans="1:8">
      <c r="A22" s="21" t="str">
        <f t="shared" si="1"/>
        <v/>
      </c>
      <c r="B22" s="1" t="str">
        <f>IF(Cus!$B22&lt;&gt;"",Cus!$A22,"")</f>
        <v/>
      </c>
      <c r="C22" s="22" t="str">
        <f>IF($B22="","",Cus!$AA22)</f>
        <v/>
      </c>
      <c r="D22" s="23" t="str">
        <f>IF($B22="","",(Acc!$H22*$C22))</f>
        <v/>
      </c>
      <c r="E22" s="24">
        <f>IF(C22&lt;=CommissionDD!$E$3,CommissionDD!$C$3,IF(C22&lt;=CommissionDD!$E$4,CommissionDD!$C$4,IF(C22&lt;=CommissionDD!$E$5,CommissionDD!$C$5,IF(C22&lt;=CommissionDD!$E$6,CommissionDD!$C$6,IF(C22&lt;=CommissionDD!$E$7,CommissionDD!$C$7,IF(C22&lt;=CommissionDD!$E$8,CommissionDD!$C$8,CommissionDD!$C$9))))))</f>
        <v>0.03</v>
      </c>
      <c r="F22" s="23" t="str">
        <f t="shared" si="2"/>
        <v/>
      </c>
      <c r="G22" s="23" t="str">
        <f>IF($B22="","",(Acc!$F22*CommissionDD!$C$30))</f>
        <v/>
      </c>
      <c r="H22" s="23" t="str">
        <f t="shared" si="0"/>
        <v/>
      </c>
    </row>
    <row r="23" spans="1:8">
      <c r="A23" s="21" t="str">
        <f t="shared" si="1"/>
        <v/>
      </c>
      <c r="B23" s="1" t="str">
        <f>IF(Cus!$B23&lt;&gt;"",Cus!$A23,"")</f>
        <v/>
      </c>
      <c r="C23" s="22" t="str">
        <f>IF($B23="","",Cus!$AA23)</f>
        <v/>
      </c>
      <c r="D23" s="23" t="str">
        <f>IF($B23="","",(Acc!$H23*$C23))</f>
        <v/>
      </c>
      <c r="E23" s="24">
        <f>IF(C23&lt;=CommissionDD!$E$3,CommissionDD!$C$3,IF(C23&lt;=CommissionDD!$E$4,CommissionDD!$C$4,IF(C23&lt;=CommissionDD!$E$5,CommissionDD!$C$5,IF(C23&lt;=CommissionDD!$E$6,CommissionDD!$C$6,IF(C23&lt;=CommissionDD!$E$7,CommissionDD!$C$7,IF(C23&lt;=CommissionDD!$E$8,CommissionDD!$C$8,CommissionDD!$C$9))))))</f>
        <v>0.03</v>
      </c>
      <c r="F23" s="23" t="str">
        <f t="shared" si="2"/>
        <v/>
      </c>
      <c r="G23" s="23" t="str">
        <f>IF($B23="","",(Acc!$F23*CommissionDD!$C$30))</f>
        <v/>
      </c>
      <c r="H23" s="23" t="str">
        <f t="shared" si="0"/>
        <v/>
      </c>
    </row>
    <row r="24" spans="1:8">
      <c r="A24" s="21" t="str">
        <f t="shared" si="1"/>
        <v/>
      </c>
      <c r="B24" s="1" t="str">
        <f>IF(Cus!$B24&lt;&gt;"",Cus!$A24,"")</f>
        <v/>
      </c>
      <c r="C24" s="22" t="str">
        <f>IF($B24="","",Cus!$AA24)</f>
        <v/>
      </c>
      <c r="D24" s="23" t="str">
        <f>IF($B24="","",(Acc!$H24*$C24))</f>
        <v/>
      </c>
      <c r="E24" s="24">
        <f>IF(C24&lt;=CommissionDD!$E$3,CommissionDD!$C$3,IF(C24&lt;=CommissionDD!$E$4,CommissionDD!$C$4,IF(C24&lt;=CommissionDD!$E$5,CommissionDD!$C$5,IF(C24&lt;=CommissionDD!$E$6,CommissionDD!$C$6,IF(C24&lt;=CommissionDD!$E$7,CommissionDD!$C$7,IF(C24&lt;=CommissionDD!$E$8,CommissionDD!$C$8,CommissionDD!$C$9))))))</f>
        <v>0.03</v>
      </c>
      <c r="F24" s="23" t="str">
        <f t="shared" si="2"/>
        <v/>
      </c>
      <c r="G24" s="23" t="str">
        <f>IF($B24="","",(Acc!$F24*CommissionDD!$C$30))</f>
        <v/>
      </c>
      <c r="H24" s="23" t="str">
        <f t="shared" si="0"/>
        <v/>
      </c>
    </row>
    <row r="25" spans="1:8">
      <c r="A25" s="21" t="str">
        <f t="shared" si="1"/>
        <v/>
      </c>
      <c r="B25" s="1" t="str">
        <f>IF(Cus!$B25&lt;&gt;"",Cus!$A25,"")</f>
        <v/>
      </c>
      <c r="C25" s="22" t="str">
        <f>IF($B25="","",Cus!$AA25)</f>
        <v/>
      </c>
      <c r="D25" s="23" t="str">
        <f>IF($B25="","",(Acc!$H25*$C25))</f>
        <v/>
      </c>
      <c r="E25" s="24">
        <f>IF(C25&lt;=CommissionDD!$E$3,CommissionDD!$C$3,IF(C25&lt;=CommissionDD!$E$4,CommissionDD!$C$4,IF(C25&lt;=CommissionDD!$E$5,CommissionDD!$C$5,IF(C25&lt;=CommissionDD!$E$6,CommissionDD!$C$6,IF(C25&lt;=CommissionDD!$E$7,CommissionDD!$C$7,IF(C25&lt;=CommissionDD!$E$8,CommissionDD!$C$8,CommissionDD!$C$9))))))</f>
        <v>0.03</v>
      </c>
      <c r="F25" s="23" t="str">
        <f t="shared" si="2"/>
        <v/>
      </c>
      <c r="G25" s="23" t="str">
        <f>IF($B25="","",(Acc!$F25*CommissionDD!$C$30))</f>
        <v/>
      </c>
      <c r="H25" s="23" t="str">
        <f t="shared" si="0"/>
        <v/>
      </c>
    </row>
    <row r="26" spans="1:8">
      <c r="A26" s="21" t="str">
        <f t="shared" si="1"/>
        <v/>
      </c>
      <c r="B26" s="1" t="str">
        <f>IF(Cus!$B26&lt;&gt;"",Cus!$A26,"")</f>
        <v/>
      </c>
      <c r="C26" s="22" t="str">
        <f>IF($B26="","",Cus!$AA26)</f>
        <v/>
      </c>
      <c r="D26" s="23" t="str">
        <f>IF($B26="","",(Acc!$H26*$C26))</f>
        <v/>
      </c>
      <c r="E26" s="24">
        <f>IF(C26&lt;=CommissionDD!$E$3,CommissionDD!$C$3,IF(C26&lt;=CommissionDD!$E$4,CommissionDD!$C$4,IF(C26&lt;=CommissionDD!$E$5,CommissionDD!$C$5,IF(C26&lt;=CommissionDD!$E$6,CommissionDD!$C$6,IF(C26&lt;=CommissionDD!$E$7,CommissionDD!$C$7,IF(C26&lt;=CommissionDD!$E$8,CommissionDD!$C$8,CommissionDD!$C$9))))))</f>
        <v>0.03</v>
      </c>
      <c r="F26" s="23" t="str">
        <f t="shared" si="2"/>
        <v/>
      </c>
      <c r="G26" s="23" t="str">
        <f>IF($B26="","",(Acc!$F26*CommissionDD!$C$30))</f>
        <v/>
      </c>
      <c r="H26" s="23" t="str">
        <f t="shared" si="0"/>
        <v/>
      </c>
    </row>
    <row r="27" spans="1:8">
      <c r="A27" s="21" t="str">
        <f t="shared" si="1"/>
        <v/>
      </c>
      <c r="B27" s="1" t="str">
        <f>IF(Cus!$B27&lt;&gt;"",Cus!$A27,"")</f>
        <v/>
      </c>
      <c r="C27" s="22" t="str">
        <f>IF($B27="","",Cus!$AA27)</f>
        <v/>
      </c>
      <c r="D27" s="23" t="str">
        <f>IF($B27="","",(Acc!$H27*$C27))</f>
        <v/>
      </c>
      <c r="E27" s="24">
        <f>IF(C27&lt;=CommissionDD!$E$3,CommissionDD!$C$3,IF(C27&lt;=CommissionDD!$E$4,CommissionDD!$C$4,IF(C27&lt;=CommissionDD!$E$5,CommissionDD!$C$5,IF(C27&lt;=CommissionDD!$E$6,CommissionDD!$C$6,IF(C27&lt;=CommissionDD!$E$7,CommissionDD!$C$7,IF(C27&lt;=CommissionDD!$E$8,CommissionDD!$C$8,CommissionDD!$C$9))))))</f>
        <v>0.03</v>
      </c>
      <c r="F27" s="23" t="str">
        <f t="shared" si="2"/>
        <v/>
      </c>
      <c r="G27" s="23" t="str">
        <f>IF($B27="","",(Acc!$F27*CommissionDD!$C$30))</f>
        <v/>
      </c>
      <c r="H27" s="23" t="str">
        <f t="shared" si="0"/>
        <v/>
      </c>
    </row>
    <row r="28" spans="1:8">
      <c r="A28" s="21" t="str">
        <f t="shared" si="1"/>
        <v/>
      </c>
      <c r="B28" s="1" t="str">
        <f>IF(Cus!$B28&lt;&gt;"",Cus!$A28,"")</f>
        <v/>
      </c>
      <c r="C28" s="22" t="str">
        <f>IF($B28="","",Cus!$AA28)</f>
        <v/>
      </c>
      <c r="D28" s="23" t="str">
        <f>IF($B28="","",(Acc!$H28*$C28))</f>
        <v/>
      </c>
      <c r="E28" s="24">
        <f>IF(C28&lt;=CommissionDD!$E$3,CommissionDD!$C$3,IF(C28&lt;=CommissionDD!$E$4,CommissionDD!$C$4,IF(C28&lt;=CommissionDD!$E$5,CommissionDD!$C$5,IF(C28&lt;=CommissionDD!$E$6,CommissionDD!$C$6,IF(C28&lt;=CommissionDD!$E$7,CommissionDD!$C$7,IF(C28&lt;=CommissionDD!$E$8,CommissionDD!$C$8,CommissionDD!$C$9))))))</f>
        <v>0.03</v>
      </c>
      <c r="F28" s="23" t="str">
        <f t="shared" si="2"/>
        <v/>
      </c>
      <c r="G28" s="23" t="str">
        <f>IF($B28="","",(Acc!$F28*CommissionDD!$C$30))</f>
        <v/>
      </c>
      <c r="H28" s="23" t="str">
        <f t="shared" si="0"/>
        <v/>
      </c>
    </row>
    <row r="29" spans="1:8">
      <c r="A29" s="21" t="str">
        <f t="shared" si="1"/>
        <v/>
      </c>
      <c r="B29" s="1" t="str">
        <f>IF(Cus!$B29&lt;&gt;"",Cus!$A29,"")</f>
        <v/>
      </c>
      <c r="C29" s="22" t="str">
        <f>IF($B29="","",Cus!$AA29)</f>
        <v/>
      </c>
      <c r="D29" s="23" t="str">
        <f>IF($B29="","",(Acc!$H29*$C29))</f>
        <v/>
      </c>
      <c r="E29" s="24">
        <f>IF(C29&lt;=CommissionDD!$E$3,CommissionDD!$C$3,IF(C29&lt;=CommissionDD!$E$4,CommissionDD!$C$4,IF(C29&lt;=CommissionDD!$E$5,CommissionDD!$C$5,IF(C29&lt;=CommissionDD!$E$6,CommissionDD!$C$6,IF(C29&lt;=CommissionDD!$E$7,CommissionDD!$C$7,IF(C29&lt;=CommissionDD!$E$8,CommissionDD!$C$8,CommissionDD!$C$9))))))</f>
        <v>0.03</v>
      </c>
      <c r="F29" s="23" t="str">
        <f t="shared" si="2"/>
        <v/>
      </c>
      <c r="G29" s="23" t="str">
        <f>IF($B29="","",(Acc!$F29*CommissionDD!$C$30))</f>
        <v/>
      </c>
      <c r="H29" s="23" t="str">
        <f t="shared" si="0"/>
        <v/>
      </c>
    </row>
    <row r="30" spans="1:8">
      <c r="A30" s="21" t="str">
        <f t="shared" si="1"/>
        <v/>
      </c>
      <c r="B30" s="1" t="str">
        <f>IF(Cus!$B30&lt;&gt;"",Cus!$A30,"")</f>
        <v/>
      </c>
      <c r="C30" s="22" t="str">
        <f>IF($B30="","",Cus!$AA30)</f>
        <v/>
      </c>
      <c r="D30" s="23" t="str">
        <f>IF($B30="","",(Acc!$H30*$C30))</f>
        <v/>
      </c>
      <c r="E30" s="24">
        <f>IF(C30&lt;=CommissionDD!$E$3,CommissionDD!$C$3,IF(C30&lt;=CommissionDD!$E$4,CommissionDD!$C$4,IF(C30&lt;=CommissionDD!$E$5,CommissionDD!$C$5,IF(C30&lt;=CommissionDD!$E$6,CommissionDD!$C$6,IF(C30&lt;=CommissionDD!$E$7,CommissionDD!$C$7,IF(C30&lt;=CommissionDD!$E$8,CommissionDD!$C$8,CommissionDD!$C$9))))))</f>
        <v>0.03</v>
      </c>
      <c r="F30" s="23" t="str">
        <f t="shared" si="2"/>
        <v/>
      </c>
      <c r="G30" s="23" t="str">
        <f>IF($B30="","",(Acc!$F30*CommissionDD!$C$30))</f>
        <v/>
      </c>
      <c r="H30" s="23" t="str">
        <f t="shared" si="0"/>
        <v/>
      </c>
    </row>
    <row r="31" spans="1:8">
      <c r="A31" s="21" t="str">
        <f t="shared" si="1"/>
        <v/>
      </c>
      <c r="B31" s="1" t="str">
        <f>IF(Cus!$B31&lt;&gt;"",Cus!$A31,"")</f>
        <v/>
      </c>
      <c r="C31" s="22" t="str">
        <f>IF($B31="","",Cus!$AA31)</f>
        <v/>
      </c>
      <c r="D31" s="23" t="str">
        <f>IF($B31="","",(Acc!$H31*$C31))</f>
        <v/>
      </c>
      <c r="E31" s="24">
        <f>IF(C31&lt;=CommissionDD!$E$3,CommissionDD!$C$3,IF(C31&lt;=CommissionDD!$E$4,CommissionDD!$C$4,IF(C31&lt;=CommissionDD!$E$5,CommissionDD!$C$5,IF(C31&lt;=CommissionDD!$E$6,CommissionDD!$C$6,IF(C31&lt;=CommissionDD!$E$7,CommissionDD!$C$7,IF(C31&lt;=CommissionDD!$E$8,CommissionDD!$C$8,CommissionDD!$C$9))))))</f>
        <v>0.03</v>
      </c>
      <c r="F31" s="23" t="str">
        <f t="shared" si="2"/>
        <v/>
      </c>
      <c r="G31" s="23" t="str">
        <f>IF($B31="","",(Acc!$F31*CommissionDD!$C$30))</f>
        <v/>
      </c>
      <c r="H31" s="23" t="str">
        <f t="shared" si="0"/>
        <v/>
      </c>
    </row>
    <row r="32" spans="1:8">
      <c r="A32" s="21" t="str">
        <f t="shared" si="1"/>
        <v/>
      </c>
      <c r="B32" s="1" t="str">
        <f>IF(Cus!$B32&lt;&gt;"",Cus!$A32,"")</f>
        <v/>
      </c>
      <c r="C32" s="22" t="str">
        <f>IF($B32="","",Cus!$AA32)</f>
        <v/>
      </c>
      <c r="D32" s="23" t="str">
        <f>IF($B32="","",(Acc!$H32*$C32))</f>
        <v/>
      </c>
      <c r="E32" s="24">
        <f>IF(C32&lt;=CommissionDD!$E$3,CommissionDD!$C$3,IF(C32&lt;=CommissionDD!$E$4,CommissionDD!$C$4,IF(C32&lt;=CommissionDD!$E$5,CommissionDD!$C$5,IF(C32&lt;=CommissionDD!$E$6,CommissionDD!$C$6,IF(C32&lt;=CommissionDD!$E$7,CommissionDD!$C$7,IF(C32&lt;=CommissionDD!$E$8,CommissionDD!$C$8,CommissionDD!$C$9))))))</f>
        <v>0.03</v>
      </c>
      <c r="F32" s="23" t="str">
        <f t="shared" si="2"/>
        <v/>
      </c>
      <c r="G32" s="23" t="str">
        <f>IF($B32="","",(Acc!$F32*CommissionDD!$C$30))</f>
        <v/>
      </c>
      <c r="H32" s="23" t="str">
        <f t="shared" si="0"/>
        <v/>
      </c>
    </row>
    <row r="33" spans="1:8">
      <c r="A33" s="21" t="str">
        <f t="shared" si="1"/>
        <v/>
      </c>
      <c r="B33" s="1" t="str">
        <f>IF(Cus!$B33&lt;&gt;"",Cus!$A33,"")</f>
        <v/>
      </c>
      <c r="C33" s="22" t="str">
        <f>IF($B33="","",Cus!$AA33)</f>
        <v/>
      </c>
      <c r="D33" s="23" t="str">
        <f>IF($B33="","",(Acc!$H33*$C33))</f>
        <v/>
      </c>
      <c r="E33" s="24">
        <f>IF(C33&lt;=CommissionDD!$E$3,CommissionDD!$C$3,IF(C33&lt;=CommissionDD!$E$4,CommissionDD!$C$4,IF(C33&lt;=CommissionDD!$E$5,CommissionDD!$C$5,IF(C33&lt;=CommissionDD!$E$6,CommissionDD!$C$6,IF(C33&lt;=CommissionDD!$E$7,CommissionDD!$C$7,IF(C33&lt;=CommissionDD!$E$8,CommissionDD!$C$8,CommissionDD!$C$9))))))</f>
        <v>0.03</v>
      </c>
      <c r="F33" s="23" t="str">
        <f t="shared" si="2"/>
        <v/>
      </c>
      <c r="G33" s="23" t="str">
        <f>IF($B33="","",(Acc!$F33*CommissionDD!$C$30))</f>
        <v/>
      </c>
      <c r="H33" s="23" t="str">
        <f t="shared" si="0"/>
        <v/>
      </c>
    </row>
    <row r="34" spans="1:8">
      <c r="A34" s="21" t="str">
        <f t="shared" si="1"/>
        <v/>
      </c>
      <c r="B34" s="1" t="str">
        <f>IF(Cus!$B34&lt;&gt;"",Cus!$A34,"")</f>
        <v/>
      </c>
      <c r="C34" s="22" t="str">
        <f>IF($B34="","",Cus!$AA34)</f>
        <v/>
      </c>
      <c r="D34" s="23" t="str">
        <f>IF($B34="","",(Acc!$H34*$C34))</f>
        <v/>
      </c>
      <c r="E34" s="24">
        <f>IF(C34&lt;=CommissionDD!$E$3,CommissionDD!$C$3,IF(C34&lt;=CommissionDD!$E$4,CommissionDD!$C$4,IF(C34&lt;=CommissionDD!$E$5,CommissionDD!$C$5,IF(C34&lt;=CommissionDD!$E$6,CommissionDD!$C$6,IF(C34&lt;=CommissionDD!$E$7,CommissionDD!$C$7,IF(C34&lt;=CommissionDD!$E$8,CommissionDD!$C$8,CommissionDD!$C$9))))))</f>
        <v>0.03</v>
      </c>
      <c r="F34" s="23" t="str">
        <f t="shared" si="2"/>
        <v/>
      </c>
      <c r="G34" s="23" t="str">
        <f>IF($B34="","",(Acc!$F34*CommissionDD!$C$30))</f>
        <v/>
      </c>
      <c r="H34" s="23" t="str">
        <f t="shared" si="0"/>
        <v/>
      </c>
    </row>
    <row r="35" spans="1:8">
      <c r="A35" s="21" t="str">
        <f t="shared" si="1"/>
        <v/>
      </c>
      <c r="B35" s="1" t="str">
        <f>IF(Cus!$B35&lt;&gt;"",Cus!$A35,"")</f>
        <v/>
      </c>
      <c r="C35" s="22" t="str">
        <f>IF($B35="","",Cus!$AA35)</f>
        <v/>
      </c>
      <c r="D35" s="23" t="str">
        <f>IF($B35="","",(Acc!$H35*$C35))</f>
        <v/>
      </c>
      <c r="E35" s="24">
        <f>IF(C35&lt;=CommissionDD!$E$3,CommissionDD!$C$3,IF(C35&lt;=CommissionDD!$E$4,CommissionDD!$C$4,IF(C35&lt;=CommissionDD!$E$5,CommissionDD!$C$5,IF(C35&lt;=CommissionDD!$E$6,CommissionDD!$C$6,IF(C35&lt;=CommissionDD!$E$7,CommissionDD!$C$7,IF(C35&lt;=CommissionDD!$E$8,CommissionDD!$C$8,CommissionDD!$C$9))))))</f>
        <v>0.03</v>
      </c>
      <c r="F35" s="23" t="str">
        <f t="shared" si="2"/>
        <v/>
      </c>
      <c r="G35" s="23" t="str">
        <f>IF($B35="","",(Acc!$F35*CommissionDD!$C$30))</f>
        <v/>
      </c>
      <c r="H35" s="23" t="str">
        <f t="shared" si="0"/>
        <v/>
      </c>
    </row>
    <row r="36" spans="1:8">
      <c r="A36" s="21" t="str">
        <f t="shared" si="1"/>
        <v/>
      </c>
      <c r="B36" s="1" t="str">
        <f>IF(Cus!$B36&lt;&gt;"",Cus!$A36,"")</f>
        <v/>
      </c>
      <c r="C36" s="22" t="str">
        <f>IF($B36="","",Cus!$AA36)</f>
        <v/>
      </c>
      <c r="D36" s="23" t="str">
        <f>IF($B36="","",(Acc!$H36*$C36))</f>
        <v/>
      </c>
      <c r="E36" s="24">
        <f>IF(C36&lt;=CommissionDD!$E$3,CommissionDD!$C$3,IF(C36&lt;=CommissionDD!$E$4,CommissionDD!$C$4,IF(C36&lt;=CommissionDD!$E$5,CommissionDD!$C$5,IF(C36&lt;=CommissionDD!$E$6,CommissionDD!$C$6,IF(C36&lt;=CommissionDD!$E$7,CommissionDD!$C$7,IF(C36&lt;=CommissionDD!$E$8,CommissionDD!$C$8,CommissionDD!$C$9))))))</f>
        <v>0.03</v>
      </c>
      <c r="F36" s="23" t="str">
        <f t="shared" si="2"/>
        <v/>
      </c>
      <c r="G36" s="23" t="str">
        <f>IF($B36="","",(Acc!$F36*CommissionDD!$C$30))</f>
        <v/>
      </c>
      <c r="H36" s="23" t="str">
        <f t="shared" si="0"/>
        <v/>
      </c>
    </row>
    <row r="37" spans="1:8">
      <c r="A37" s="21" t="str">
        <f t="shared" si="1"/>
        <v/>
      </c>
      <c r="B37" s="1" t="str">
        <f>IF(Cus!$B37&lt;&gt;"",Cus!$A37,"")</f>
        <v/>
      </c>
      <c r="C37" s="22" t="str">
        <f>IF($B37="","",Cus!$AA37)</f>
        <v/>
      </c>
      <c r="D37" s="23" t="str">
        <f>IF($B37="","",(Acc!$H37*$C37))</f>
        <v/>
      </c>
      <c r="E37" s="24">
        <f>IF(C37&lt;=CommissionDD!$E$3,CommissionDD!$C$3,IF(C37&lt;=CommissionDD!$E$4,CommissionDD!$C$4,IF(C37&lt;=CommissionDD!$E$5,CommissionDD!$C$5,IF(C37&lt;=CommissionDD!$E$6,CommissionDD!$C$6,IF(C37&lt;=CommissionDD!$E$7,CommissionDD!$C$7,IF(C37&lt;=CommissionDD!$E$8,CommissionDD!$C$8,CommissionDD!$C$9))))))</f>
        <v>0.03</v>
      </c>
      <c r="F37" s="23" t="str">
        <f t="shared" si="2"/>
        <v/>
      </c>
      <c r="G37" s="23" t="str">
        <f>IF($B37="","",(Acc!$F37*CommissionDD!$C$30))</f>
        <v/>
      </c>
      <c r="H37" s="23" t="str">
        <f t="shared" si="0"/>
        <v/>
      </c>
    </row>
    <row r="38" spans="1:8">
      <c r="A38" s="21" t="str">
        <f t="shared" si="1"/>
        <v/>
      </c>
      <c r="B38" s="1" t="str">
        <f>IF(Cus!$B38&lt;&gt;"",Cus!$A38,"")</f>
        <v/>
      </c>
      <c r="C38" s="22" t="str">
        <f>IF($B38="","",Cus!$AA38)</f>
        <v/>
      </c>
      <c r="D38" s="23" t="str">
        <f>IF($B38="","",(Acc!$H38*$C38))</f>
        <v/>
      </c>
      <c r="E38" s="24">
        <f>IF(C38&lt;=CommissionDD!$E$3,CommissionDD!$C$3,IF(C38&lt;=CommissionDD!$E$4,CommissionDD!$C$4,IF(C38&lt;=CommissionDD!$E$5,CommissionDD!$C$5,IF(C38&lt;=CommissionDD!$E$6,CommissionDD!$C$6,IF(C38&lt;=CommissionDD!$E$7,CommissionDD!$C$7,IF(C38&lt;=CommissionDD!$E$8,CommissionDD!$C$8,CommissionDD!$C$9))))))</f>
        <v>0.03</v>
      </c>
      <c r="F38" s="23" t="str">
        <f t="shared" si="2"/>
        <v/>
      </c>
      <c r="G38" s="23" t="str">
        <f>IF($B38="","",(Acc!$F38*CommissionDD!$C$30))</f>
        <v/>
      </c>
      <c r="H38" s="23" t="str">
        <f t="shared" si="0"/>
        <v/>
      </c>
    </row>
    <row r="39" spans="1:8">
      <c r="A39" s="21" t="str">
        <f t="shared" si="1"/>
        <v/>
      </c>
      <c r="B39" s="1" t="str">
        <f>IF(Cus!$B39&lt;&gt;"",Cus!$A39,"")</f>
        <v/>
      </c>
      <c r="C39" s="22" t="str">
        <f>IF($B39="","",Cus!$AA39)</f>
        <v/>
      </c>
      <c r="D39" s="23" t="str">
        <f>IF($B39="","",(Acc!$H39*$C39))</f>
        <v/>
      </c>
      <c r="E39" s="24">
        <f>IF(C39&lt;=CommissionDD!$E$3,CommissionDD!$C$3,IF(C39&lt;=CommissionDD!$E$4,CommissionDD!$C$4,IF(C39&lt;=CommissionDD!$E$5,CommissionDD!$C$5,IF(C39&lt;=CommissionDD!$E$6,CommissionDD!$C$6,IF(C39&lt;=CommissionDD!$E$7,CommissionDD!$C$7,IF(C39&lt;=CommissionDD!$E$8,CommissionDD!$C$8,CommissionDD!$C$9))))))</f>
        <v>0.03</v>
      </c>
      <c r="F39" s="23" t="str">
        <f t="shared" si="2"/>
        <v/>
      </c>
      <c r="G39" s="23" t="str">
        <f>IF($B39="","",(Acc!$F39*CommissionDD!$C$30))</f>
        <v/>
      </c>
      <c r="H39" s="23" t="str">
        <f t="shared" si="0"/>
        <v/>
      </c>
    </row>
    <row r="40" spans="1:8">
      <c r="A40" s="21" t="str">
        <f t="shared" si="1"/>
        <v/>
      </c>
      <c r="B40" s="1" t="str">
        <f>IF(Cus!$B40&lt;&gt;"",Cus!$A40,"")</f>
        <v/>
      </c>
      <c r="C40" s="22" t="str">
        <f>IF($B40="","",Cus!$AA40)</f>
        <v/>
      </c>
      <c r="D40" s="23" t="str">
        <f>IF($B40="","",(Acc!$H40*$C40))</f>
        <v/>
      </c>
      <c r="E40" s="24">
        <f>IF(C40&lt;=CommissionDD!$E$3,CommissionDD!$C$3,IF(C40&lt;=CommissionDD!$E$4,CommissionDD!$C$4,IF(C40&lt;=CommissionDD!$E$5,CommissionDD!$C$5,IF(C40&lt;=CommissionDD!$E$6,CommissionDD!$C$6,IF(C40&lt;=CommissionDD!$E$7,CommissionDD!$C$7,IF(C40&lt;=CommissionDD!$E$8,CommissionDD!$C$8,CommissionDD!$C$9))))))</f>
        <v>0.03</v>
      </c>
      <c r="F40" s="23" t="str">
        <f t="shared" si="2"/>
        <v/>
      </c>
      <c r="G40" s="23" t="str">
        <f>IF($B40="","",(Acc!$F40*CommissionDD!$C$30))</f>
        <v/>
      </c>
      <c r="H40" s="23" t="str">
        <f t="shared" si="0"/>
        <v/>
      </c>
    </row>
    <row r="41" spans="1:8">
      <c r="A41" s="21" t="str">
        <f t="shared" si="1"/>
        <v/>
      </c>
      <c r="B41" s="1" t="str">
        <f>IF(Cus!$B41&lt;&gt;"",Cus!$A41,"")</f>
        <v/>
      </c>
      <c r="C41" s="22" t="str">
        <f>IF($B41="","",Cus!$AA41)</f>
        <v/>
      </c>
      <c r="D41" s="23" t="str">
        <f>IF($B41="","",(Acc!$H41*$C41))</f>
        <v/>
      </c>
      <c r="E41" s="24">
        <f>IF(C41&lt;=CommissionDD!$E$3,CommissionDD!$C$3,IF(C41&lt;=CommissionDD!$E$4,CommissionDD!$C$4,IF(C41&lt;=CommissionDD!$E$5,CommissionDD!$C$5,IF(C41&lt;=CommissionDD!$E$6,CommissionDD!$C$6,IF(C41&lt;=CommissionDD!$E$7,CommissionDD!$C$7,IF(C41&lt;=CommissionDD!$E$8,CommissionDD!$C$8,CommissionDD!$C$9))))))</f>
        <v>0.03</v>
      </c>
      <c r="F41" s="23" t="str">
        <f t="shared" si="2"/>
        <v/>
      </c>
      <c r="G41" s="23" t="str">
        <f>IF($B41="","",(Acc!$F41*CommissionDD!$C$30))</f>
        <v/>
      </c>
      <c r="H41" s="23" t="str">
        <f t="shared" si="0"/>
        <v/>
      </c>
    </row>
    <row r="42" spans="1:8">
      <c r="A42" s="21" t="str">
        <f t="shared" si="1"/>
        <v/>
      </c>
      <c r="B42" s="1" t="str">
        <f>IF(Cus!$B42&lt;&gt;"",Cus!$A42,"")</f>
        <v/>
      </c>
      <c r="C42" s="22" t="str">
        <f>IF($B42="","",Cus!$AA42)</f>
        <v/>
      </c>
      <c r="D42" s="23" t="str">
        <f>IF($B42="","",(Acc!$H42*$C42))</f>
        <v/>
      </c>
      <c r="E42" s="24">
        <f>IF(C42&lt;=CommissionDD!$E$3,CommissionDD!$C$3,IF(C42&lt;=CommissionDD!$E$4,CommissionDD!$C$4,IF(C42&lt;=CommissionDD!$E$5,CommissionDD!$C$5,IF(C42&lt;=CommissionDD!$E$6,CommissionDD!$C$6,IF(C42&lt;=CommissionDD!$E$7,CommissionDD!$C$7,IF(C42&lt;=CommissionDD!$E$8,CommissionDD!$C$8,CommissionDD!$C$9))))))</f>
        <v>0.03</v>
      </c>
      <c r="F42" s="23" t="str">
        <f t="shared" si="2"/>
        <v/>
      </c>
      <c r="G42" s="23" t="str">
        <f>IF($B42="","",(Acc!$F42*CommissionDD!$C$30))</f>
        <v/>
      </c>
      <c r="H42" s="23" t="str">
        <f t="shared" si="0"/>
        <v/>
      </c>
    </row>
    <row r="43" spans="1:8">
      <c r="A43" s="21" t="str">
        <f t="shared" si="1"/>
        <v/>
      </c>
      <c r="B43" s="1" t="str">
        <f>IF(Cus!$B43&lt;&gt;"",Cus!$A43,"")</f>
        <v/>
      </c>
      <c r="C43" s="22" t="str">
        <f>IF($B43="","",Cus!$AA43)</f>
        <v/>
      </c>
      <c r="D43" s="23" t="str">
        <f>IF($B43="","",(Acc!$H43*$C43))</f>
        <v/>
      </c>
      <c r="E43" s="24">
        <f>IF(C43&lt;=CommissionDD!$E$3,CommissionDD!$C$3,IF(C43&lt;=CommissionDD!$E$4,CommissionDD!$C$4,IF(C43&lt;=CommissionDD!$E$5,CommissionDD!$C$5,IF(C43&lt;=CommissionDD!$E$6,CommissionDD!$C$6,IF(C43&lt;=CommissionDD!$E$7,CommissionDD!$C$7,IF(C43&lt;=CommissionDD!$E$8,CommissionDD!$C$8,CommissionDD!$C$9))))))</f>
        <v>0.03</v>
      </c>
      <c r="F43" s="23" t="str">
        <f t="shared" si="2"/>
        <v/>
      </c>
      <c r="G43" s="23" t="str">
        <f>IF($B43="","",(Acc!$F43*CommissionDD!$C$30))</f>
        <v/>
      </c>
      <c r="H43" s="23" t="str">
        <f t="shared" si="0"/>
        <v/>
      </c>
    </row>
    <row r="44" spans="1:8">
      <c r="A44" s="21" t="str">
        <f t="shared" si="1"/>
        <v/>
      </c>
      <c r="B44" s="1" t="str">
        <f>IF(Cus!$B44&lt;&gt;"",Cus!$A44,"")</f>
        <v/>
      </c>
      <c r="C44" s="22" t="str">
        <f>IF($B44="","",Cus!$AA44)</f>
        <v/>
      </c>
      <c r="D44" s="23" t="str">
        <f>IF($B44="","",(Acc!$H44*$C44))</f>
        <v/>
      </c>
      <c r="E44" s="24">
        <f>IF(C44&lt;=CommissionDD!$E$3,CommissionDD!$C$3,IF(C44&lt;=CommissionDD!$E$4,CommissionDD!$C$4,IF(C44&lt;=CommissionDD!$E$5,CommissionDD!$C$5,IF(C44&lt;=CommissionDD!$E$6,CommissionDD!$C$6,IF(C44&lt;=CommissionDD!$E$7,CommissionDD!$C$7,IF(C44&lt;=CommissionDD!$E$8,CommissionDD!$C$8,CommissionDD!$C$9))))))</f>
        <v>0.03</v>
      </c>
      <c r="F44" s="23" t="str">
        <f t="shared" si="2"/>
        <v/>
      </c>
      <c r="G44" s="23" t="str">
        <f>IF($B44="","",(Acc!$F44*CommissionDD!$C$30))</f>
        <v/>
      </c>
      <c r="H44" s="23" t="str">
        <f t="shared" si="0"/>
        <v/>
      </c>
    </row>
    <row r="45" spans="1:8">
      <c r="A45" s="21" t="str">
        <f t="shared" si="1"/>
        <v/>
      </c>
      <c r="B45" s="1" t="str">
        <f>IF(Cus!$B45&lt;&gt;"",Cus!$A45,"")</f>
        <v/>
      </c>
      <c r="C45" s="22" t="str">
        <f>IF($B45="","",Cus!$AA45)</f>
        <v/>
      </c>
      <c r="D45" s="23" t="str">
        <f>IF($B45="","",(Acc!$H45*$C45))</f>
        <v/>
      </c>
      <c r="E45" s="24">
        <f>IF(C45&lt;=CommissionDD!$E$3,CommissionDD!$C$3,IF(C45&lt;=CommissionDD!$E$4,CommissionDD!$C$4,IF(C45&lt;=CommissionDD!$E$5,CommissionDD!$C$5,IF(C45&lt;=CommissionDD!$E$6,CommissionDD!$C$6,IF(C45&lt;=CommissionDD!$E$7,CommissionDD!$C$7,IF(C45&lt;=CommissionDD!$E$8,CommissionDD!$C$8,CommissionDD!$C$9))))))</f>
        <v>0.03</v>
      </c>
      <c r="F45" s="23" t="str">
        <f t="shared" si="2"/>
        <v/>
      </c>
      <c r="G45" s="23" t="str">
        <f>IF($B45="","",(Acc!$F45*CommissionDD!$C$30))</f>
        <v/>
      </c>
      <c r="H45" s="23" t="str">
        <f t="shared" si="0"/>
        <v/>
      </c>
    </row>
    <row r="46" spans="1:8">
      <c r="A46" s="21" t="str">
        <f t="shared" si="1"/>
        <v/>
      </c>
      <c r="B46" s="1" t="str">
        <f>IF(Cus!$B46&lt;&gt;"",Cus!$A46,"")</f>
        <v/>
      </c>
      <c r="C46" s="22" t="str">
        <f>IF($B46="","",Cus!$AA46)</f>
        <v/>
      </c>
      <c r="D46" s="23" t="str">
        <f>IF($B46="","",(Acc!$H46*$C46))</f>
        <v/>
      </c>
      <c r="E46" s="24">
        <f>IF(C46&lt;=CommissionDD!$E$3,CommissionDD!$C$3,IF(C46&lt;=CommissionDD!$E$4,CommissionDD!$C$4,IF(C46&lt;=CommissionDD!$E$5,CommissionDD!$C$5,IF(C46&lt;=CommissionDD!$E$6,CommissionDD!$C$6,IF(C46&lt;=CommissionDD!$E$7,CommissionDD!$C$7,IF(C46&lt;=CommissionDD!$E$8,CommissionDD!$C$8,CommissionDD!$C$9))))))</f>
        <v>0.03</v>
      </c>
      <c r="F46" s="23" t="str">
        <f t="shared" si="2"/>
        <v/>
      </c>
      <c r="G46" s="23" t="str">
        <f>IF($B46="","",(Acc!$F46*CommissionDD!$C$30))</f>
        <v/>
      </c>
      <c r="H46" s="23" t="str">
        <f t="shared" si="0"/>
        <v/>
      </c>
    </row>
    <row r="47" spans="1:8">
      <c r="A47" s="21" t="str">
        <f t="shared" si="1"/>
        <v/>
      </c>
      <c r="B47" s="1" t="str">
        <f>IF(Cus!$B47&lt;&gt;"",Cus!$A47,"")</f>
        <v/>
      </c>
      <c r="C47" s="22" t="str">
        <f>IF($B47="","",Cus!$AA47)</f>
        <v/>
      </c>
      <c r="D47" s="23" t="str">
        <f>IF($B47="","",(Acc!$H47*$C47))</f>
        <v/>
      </c>
      <c r="E47" s="24">
        <f>IF(C47&lt;=CommissionDD!$E$3,CommissionDD!$C$3,IF(C47&lt;=CommissionDD!$E$4,CommissionDD!$C$4,IF(C47&lt;=CommissionDD!$E$5,CommissionDD!$C$5,IF(C47&lt;=CommissionDD!$E$6,CommissionDD!$C$6,IF(C47&lt;=CommissionDD!$E$7,CommissionDD!$C$7,IF(C47&lt;=CommissionDD!$E$8,CommissionDD!$C$8,CommissionDD!$C$9))))))</f>
        <v>0.03</v>
      </c>
      <c r="F47" s="23" t="str">
        <f t="shared" si="2"/>
        <v/>
      </c>
      <c r="G47" s="23" t="str">
        <f>IF($B47="","",(Acc!$F47*CommissionDD!$C$30))</f>
        <v/>
      </c>
      <c r="H47" s="23" t="str">
        <f t="shared" si="0"/>
        <v/>
      </c>
    </row>
    <row r="48" spans="1:8">
      <c r="A48" s="21" t="str">
        <f t="shared" si="1"/>
        <v/>
      </c>
      <c r="B48" s="1" t="str">
        <f>IF(Cus!$B48&lt;&gt;"",Cus!$A48,"")</f>
        <v/>
      </c>
      <c r="C48" s="22" t="str">
        <f>IF($B48="","",Cus!$AA48)</f>
        <v/>
      </c>
      <c r="D48" s="23" t="str">
        <f>IF($B48="","",(Acc!$H48*$C48))</f>
        <v/>
      </c>
      <c r="E48" s="24">
        <f>IF(C48&lt;=CommissionDD!$E$3,CommissionDD!$C$3,IF(C48&lt;=CommissionDD!$E$4,CommissionDD!$C$4,IF(C48&lt;=CommissionDD!$E$5,CommissionDD!$C$5,IF(C48&lt;=CommissionDD!$E$6,CommissionDD!$C$6,IF(C48&lt;=CommissionDD!$E$7,CommissionDD!$C$7,IF(C48&lt;=CommissionDD!$E$8,CommissionDD!$C$8,CommissionDD!$C$9))))))</f>
        <v>0.03</v>
      </c>
      <c r="F48" s="23" t="str">
        <f t="shared" si="2"/>
        <v/>
      </c>
      <c r="G48" s="23" t="str">
        <f>IF($B48="","",(Acc!$F48*CommissionDD!$C$30))</f>
        <v/>
      </c>
      <c r="H48" s="23" t="str">
        <f t="shared" si="0"/>
        <v/>
      </c>
    </row>
    <row r="49" spans="1:8">
      <c r="A49" s="21" t="str">
        <f t="shared" si="1"/>
        <v/>
      </c>
      <c r="B49" s="1" t="str">
        <f>IF(Cus!$B49&lt;&gt;"",Cus!$A49,"")</f>
        <v/>
      </c>
      <c r="C49" s="22" t="str">
        <f>IF($B49="","",Cus!$AA49)</f>
        <v/>
      </c>
      <c r="D49" s="23" t="str">
        <f>IF($B49="","",(Acc!$H49*$C49))</f>
        <v/>
      </c>
      <c r="E49" s="24">
        <f>IF(C49&lt;=CommissionDD!$E$3,CommissionDD!$C$3,IF(C49&lt;=CommissionDD!$E$4,CommissionDD!$C$4,IF(C49&lt;=CommissionDD!$E$5,CommissionDD!$C$5,IF(C49&lt;=CommissionDD!$E$6,CommissionDD!$C$6,IF(C49&lt;=CommissionDD!$E$7,CommissionDD!$C$7,IF(C49&lt;=CommissionDD!$E$8,CommissionDD!$C$8,CommissionDD!$C$9))))))</f>
        <v>0.03</v>
      </c>
      <c r="F49" s="23" t="str">
        <f t="shared" si="2"/>
        <v/>
      </c>
      <c r="G49" s="23" t="str">
        <f>IF($B49="","",(Acc!$F49*CommissionDD!$C$30))</f>
        <v/>
      </c>
      <c r="H49" s="23" t="str">
        <f t="shared" si="0"/>
        <v/>
      </c>
    </row>
    <row r="50" spans="1:8">
      <c r="A50" s="21">
        <f t="shared" si="1"/>
        <v>49</v>
      </c>
      <c r="B50" s="1" t="str">
        <f>IF(Cus!$B50&lt;&gt;"",Cus!$A50,"")</f>
        <v>K0000049</v>
      </c>
      <c r="C50" s="22">
        <f>IF($B50="","",Cus!$AA50)</f>
        <v>0</v>
      </c>
      <c r="D50" s="23">
        <f>IF($B50="","",(Acc!$H50*$C50))</f>
        <v>0</v>
      </c>
      <c r="E50" s="24">
        <f>IF(C50&lt;=CommissionDD!$E$3,CommissionDD!$C$3,IF(C50&lt;=CommissionDD!$E$4,CommissionDD!$C$4,IF(C50&lt;=CommissionDD!$E$5,CommissionDD!$C$5,IF(C50&lt;=CommissionDD!$E$6,CommissionDD!$C$6,IF(C50&lt;=CommissionDD!$E$7,CommissionDD!$C$7,IF(C50&lt;=CommissionDD!$E$8,CommissionDD!$C$8,CommissionDD!$C$9))))))</f>
        <v>0.12</v>
      </c>
      <c r="F50" s="23">
        <f t="shared" si="2"/>
        <v>0</v>
      </c>
      <c r="G50" s="23">
        <f>IF($B50="","",(Acc!$F50*CommissionDD!$C$30))</f>
        <v>0</v>
      </c>
      <c r="H50" s="23">
        <f t="shared" si="0"/>
        <v>0</v>
      </c>
    </row>
    <row r="51" spans="1:8">
      <c r="A51" s="21" t="str">
        <f t="shared" si="1"/>
        <v/>
      </c>
      <c r="B51" s="1" t="str">
        <f>IF(Cus!$B51&lt;&gt;"",Cus!$A51,"")</f>
        <v/>
      </c>
      <c r="C51" s="22" t="str">
        <f>IF($B51="","",Cus!$AA51)</f>
        <v/>
      </c>
      <c r="D51" s="23" t="str">
        <f>IF($B51="","",(Acc!$H51*$C51))</f>
        <v/>
      </c>
      <c r="E51" s="24">
        <f>IF(C51&lt;=CommissionDD!$E$3,CommissionDD!$C$3,IF(C51&lt;=CommissionDD!$E$4,CommissionDD!$C$4,IF(C51&lt;=CommissionDD!$E$5,CommissionDD!$C$5,IF(C51&lt;=CommissionDD!$E$6,CommissionDD!$C$6,IF(C51&lt;=CommissionDD!$E$7,CommissionDD!$C$7,IF(C51&lt;=CommissionDD!$E$8,CommissionDD!$C$8,CommissionDD!$C$9))))))</f>
        <v>0.03</v>
      </c>
      <c r="F51" s="23" t="str">
        <f t="shared" si="2"/>
        <v/>
      </c>
      <c r="G51" s="23" t="str">
        <f>IF($B51="","",(Acc!$F51*CommissionDD!$C$30))</f>
        <v/>
      </c>
      <c r="H51" s="23" t="str">
        <f t="shared" si="0"/>
        <v/>
      </c>
    </row>
    <row r="52" spans="1:8">
      <c r="A52" s="21" t="str">
        <f t="shared" si="1"/>
        <v/>
      </c>
      <c r="B52" s="1" t="str">
        <f>IF(Cus!$B52&lt;&gt;"",Cus!$A52,"")</f>
        <v/>
      </c>
      <c r="C52" s="22" t="str">
        <f>IF($B52="","",Cus!$AA52)</f>
        <v/>
      </c>
      <c r="D52" s="23" t="str">
        <f>IF($B52="","",(Acc!$H52*$C52))</f>
        <v/>
      </c>
      <c r="E52" s="24">
        <f>IF(C52&lt;=CommissionDD!$E$3,CommissionDD!$C$3,IF(C52&lt;=CommissionDD!$E$4,CommissionDD!$C$4,IF(C52&lt;=CommissionDD!$E$5,CommissionDD!$C$5,IF(C52&lt;=CommissionDD!$E$6,CommissionDD!$C$6,IF(C52&lt;=CommissionDD!$E$7,CommissionDD!$C$7,IF(C52&lt;=CommissionDD!$E$8,CommissionDD!$C$8,CommissionDD!$C$9))))))</f>
        <v>0.03</v>
      </c>
      <c r="F52" s="23" t="str">
        <f t="shared" si="2"/>
        <v/>
      </c>
      <c r="G52" s="23" t="str">
        <f>IF($B52="","",(Acc!$F52*CommissionDD!$C$30))</f>
        <v/>
      </c>
      <c r="H52" s="23" t="str">
        <f t="shared" si="0"/>
        <v/>
      </c>
    </row>
    <row r="53" spans="1:8">
      <c r="A53" s="21" t="str">
        <f t="shared" si="1"/>
        <v/>
      </c>
      <c r="B53" s="1" t="str">
        <f>IF(Cus!$B53&lt;&gt;"",Cus!$A53,"")</f>
        <v/>
      </c>
      <c r="C53" s="22" t="str">
        <f>IF($B53="","",Cus!$AA53)</f>
        <v/>
      </c>
      <c r="D53" s="23" t="str">
        <f>IF($B53="","",(Acc!$H53*$C53))</f>
        <v/>
      </c>
      <c r="E53" s="24">
        <f>IF(C53&lt;=CommissionDD!$E$3,CommissionDD!$C$3,IF(C53&lt;=CommissionDD!$E$4,CommissionDD!$C$4,IF(C53&lt;=CommissionDD!$E$5,CommissionDD!$C$5,IF(C53&lt;=CommissionDD!$E$6,CommissionDD!$C$6,IF(C53&lt;=CommissionDD!$E$7,CommissionDD!$C$7,IF(C53&lt;=CommissionDD!$E$8,CommissionDD!$C$8,CommissionDD!$C$9))))))</f>
        <v>0.03</v>
      </c>
      <c r="F53" s="23" t="str">
        <f t="shared" si="2"/>
        <v/>
      </c>
      <c r="G53" s="23" t="str">
        <f>IF($B53="","",(Acc!$F53*CommissionDD!$C$30))</f>
        <v/>
      </c>
      <c r="H53" s="23" t="str">
        <f t="shared" si="0"/>
        <v/>
      </c>
    </row>
    <row r="54" spans="1:8">
      <c r="A54" s="21" t="str">
        <f t="shared" si="1"/>
        <v/>
      </c>
      <c r="B54" s="1" t="str">
        <f>IF(Cus!$B54&lt;&gt;"",Cus!$A54,"")</f>
        <v/>
      </c>
      <c r="C54" s="22" t="str">
        <f>IF($B54="","",Cus!$AA54)</f>
        <v/>
      </c>
      <c r="D54" s="23" t="str">
        <f>IF($B54="","",(Acc!$H54*$C54))</f>
        <v/>
      </c>
      <c r="E54" s="24">
        <f>IF(C54&lt;=CommissionDD!$E$3,CommissionDD!$C$3,IF(C54&lt;=CommissionDD!$E$4,CommissionDD!$C$4,IF(C54&lt;=CommissionDD!$E$5,CommissionDD!$C$5,IF(C54&lt;=CommissionDD!$E$6,CommissionDD!$C$6,IF(C54&lt;=CommissionDD!$E$7,CommissionDD!$C$7,IF(C54&lt;=CommissionDD!$E$8,CommissionDD!$C$8,CommissionDD!$C$9))))))</f>
        <v>0.03</v>
      </c>
      <c r="F54" s="23" t="str">
        <f t="shared" si="2"/>
        <v/>
      </c>
      <c r="G54" s="23" t="str">
        <f>IF($B54="","",(Acc!$F54*CommissionDD!$C$30))</f>
        <v/>
      </c>
      <c r="H54" s="23" t="str">
        <f t="shared" si="0"/>
        <v/>
      </c>
    </row>
    <row r="55" spans="1:8">
      <c r="A55" s="21" t="str">
        <f t="shared" si="1"/>
        <v/>
      </c>
      <c r="B55" s="1" t="str">
        <f>IF(Cus!$B55&lt;&gt;"",Cus!$A55,"")</f>
        <v/>
      </c>
      <c r="C55" s="22" t="str">
        <f>IF($B55="","",Cus!$AA55)</f>
        <v/>
      </c>
      <c r="D55" s="23" t="str">
        <f>IF($B55="","",(Acc!$H55*$C55))</f>
        <v/>
      </c>
      <c r="E55" s="24">
        <f>IF(C55&lt;=CommissionDD!$E$3,CommissionDD!$C$3,IF(C55&lt;=CommissionDD!$E$4,CommissionDD!$C$4,IF(C55&lt;=CommissionDD!$E$5,CommissionDD!$C$5,IF(C55&lt;=CommissionDD!$E$6,CommissionDD!$C$6,IF(C55&lt;=CommissionDD!$E$7,CommissionDD!$C$7,IF(C55&lt;=CommissionDD!$E$8,CommissionDD!$C$8,CommissionDD!$C$9))))))</f>
        <v>0.03</v>
      </c>
      <c r="F55" s="23" t="str">
        <f t="shared" si="2"/>
        <v/>
      </c>
      <c r="G55" s="23" t="str">
        <f>IF($B55="","",(Acc!$F55*CommissionDD!$C$30))</f>
        <v/>
      </c>
      <c r="H55" s="23" t="str">
        <f t="shared" si="0"/>
        <v/>
      </c>
    </row>
    <row r="56" spans="1:8">
      <c r="A56" s="21" t="str">
        <f t="shared" si="1"/>
        <v/>
      </c>
      <c r="B56" s="1" t="str">
        <f>IF(Cus!$B56&lt;&gt;"",Cus!$A56,"")</f>
        <v/>
      </c>
      <c r="C56" s="22" t="str">
        <f>IF($B56="","",Cus!$AA56)</f>
        <v/>
      </c>
      <c r="D56" s="23" t="str">
        <f>IF($B56="","",(Acc!$H56*$C56))</f>
        <v/>
      </c>
      <c r="E56" s="24">
        <f>IF(C56&lt;=CommissionDD!$E$3,CommissionDD!$C$3,IF(C56&lt;=CommissionDD!$E$4,CommissionDD!$C$4,IF(C56&lt;=CommissionDD!$E$5,CommissionDD!$C$5,IF(C56&lt;=CommissionDD!$E$6,CommissionDD!$C$6,IF(C56&lt;=CommissionDD!$E$7,CommissionDD!$C$7,IF(C56&lt;=CommissionDD!$E$8,CommissionDD!$C$8,CommissionDD!$C$9))))))</f>
        <v>0.03</v>
      </c>
      <c r="F56" s="23" t="str">
        <f t="shared" si="2"/>
        <v/>
      </c>
      <c r="G56" s="23" t="str">
        <f>IF($B56="","",(Acc!$F56*CommissionDD!$C$30))</f>
        <v/>
      </c>
      <c r="H56" s="23" t="str">
        <f t="shared" si="0"/>
        <v/>
      </c>
    </row>
    <row r="57" spans="1:8">
      <c r="A57" s="21" t="str">
        <f t="shared" si="1"/>
        <v/>
      </c>
      <c r="B57" s="1" t="str">
        <f>IF(Cus!$B57&lt;&gt;"",Cus!$A57,"")</f>
        <v/>
      </c>
      <c r="C57" s="22" t="str">
        <f>IF($B57="","",Cus!$AA57)</f>
        <v/>
      </c>
      <c r="D57" s="23" t="str">
        <f>IF($B57="","",(Acc!$H57*$C57))</f>
        <v/>
      </c>
      <c r="E57" s="24">
        <f>IF(C57&lt;=CommissionDD!$E$3,CommissionDD!$C$3,IF(C57&lt;=CommissionDD!$E$4,CommissionDD!$C$4,IF(C57&lt;=CommissionDD!$E$5,CommissionDD!$C$5,IF(C57&lt;=CommissionDD!$E$6,CommissionDD!$C$6,IF(C57&lt;=CommissionDD!$E$7,CommissionDD!$C$7,IF(C57&lt;=CommissionDD!$E$8,CommissionDD!$C$8,CommissionDD!$C$9))))))</f>
        <v>0.03</v>
      </c>
      <c r="F57" s="23" t="str">
        <f t="shared" si="2"/>
        <v/>
      </c>
      <c r="G57" s="23" t="str">
        <f>IF($B57="","",(Acc!$F57*CommissionDD!$C$30))</f>
        <v/>
      </c>
      <c r="H57" s="23" t="str">
        <f t="shared" si="0"/>
        <v/>
      </c>
    </row>
    <row r="58" spans="1:8">
      <c r="A58" s="21" t="str">
        <f t="shared" si="1"/>
        <v/>
      </c>
      <c r="B58" s="1" t="str">
        <f>IF(Cus!$B58&lt;&gt;"",Cus!$A58,"")</f>
        <v/>
      </c>
      <c r="C58" s="22" t="str">
        <f>IF($B58="","",Cus!$AA58)</f>
        <v/>
      </c>
      <c r="D58" s="23" t="str">
        <f>IF($B58="","",(Acc!$H58*$C58))</f>
        <v/>
      </c>
      <c r="E58" s="24">
        <f>IF(C58&lt;=CommissionDD!$E$3,CommissionDD!$C$3,IF(C58&lt;=CommissionDD!$E$4,CommissionDD!$C$4,IF(C58&lt;=CommissionDD!$E$5,CommissionDD!$C$5,IF(C58&lt;=CommissionDD!$E$6,CommissionDD!$C$6,IF(C58&lt;=CommissionDD!$E$7,CommissionDD!$C$7,IF(C58&lt;=CommissionDD!$E$8,CommissionDD!$C$8,CommissionDD!$C$9))))))</f>
        <v>0.03</v>
      </c>
      <c r="F58" s="23" t="str">
        <f t="shared" si="2"/>
        <v/>
      </c>
      <c r="G58" s="23" t="str">
        <f>IF($B58="","",(Acc!$F58*CommissionDD!$C$30))</f>
        <v/>
      </c>
      <c r="H58" s="23" t="str">
        <f t="shared" si="0"/>
        <v/>
      </c>
    </row>
    <row r="59" spans="1:8">
      <c r="A59" s="21" t="str">
        <f t="shared" si="1"/>
        <v/>
      </c>
      <c r="B59" s="1" t="str">
        <f>IF(Cus!$B59&lt;&gt;"",Cus!$A59,"")</f>
        <v/>
      </c>
      <c r="C59" s="22" t="str">
        <f>IF($B59="","",Cus!$AA59)</f>
        <v/>
      </c>
      <c r="D59" s="23" t="str">
        <f>IF($B59="","",(Acc!$H59*$C59))</f>
        <v/>
      </c>
      <c r="E59" s="24">
        <f>IF(C59&lt;=CommissionDD!$E$3,CommissionDD!$C$3,IF(C59&lt;=CommissionDD!$E$4,CommissionDD!$C$4,IF(C59&lt;=CommissionDD!$E$5,CommissionDD!$C$5,IF(C59&lt;=CommissionDD!$E$6,CommissionDD!$C$6,IF(C59&lt;=CommissionDD!$E$7,CommissionDD!$C$7,IF(C59&lt;=CommissionDD!$E$8,CommissionDD!$C$8,CommissionDD!$C$9))))))</f>
        <v>0.03</v>
      </c>
      <c r="F59" s="23" t="str">
        <f t="shared" si="2"/>
        <v/>
      </c>
      <c r="G59" s="23" t="str">
        <f>IF($B59="","",(Acc!$F59*CommissionDD!$C$30))</f>
        <v/>
      </c>
      <c r="H59" s="23" t="str">
        <f t="shared" si="0"/>
        <v/>
      </c>
    </row>
    <row r="60" spans="1:8">
      <c r="A60" s="21" t="str">
        <f t="shared" si="1"/>
        <v/>
      </c>
      <c r="B60" s="1" t="str">
        <f>IF(Cus!$B60&lt;&gt;"",Cus!$A60,"")</f>
        <v/>
      </c>
      <c r="C60" s="22" t="str">
        <f>IF($B60="","",Cus!$AA60)</f>
        <v/>
      </c>
      <c r="D60" s="23" t="str">
        <f>IF($B60="","",(Acc!$H60*$C60))</f>
        <v/>
      </c>
      <c r="E60" s="24">
        <f>IF(C60&lt;=CommissionDD!$E$3,CommissionDD!$C$3,IF(C60&lt;=CommissionDD!$E$4,CommissionDD!$C$4,IF(C60&lt;=CommissionDD!$E$5,CommissionDD!$C$5,IF(C60&lt;=CommissionDD!$E$6,CommissionDD!$C$6,IF(C60&lt;=CommissionDD!$E$7,CommissionDD!$C$7,IF(C60&lt;=CommissionDD!$E$8,CommissionDD!$C$8,CommissionDD!$C$9))))))</f>
        <v>0.03</v>
      </c>
      <c r="F60" s="23" t="str">
        <f t="shared" si="2"/>
        <v/>
      </c>
      <c r="G60" s="23" t="str">
        <f>IF($B60="","",(Acc!$F60*CommissionDD!$C$30))</f>
        <v/>
      </c>
      <c r="H60" s="23" t="str">
        <f t="shared" si="0"/>
        <v/>
      </c>
    </row>
    <row r="61" spans="1:8">
      <c r="A61" s="21" t="str">
        <f t="shared" si="1"/>
        <v/>
      </c>
      <c r="B61" s="1" t="str">
        <f>IF(Cus!$B61&lt;&gt;"",Cus!$A61,"")</f>
        <v/>
      </c>
      <c r="C61" s="22" t="str">
        <f>IF($B61="","",Cus!$AA61)</f>
        <v/>
      </c>
      <c r="D61" s="23" t="str">
        <f>IF($B61="","",(Acc!$H61*$C61))</f>
        <v/>
      </c>
      <c r="E61" s="24">
        <f>IF(C61&lt;=CommissionDD!$E$3,CommissionDD!$C$3,IF(C61&lt;=CommissionDD!$E$4,CommissionDD!$C$4,IF(C61&lt;=CommissionDD!$E$5,CommissionDD!$C$5,IF(C61&lt;=CommissionDD!$E$6,CommissionDD!$C$6,IF(C61&lt;=CommissionDD!$E$7,CommissionDD!$C$7,IF(C61&lt;=CommissionDD!$E$8,CommissionDD!$C$8,CommissionDD!$C$9))))))</f>
        <v>0.03</v>
      </c>
      <c r="F61" s="23" t="str">
        <f t="shared" si="2"/>
        <v/>
      </c>
      <c r="G61" s="23" t="str">
        <f>IF($B61="","",(Acc!$F61*CommissionDD!$C$30))</f>
        <v/>
      </c>
      <c r="H61" s="23" t="str">
        <f t="shared" si="0"/>
        <v/>
      </c>
    </row>
    <row r="62" spans="1:8">
      <c r="A62" s="21" t="str">
        <f t="shared" si="1"/>
        <v/>
      </c>
      <c r="B62" s="1" t="str">
        <f>IF(Cus!$B62&lt;&gt;"",Cus!$A62,"")</f>
        <v/>
      </c>
      <c r="C62" s="22" t="str">
        <f>IF($B62="","",Cus!$AA62)</f>
        <v/>
      </c>
      <c r="D62" s="23" t="str">
        <f>IF($B62="","",(Acc!$H62*$C62))</f>
        <v/>
      </c>
      <c r="E62" s="24">
        <f>IF(C62&lt;=CommissionDD!$E$3,CommissionDD!$C$3,IF(C62&lt;=CommissionDD!$E$4,CommissionDD!$C$4,IF(C62&lt;=CommissionDD!$E$5,CommissionDD!$C$5,IF(C62&lt;=CommissionDD!$E$6,CommissionDD!$C$6,IF(C62&lt;=CommissionDD!$E$7,CommissionDD!$C$7,IF(C62&lt;=CommissionDD!$E$8,CommissionDD!$C$8,CommissionDD!$C$9))))))</f>
        <v>0.03</v>
      </c>
      <c r="F62" s="23" t="str">
        <f t="shared" si="2"/>
        <v/>
      </c>
      <c r="G62" s="23" t="str">
        <f>IF($B62="","",(Acc!$F62*CommissionDD!$C$30))</f>
        <v/>
      </c>
      <c r="H62" s="23" t="str">
        <f t="shared" si="0"/>
        <v/>
      </c>
    </row>
    <row r="63" spans="1:8">
      <c r="A63" s="21" t="str">
        <f t="shared" si="1"/>
        <v/>
      </c>
      <c r="B63" s="1" t="str">
        <f>IF(Cus!$B63&lt;&gt;"",Cus!$A63,"")</f>
        <v/>
      </c>
      <c r="C63" s="22" t="str">
        <f>IF($B63="","",Cus!$AA63)</f>
        <v/>
      </c>
      <c r="D63" s="23" t="str">
        <f>IF($B63="","",(Acc!$H63*$C63))</f>
        <v/>
      </c>
      <c r="E63" s="24">
        <f>IF(C63&lt;=CommissionDD!$E$3,CommissionDD!$C$3,IF(C63&lt;=CommissionDD!$E$4,CommissionDD!$C$4,IF(C63&lt;=CommissionDD!$E$5,CommissionDD!$C$5,IF(C63&lt;=CommissionDD!$E$6,CommissionDD!$C$6,IF(C63&lt;=CommissionDD!$E$7,CommissionDD!$C$7,IF(C63&lt;=CommissionDD!$E$8,CommissionDD!$C$8,CommissionDD!$C$9))))))</f>
        <v>0.03</v>
      </c>
      <c r="F63" s="23" t="str">
        <f t="shared" si="2"/>
        <v/>
      </c>
      <c r="G63" s="23" t="str">
        <f>IF($B63="","",(Acc!$F63*CommissionDD!$C$30))</f>
        <v/>
      </c>
      <c r="H63" s="23" t="str">
        <f t="shared" si="0"/>
        <v/>
      </c>
    </row>
    <row r="64" spans="1:8">
      <c r="A64" s="21" t="str">
        <f t="shared" si="1"/>
        <v/>
      </c>
      <c r="B64" s="1" t="str">
        <f>IF(Cus!$B64&lt;&gt;"",Cus!$A64,"")</f>
        <v/>
      </c>
      <c r="C64" s="22" t="str">
        <f>IF($B64="","",Cus!$AA64)</f>
        <v/>
      </c>
      <c r="D64" s="23" t="str">
        <f>IF($B64="","",(Acc!$H64*$C64))</f>
        <v/>
      </c>
      <c r="E64" s="24">
        <f>IF(C64&lt;=CommissionDD!$E$3,CommissionDD!$C$3,IF(C64&lt;=CommissionDD!$E$4,CommissionDD!$C$4,IF(C64&lt;=CommissionDD!$E$5,CommissionDD!$C$5,IF(C64&lt;=CommissionDD!$E$6,CommissionDD!$C$6,IF(C64&lt;=CommissionDD!$E$7,CommissionDD!$C$7,IF(C64&lt;=CommissionDD!$E$8,CommissionDD!$C$8,CommissionDD!$C$9))))))</f>
        <v>0.03</v>
      </c>
      <c r="F64" s="23" t="str">
        <f t="shared" si="2"/>
        <v/>
      </c>
      <c r="G64" s="23" t="str">
        <f>IF($B64="","",(Acc!$F64*CommissionDD!$C$30))</f>
        <v/>
      </c>
      <c r="H64" s="23" t="str">
        <f t="shared" si="0"/>
        <v/>
      </c>
    </row>
    <row r="65" spans="1:8">
      <c r="A65" s="21" t="str">
        <f t="shared" si="1"/>
        <v/>
      </c>
      <c r="B65" s="1" t="str">
        <f>IF(Cus!$B65&lt;&gt;"",Cus!$A65,"")</f>
        <v/>
      </c>
      <c r="C65" s="22" t="str">
        <f>IF($B65="","",Cus!$AA65)</f>
        <v/>
      </c>
      <c r="D65" s="23" t="str">
        <f>IF($B65="","",(Acc!$H65*$C65))</f>
        <v/>
      </c>
      <c r="E65" s="24">
        <f>IF(C65&lt;=CommissionDD!$E$3,CommissionDD!$C$3,IF(C65&lt;=CommissionDD!$E$4,CommissionDD!$C$4,IF(C65&lt;=CommissionDD!$E$5,CommissionDD!$C$5,IF(C65&lt;=CommissionDD!$E$6,CommissionDD!$C$6,IF(C65&lt;=CommissionDD!$E$7,CommissionDD!$C$7,IF(C65&lt;=CommissionDD!$E$8,CommissionDD!$C$8,CommissionDD!$C$9))))))</f>
        <v>0.03</v>
      </c>
      <c r="F65" s="23" t="str">
        <f t="shared" si="2"/>
        <v/>
      </c>
      <c r="G65" s="23" t="str">
        <f>IF($B65="","",(Acc!$F65*CommissionDD!$C$30))</f>
        <v/>
      </c>
      <c r="H65" s="23" t="str">
        <f t="shared" si="0"/>
        <v/>
      </c>
    </row>
    <row r="66" spans="1:8">
      <c r="A66" s="21" t="str">
        <f t="shared" si="1"/>
        <v/>
      </c>
      <c r="B66" s="1" t="str">
        <f>IF(Cus!$B66&lt;&gt;"",Cus!$A66,"")</f>
        <v/>
      </c>
      <c r="C66" s="22" t="str">
        <f>IF($B66="","",Cus!$AA66)</f>
        <v/>
      </c>
      <c r="D66" s="23" t="str">
        <f>IF($B66="","",(Acc!$H66*$C66))</f>
        <v/>
      </c>
      <c r="E66" s="24">
        <f>IF(C66&lt;=CommissionDD!$E$3,CommissionDD!$C$3,IF(C66&lt;=CommissionDD!$E$4,CommissionDD!$C$4,IF(C66&lt;=CommissionDD!$E$5,CommissionDD!$C$5,IF(C66&lt;=CommissionDD!$E$6,CommissionDD!$C$6,IF(C66&lt;=CommissionDD!$E$7,CommissionDD!$C$7,IF(C66&lt;=CommissionDD!$E$8,CommissionDD!$C$8,CommissionDD!$C$9))))))</f>
        <v>0.03</v>
      </c>
      <c r="F66" s="23" t="str">
        <f t="shared" si="2"/>
        <v/>
      </c>
      <c r="G66" s="23" t="str">
        <f>IF($B66="","",(Acc!$F66*CommissionDD!$C$30))</f>
        <v/>
      </c>
      <c r="H66" s="23" t="str">
        <f t="shared" ref="H66:H129" si="3">IF($B66="","",F66+G66)</f>
        <v/>
      </c>
    </row>
    <row r="67" spans="1:8">
      <c r="A67" s="21" t="str">
        <f t="shared" ref="A67:A130" si="4">IF($B67="","",(ROW($A66)))</f>
        <v/>
      </c>
      <c r="B67" s="1" t="str">
        <f>IF(Cus!$B67&lt;&gt;"",Cus!$A67,"")</f>
        <v/>
      </c>
      <c r="C67" s="22" t="str">
        <f>IF($B67="","",Cus!$AA67)</f>
        <v/>
      </c>
      <c r="D67" s="23" t="str">
        <f>IF($B67="","",(Acc!$H67*$C67))</f>
        <v/>
      </c>
      <c r="E67" s="24">
        <f>IF(C67&lt;=CommissionDD!$E$3,CommissionDD!$C$3,IF(C67&lt;=CommissionDD!$E$4,CommissionDD!$C$4,IF(C67&lt;=CommissionDD!$E$5,CommissionDD!$C$5,IF(C67&lt;=CommissionDD!$E$6,CommissionDD!$C$6,IF(C67&lt;=CommissionDD!$E$7,CommissionDD!$C$7,IF(C67&lt;=CommissionDD!$E$8,CommissionDD!$C$8,CommissionDD!$C$9))))))</f>
        <v>0.03</v>
      </c>
      <c r="F67" s="23" t="str">
        <f t="shared" si="2"/>
        <v/>
      </c>
      <c r="G67" s="23" t="str">
        <f>IF($B67="","",(Acc!$F67*CommissionDD!$C$30))</f>
        <v/>
      </c>
      <c r="H67" s="23" t="str">
        <f t="shared" si="3"/>
        <v/>
      </c>
    </row>
    <row r="68" spans="1:8">
      <c r="A68" s="21" t="str">
        <f t="shared" si="4"/>
        <v/>
      </c>
      <c r="B68" s="1" t="str">
        <f>IF(Cus!$B68&lt;&gt;"",Cus!$A68,"")</f>
        <v/>
      </c>
      <c r="C68" s="22" t="str">
        <f>IF($B68="","",Cus!$AA68)</f>
        <v/>
      </c>
      <c r="D68" s="23" t="str">
        <f>IF($B68="","",(Acc!$H68*$C68))</f>
        <v/>
      </c>
      <c r="E68" s="24">
        <f>IF(C68&lt;=CommissionDD!$E$3,CommissionDD!$C$3,IF(C68&lt;=CommissionDD!$E$4,CommissionDD!$C$4,IF(C68&lt;=CommissionDD!$E$5,CommissionDD!$C$5,IF(C68&lt;=CommissionDD!$E$6,CommissionDD!$C$6,IF(C68&lt;=CommissionDD!$E$7,CommissionDD!$C$7,IF(C68&lt;=CommissionDD!$E$8,CommissionDD!$C$8,CommissionDD!$C$9))))))</f>
        <v>0.03</v>
      </c>
      <c r="F68" s="23" t="str">
        <f t="shared" si="2"/>
        <v/>
      </c>
      <c r="G68" s="23" t="str">
        <f>IF($B68="","",(Acc!$F68*CommissionDD!$C$30))</f>
        <v/>
      </c>
      <c r="H68" s="23" t="str">
        <f t="shared" si="3"/>
        <v/>
      </c>
    </row>
    <row r="69" spans="1:8">
      <c r="A69" s="21" t="str">
        <f t="shared" si="4"/>
        <v/>
      </c>
      <c r="B69" s="1" t="str">
        <f>IF(Cus!$B69&lt;&gt;"",Cus!$A69,"")</f>
        <v/>
      </c>
      <c r="C69" s="22" t="str">
        <f>IF($B69="","",Cus!$AA69)</f>
        <v/>
      </c>
      <c r="D69" s="23" t="str">
        <f>IF($B69="","",(Acc!$H69*$C69))</f>
        <v/>
      </c>
      <c r="E69" s="24">
        <f>IF(C69&lt;=CommissionDD!$E$3,CommissionDD!$C$3,IF(C69&lt;=CommissionDD!$E$4,CommissionDD!$C$4,IF(C69&lt;=CommissionDD!$E$5,CommissionDD!$C$5,IF(C69&lt;=CommissionDD!$E$6,CommissionDD!$C$6,IF(C69&lt;=CommissionDD!$E$7,CommissionDD!$C$7,IF(C69&lt;=CommissionDD!$E$8,CommissionDD!$C$8,CommissionDD!$C$9))))))</f>
        <v>0.03</v>
      </c>
      <c r="F69" s="23" t="str">
        <f t="shared" ref="F69:F132" si="5">IF($B69="","",D69*E69)</f>
        <v/>
      </c>
      <c r="G69" s="23" t="str">
        <f>IF($B69="","",(Acc!$F69*CommissionDD!$C$30))</f>
        <v/>
      </c>
      <c r="H69" s="23" t="str">
        <f t="shared" si="3"/>
        <v/>
      </c>
    </row>
    <row r="70" spans="1:8">
      <c r="A70" s="21" t="str">
        <f t="shared" si="4"/>
        <v/>
      </c>
      <c r="B70" s="1" t="str">
        <f>IF(Cus!$B70&lt;&gt;"",Cus!$A70,"")</f>
        <v/>
      </c>
      <c r="C70" s="22" t="str">
        <f>IF($B70="","",Cus!$AA70)</f>
        <v/>
      </c>
      <c r="D70" s="23" t="str">
        <f>IF($B70="","",(Acc!$H70*$C70))</f>
        <v/>
      </c>
      <c r="E70" s="24">
        <f>IF(C70&lt;=CommissionDD!$E$3,CommissionDD!$C$3,IF(C70&lt;=CommissionDD!$E$4,CommissionDD!$C$4,IF(C70&lt;=CommissionDD!$E$5,CommissionDD!$C$5,IF(C70&lt;=CommissionDD!$E$6,CommissionDD!$C$6,IF(C70&lt;=CommissionDD!$E$7,CommissionDD!$C$7,IF(C70&lt;=CommissionDD!$E$8,CommissionDD!$C$8,CommissionDD!$C$9))))))</f>
        <v>0.03</v>
      </c>
      <c r="F70" s="23" t="str">
        <f t="shared" si="5"/>
        <v/>
      </c>
      <c r="G70" s="23" t="str">
        <f>IF($B70="","",(Acc!$F70*CommissionDD!$C$30))</f>
        <v/>
      </c>
      <c r="H70" s="23" t="str">
        <f t="shared" si="3"/>
        <v/>
      </c>
    </row>
    <row r="71" spans="1:8">
      <c r="A71" s="21" t="str">
        <f t="shared" si="4"/>
        <v/>
      </c>
      <c r="B71" s="1" t="str">
        <f>IF(Cus!$B71&lt;&gt;"",Cus!$A71,"")</f>
        <v/>
      </c>
      <c r="C71" s="22" t="str">
        <f>IF($B71="","",Cus!$AA71)</f>
        <v/>
      </c>
      <c r="D71" s="23" t="str">
        <f>IF($B71="","",(Acc!$H71*$C71))</f>
        <v/>
      </c>
      <c r="E71" s="24">
        <f>IF(C71&lt;=CommissionDD!$E$3,CommissionDD!$C$3,IF(C71&lt;=CommissionDD!$E$4,CommissionDD!$C$4,IF(C71&lt;=CommissionDD!$E$5,CommissionDD!$C$5,IF(C71&lt;=CommissionDD!$E$6,CommissionDD!$C$6,IF(C71&lt;=CommissionDD!$E$7,CommissionDD!$C$7,IF(C71&lt;=CommissionDD!$E$8,CommissionDD!$C$8,CommissionDD!$C$9))))))</f>
        <v>0.03</v>
      </c>
      <c r="F71" s="23" t="str">
        <f t="shared" si="5"/>
        <v/>
      </c>
      <c r="G71" s="23" t="str">
        <f>IF($B71="","",(Acc!$F71*CommissionDD!$C$30))</f>
        <v/>
      </c>
      <c r="H71" s="23" t="str">
        <f t="shared" si="3"/>
        <v/>
      </c>
    </row>
    <row r="72" spans="1:8">
      <c r="A72" s="21" t="str">
        <f t="shared" si="4"/>
        <v/>
      </c>
      <c r="B72" s="1" t="str">
        <f>IF(Cus!$B72&lt;&gt;"",Cus!$A72,"")</f>
        <v/>
      </c>
      <c r="C72" s="22" t="str">
        <f>IF($B72="","",Cus!$AA72)</f>
        <v/>
      </c>
      <c r="D72" s="23" t="str">
        <f>IF($B72="","",(Acc!$H72*$C72))</f>
        <v/>
      </c>
      <c r="E72" s="24">
        <f>IF(C72&lt;=CommissionDD!$E$3,CommissionDD!$C$3,IF(C72&lt;=CommissionDD!$E$4,CommissionDD!$C$4,IF(C72&lt;=CommissionDD!$E$5,CommissionDD!$C$5,IF(C72&lt;=CommissionDD!$E$6,CommissionDD!$C$6,IF(C72&lt;=CommissionDD!$E$7,CommissionDD!$C$7,IF(C72&lt;=CommissionDD!$E$8,CommissionDD!$C$8,CommissionDD!$C$9))))))</f>
        <v>0.03</v>
      </c>
      <c r="F72" s="23" t="str">
        <f t="shared" si="5"/>
        <v/>
      </c>
      <c r="G72" s="23" t="str">
        <f>IF($B72="","",(Acc!$F72*CommissionDD!$C$30))</f>
        <v/>
      </c>
      <c r="H72" s="23" t="str">
        <f t="shared" si="3"/>
        <v/>
      </c>
    </row>
    <row r="73" spans="1:8">
      <c r="A73" s="21" t="str">
        <f t="shared" si="4"/>
        <v/>
      </c>
      <c r="B73" s="1" t="str">
        <f>IF(Cus!$B73&lt;&gt;"",Cus!$A73,"")</f>
        <v/>
      </c>
      <c r="C73" s="22" t="str">
        <f>IF($B73="","",Cus!$AA73)</f>
        <v/>
      </c>
      <c r="D73" s="23" t="str">
        <f>IF($B73="","",(Acc!$H73*$C73))</f>
        <v/>
      </c>
      <c r="E73" s="24">
        <f>IF(C73&lt;=CommissionDD!$E$3,CommissionDD!$C$3,IF(C73&lt;=CommissionDD!$E$4,CommissionDD!$C$4,IF(C73&lt;=CommissionDD!$E$5,CommissionDD!$C$5,IF(C73&lt;=CommissionDD!$E$6,CommissionDD!$C$6,IF(C73&lt;=CommissionDD!$E$7,CommissionDD!$C$7,IF(C73&lt;=CommissionDD!$E$8,CommissionDD!$C$8,CommissionDD!$C$9))))))</f>
        <v>0.03</v>
      </c>
      <c r="F73" s="23" t="str">
        <f t="shared" si="5"/>
        <v/>
      </c>
      <c r="G73" s="23" t="str">
        <f>IF($B73="","",(Acc!$F73*CommissionDD!$C$30))</f>
        <v/>
      </c>
      <c r="H73" s="23" t="str">
        <f t="shared" si="3"/>
        <v/>
      </c>
    </row>
    <row r="74" spans="1:8">
      <c r="A74" s="21" t="str">
        <f t="shared" si="4"/>
        <v/>
      </c>
      <c r="B74" s="1" t="str">
        <f>IF(Cus!$B74&lt;&gt;"",Cus!$A74,"")</f>
        <v/>
      </c>
      <c r="C74" s="22" t="str">
        <f>IF($B74="","",Cus!$AA74)</f>
        <v/>
      </c>
      <c r="D74" s="23" t="str">
        <f>IF($B74="","",(Acc!$H74*$C74))</f>
        <v/>
      </c>
      <c r="E74" s="24">
        <f>IF(C74&lt;=CommissionDD!$E$3,CommissionDD!$C$3,IF(C74&lt;=CommissionDD!$E$4,CommissionDD!$C$4,IF(C74&lt;=CommissionDD!$E$5,CommissionDD!$C$5,IF(C74&lt;=CommissionDD!$E$6,CommissionDD!$C$6,IF(C74&lt;=CommissionDD!$E$7,CommissionDD!$C$7,IF(C74&lt;=CommissionDD!$E$8,CommissionDD!$C$8,CommissionDD!$C$9))))))</f>
        <v>0.03</v>
      </c>
      <c r="F74" s="23" t="str">
        <f t="shared" si="5"/>
        <v/>
      </c>
      <c r="G74" s="23" t="str">
        <f>IF($B74="","",(Acc!$F74*CommissionDD!$C$30))</f>
        <v/>
      </c>
      <c r="H74" s="23" t="str">
        <f t="shared" si="3"/>
        <v/>
      </c>
    </row>
    <row r="75" spans="1:8">
      <c r="A75" s="21" t="str">
        <f t="shared" si="4"/>
        <v/>
      </c>
      <c r="B75" s="1" t="str">
        <f>IF(Cus!$B75&lt;&gt;"",Cus!$A75,"")</f>
        <v/>
      </c>
      <c r="C75" s="22" t="str">
        <f>IF($B75="","",Cus!$AA75)</f>
        <v/>
      </c>
      <c r="D75" s="23" t="str">
        <f>IF($B75="","",(Acc!$H75*$C75))</f>
        <v/>
      </c>
      <c r="E75" s="24">
        <f>IF(C75&lt;=CommissionDD!$E$3,CommissionDD!$C$3,IF(C75&lt;=CommissionDD!$E$4,CommissionDD!$C$4,IF(C75&lt;=CommissionDD!$E$5,CommissionDD!$C$5,IF(C75&lt;=CommissionDD!$E$6,CommissionDD!$C$6,IF(C75&lt;=CommissionDD!$E$7,CommissionDD!$C$7,IF(C75&lt;=CommissionDD!$E$8,CommissionDD!$C$8,CommissionDD!$C$9))))))</f>
        <v>0.03</v>
      </c>
      <c r="F75" s="23" t="str">
        <f t="shared" si="5"/>
        <v/>
      </c>
      <c r="G75" s="23" t="str">
        <f>IF($B75="","",(Acc!$F75*CommissionDD!$C$30))</f>
        <v/>
      </c>
      <c r="H75" s="23" t="str">
        <f t="shared" si="3"/>
        <v/>
      </c>
    </row>
    <row r="76" spans="1:8">
      <c r="A76" s="21" t="str">
        <f t="shared" si="4"/>
        <v/>
      </c>
      <c r="B76" s="1" t="str">
        <f>IF(Cus!$B76&lt;&gt;"",Cus!$A76,"")</f>
        <v/>
      </c>
      <c r="C76" s="22" t="str">
        <f>IF($B76="","",Cus!$AA76)</f>
        <v/>
      </c>
      <c r="D76" s="23" t="str">
        <f>IF($B76="","",(Acc!$H76*$C76))</f>
        <v/>
      </c>
      <c r="E76" s="24">
        <f>IF(C76&lt;=CommissionDD!$E$3,CommissionDD!$C$3,IF(C76&lt;=CommissionDD!$E$4,CommissionDD!$C$4,IF(C76&lt;=CommissionDD!$E$5,CommissionDD!$C$5,IF(C76&lt;=CommissionDD!$E$6,CommissionDD!$C$6,IF(C76&lt;=CommissionDD!$E$7,CommissionDD!$C$7,IF(C76&lt;=CommissionDD!$E$8,CommissionDD!$C$8,CommissionDD!$C$9))))))</f>
        <v>0.03</v>
      </c>
      <c r="F76" s="23" t="str">
        <f t="shared" si="5"/>
        <v/>
      </c>
      <c r="G76" s="23" t="str">
        <f>IF($B76="","",(Acc!$F76*CommissionDD!$C$30))</f>
        <v/>
      </c>
      <c r="H76" s="23" t="str">
        <f t="shared" si="3"/>
        <v/>
      </c>
    </row>
    <row r="77" spans="1:8">
      <c r="A77" s="21" t="str">
        <f t="shared" si="4"/>
        <v/>
      </c>
      <c r="B77" s="1" t="str">
        <f>IF(Cus!$B77&lt;&gt;"",Cus!$A77,"")</f>
        <v/>
      </c>
      <c r="C77" s="22" t="str">
        <f>IF($B77="","",Cus!$AA77)</f>
        <v/>
      </c>
      <c r="D77" s="23" t="str">
        <f>IF($B77="","",(Acc!$H77*$C77))</f>
        <v/>
      </c>
      <c r="E77" s="24">
        <f>IF(C77&lt;=CommissionDD!$E$3,CommissionDD!$C$3,IF(C77&lt;=CommissionDD!$E$4,CommissionDD!$C$4,IF(C77&lt;=CommissionDD!$E$5,CommissionDD!$C$5,IF(C77&lt;=CommissionDD!$E$6,CommissionDD!$C$6,IF(C77&lt;=CommissionDD!$E$7,CommissionDD!$C$7,IF(C77&lt;=CommissionDD!$E$8,CommissionDD!$C$8,CommissionDD!$C$9))))))</f>
        <v>0.03</v>
      </c>
      <c r="F77" s="23" t="str">
        <f t="shared" si="5"/>
        <v/>
      </c>
      <c r="G77" s="23" t="str">
        <f>IF($B77="","",(Acc!$F77*CommissionDD!$C$30))</f>
        <v/>
      </c>
      <c r="H77" s="23" t="str">
        <f t="shared" si="3"/>
        <v/>
      </c>
    </row>
    <row r="78" spans="1:8">
      <c r="A78" s="21" t="str">
        <f t="shared" si="4"/>
        <v/>
      </c>
      <c r="B78" s="1" t="str">
        <f>IF(Cus!$B78&lt;&gt;"",Cus!$A78,"")</f>
        <v/>
      </c>
      <c r="C78" s="22" t="str">
        <f>IF($B78="","",Cus!$AA78)</f>
        <v/>
      </c>
      <c r="D78" s="23" t="str">
        <f>IF($B78="","",(Acc!$H78*$C78))</f>
        <v/>
      </c>
      <c r="E78" s="24">
        <f>IF(C78&lt;=CommissionDD!$E$3,CommissionDD!$C$3,IF(C78&lt;=CommissionDD!$E$4,CommissionDD!$C$4,IF(C78&lt;=CommissionDD!$E$5,CommissionDD!$C$5,IF(C78&lt;=CommissionDD!$E$6,CommissionDD!$C$6,IF(C78&lt;=CommissionDD!$E$7,CommissionDD!$C$7,IF(C78&lt;=CommissionDD!$E$8,CommissionDD!$C$8,CommissionDD!$C$9))))))</f>
        <v>0.03</v>
      </c>
      <c r="F78" s="23" t="str">
        <f t="shared" si="5"/>
        <v/>
      </c>
      <c r="G78" s="23" t="str">
        <f>IF($B78="","",(Acc!$F78*CommissionDD!$C$30))</f>
        <v/>
      </c>
      <c r="H78" s="23" t="str">
        <f t="shared" si="3"/>
        <v/>
      </c>
    </row>
    <row r="79" spans="1:8">
      <c r="A79" s="21" t="str">
        <f t="shared" si="4"/>
        <v/>
      </c>
      <c r="B79" s="1" t="str">
        <f>IF(Cus!$B79&lt;&gt;"",Cus!$A79,"")</f>
        <v/>
      </c>
      <c r="C79" s="22" t="str">
        <f>IF($B79="","",Cus!$AA79)</f>
        <v/>
      </c>
      <c r="D79" s="23" t="str">
        <f>IF($B79="","",(Acc!$H79*$C79))</f>
        <v/>
      </c>
      <c r="E79" s="24">
        <f>IF(C79&lt;=CommissionDD!$E$3,CommissionDD!$C$3,IF(C79&lt;=CommissionDD!$E$4,CommissionDD!$C$4,IF(C79&lt;=CommissionDD!$E$5,CommissionDD!$C$5,IF(C79&lt;=CommissionDD!$E$6,CommissionDD!$C$6,IF(C79&lt;=CommissionDD!$E$7,CommissionDD!$C$7,IF(C79&lt;=CommissionDD!$E$8,CommissionDD!$C$8,CommissionDD!$C$9))))))</f>
        <v>0.03</v>
      </c>
      <c r="F79" s="23" t="str">
        <f t="shared" si="5"/>
        <v/>
      </c>
      <c r="G79" s="23" t="str">
        <f>IF($B79="","",(Acc!$F79*CommissionDD!$C$30))</f>
        <v/>
      </c>
      <c r="H79" s="23" t="str">
        <f t="shared" si="3"/>
        <v/>
      </c>
    </row>
    <row r="80" spans="1:8">
      <c r="A80" s="21" t="str">
        <f t="shared" si="4"/>
        <v/>
      </c>
      <c r="B80" s="1" t="str">
        <f>IF(Cus!$B80&lt;&gt;"",Cus!$A80,"")</f>
        <v/>
      </c>
      <c r="C80" s="22" t="str">
        <f>IF($B80="","",Cus!$AA80)</f>
        <v/>
      </c>
      <c r="D80" s="23" t="str">
        <f>IF($B80="","",(Acc!$H80*$C80))</f>
        <v/>
      </c>
      <c r="E80" s="24">
        <f>IF(C80&lt;=CommissionDD!$E$3,CommissionDD!$C$3,IF(C80&lt;=CommissionDD!$E$4,CommissionDD!$C$4,IF(C80&lt;=CommissionDD!$E$5,CommissionDD!$C$5,IF(C80&lt;=CommissionDD!$E$6,CommissionDD!$C$6,IF(C80&lt;=CommissionDD!$E$7,CommissionDD!$C$7,IF(C80&lt;=CommissionDD!$E$8,CommissionDD!$C$8,CommissionDD!$C$9))))))</f>
        <v>0.03</v>
      </c>
      <c r="F80" s="23" t="str">
        <f t="shared" si="5"/>
        <v/>
      </c>
      <c r="G80" s="23" t="str">
        <f>IF($B80="","",(Acc!$F80*CommissionDD!$C$30))</f>
        <v/>
      </c>
      <c r="H80" s="23" t="str">
        <f t="shared" si="3"/>
        <v/>
      </c>
    </row>
    <row r="81" spans="1:8">
      <c r="A81" s="21" t="str">
        <f t="shared" si="4"/>
        <v/>
      </c>
      <c r="B81" s="1" t="str">
        <f>IF(Cus!$B81&lt;&gt;"",Cus!$A81,"")</f>
        <v/>
      </c>
      <c r="C81" s="22" t="str">
        <f>IF($B81="","",Cus!$AA81)</f>
        <v/>
      </c>
      <c r="D81" s="23" t="str">
        <f>IF($B81="","",(Acc!$H81*$C81))</f>
        <v/>
      </c>
      <c r="E81" s="24">
        <f>IF(C81&lt;=CommissionDD!$E$3,CommissionDD!$C$3,IF(C81&lt;=CommissionDD!$E$4,CommissionDD!$C$4,IF(C81&lt;=CommissionDD!$E$5,CommissionDD!$C$5,IF(C81&lt;=CommissionDD!$E$6,CommissionDD!$C$6,IF(C81&lt;=CommissionDD!$E$7,CommissionDD!$C$7,IF(C81&lt;=CommissionDD!$E$8,CommissionDD!$C$8,CommissionDD!$C$9))))))</f>
        <v>0.03</v>
      </c>
      <c r="F81" s="23" t="str">
        <f t="shared" si="5"/>
        <v/>
      </c>
      <c r="G81" s="23" t="str">
        <f>IF($B81="","",(Acc!$F81*CommissionDD!$C$30))</f>
        <v/>
      </c>
      <c r="H81" s="23" t="str">
        <f t="shared" si="3"/>
        <v/>
      </c>
    </row>
    <row r="82" spans="1:8">
      <c r="A82" s="21" t="str">
        <f t="shared" si="4"/>
        <v/>
      </c>
      <c r="B82" s="1" t="str">
        <f>IF(Cus!$B82&lt;&gt;"",Cus!$A82,"")</f>
        <v/>
      </c>
      <c r="C82" s="22" t="str">
        <f>IF($B82="","",Cus!$AA82)</f>
        <v/>
      </c>
      <c r="D82" s="23" t="str">
        <f>IF($B82="","",(Acc!$H82*$C82))</f>
        <v/>
      </c>
      <c r="E82" s="24">
        <f>IF(C82&lt;=CommissionDD!$E$3,CommissionDD!$C$3,IF(C82&lt;=CommissionDD!$E$4,CommissionDD!$C$4,IF(C82&lt;=CommissionDD!$E$5,CommissionDD!$C$5,IF(C82&lt;=CommissionDD!$E$6,CommissionDD!$C$6,IF(C82&lt;=CommissionDD!$E$7,CommissionDD!$C$7,IF(C82&lt;=CommissionDD!$E$8,CommissionDD!$C$8,CommissionDD!$C$9))))))</f>
        <v>0.03</v>
      </c>
      <c r="F82" s="23" t="str">
        <f t="shared" si="5"/>
        <v/>
      </c>
      <c r="G82" s="23" t="str">
        <f>IF($B82="","",(Acc!$F82*CommissionDD!$C$30))</f>
        <v/>
      </c>
      <c r="H82" s="23" t="str">
        <f t="shared" si="3"/>
        <v/>
      </c>
    </row>
    <row r="83" spans="1:8">
      <c r="A83" s="21" t="str">
        <f t="shared" si="4"/>
        <v/>
      </c>
      <c r="B83" s="1" t="str">
        <f>IF(Cus!$B83&lt;&gt;"",Cus!$A83,"")</f>
        <v/>
      </c>
      <c r="C83" s="22" t="str">
        <f>IF($B83="","",Cus!$AA83)</f>
        <v/>
      </c>
      <c r="D83" s="23" t="str">
        <f>IF($B83="","",(Acc!$H83*$C83))</f>
        <v/>
      </c>
      <c r="E83" s="24">
        <f>IF(C83&lt;=CommissionDD!$E$3,CommissionDD!$C$3,IF(C83&lt;=CommissionDD!$E$4,CommissionDD!$C$4,IF(C83&lt;=CommissionDD!$E$5,CommissionDD!$C$5,IF(C83&lt;=CommissionDD!$E$6,CommissionDD!$C$6,IF(C83&lt;=CommissionDD!$E$7,CommissionDD!$C$7,IF(C83&lt;=CommissionDD!$E$8,CommissionDD!$C$8,CommissionDD!$C$9))))))</f>
        <v>0.03</v>
      </c>
      <c r="F83" s="23" t="str">
        <f t="shared" si="5"/>
        <v/>
      </c>
      <c r="G83" s="23" t="str">
        <f>IF($B83="","",(Acc!$F83*CommissionDD!$C$30))</f>
        <v/>
      </c>
      <c r="H83" s="23" t="str">
        <f t="shared" si="3"/>
        <v/>
      </c>
    </row>
    <row r="84" spans="1:8">
      <c r="A84" s="21" t="str">
        <f t="shared" si="4"/>
        <v/>
      </c>
      <c r="B84" s="1" t="str">
        <f>IF(Cus!$B84&lt;&gt;"",Cus!$A84,"")</f>
        <v/>
      </c>
      <c r="C84" s="22" t="str">
        <f>IF($B84="","",Cus!$AA84)</f>
        <v/>
      </c>
      <c r="D84" s="23" t="str">
        <f>IF($B84="","",(Acc!$H84*$C84))</f>
        <v/>
      </c>
      <c r="E84" s="24">
        <f>IF(C84&lt;=CommissionDD!$E$3,CommissionDD!$C$3,IF(C84&lt;=CommissionDD!$E$4,CommissionDD!$C$4,IF(C84&lt;=CommissionDD!$E$5,CommissionDD!$C$5,IF(C84&lt;=CommissionDD!$E$6,CommissionDD!$C$6,IF(C84&lt;=CommissionDD!$E$7,CommissionDD!$C$7,IF(C84&lt;=CommissionDD!$E$8,CommissionDD!$C$8,CommissionDD!$C$9))))))</f>
        <v>0.03</v>
      </c>
      <c r="F84" s="23" t="str">
        <f t="shared" si="5"/>
        <v/>
      </c>
      <c r="G84" s="23" t="str">
        <f>IF($B84="","",(Acc!$F84*CommissionDD!$C$30))</f>
        <v/>
      </c>
      <c r="H84" s="23" t="str">
        <f t="shared" si="3"/>
        <v/>
      </c>
    </row>
    <row r="85" spans="1:8">
      <c r="A85" s="21" t="str">
        <f t="shared" si="4"/>
        <v/>
      </c>
      <c r="B85" s="1" t="str">
        <f>IF(Cus!$B85&lt;&gt;"",Cus!$A85,"")</f>
        <v/>
      </c>
      <c r="C85" s="22" t="str">
        <f>IF($B85="","",Cus!$AA85)</f>
        <v/>
      </c>
      <c r="D85" s="23" t="str">
        <f>IF($B85="","",(Acc!$H85*$C85))</f>
        <v/>
      </c>
      <c r="E85" s="24">
        <f>IF(C85&lt;=CommissionDD!$E$3,CommissionDD!$C$3,IF(C85&lt;=CommissionDD!$E$4,CommissionDD!$C$4,IF(C85&lt;=CommissionDD!$E$5,CommissionDD!$C$5,IF(C85&lt;=CommissionDD!$E$6,CommissionDD!$C$6,IF(C85&lt;=CommissionDD!$E$7,CommissionDD!$C$7,IF(C85&lt;=CommissionDD!$E$8,CommissionDD!$C$8,CommissionDD!$C$9))))))</f>
        <v>0.03</v>
      </c>
      <c r="F85" s="23" t="str">
        <f t="shared" si="5"/>
        <v/>
      </c>
      <c r="G85" s="23" t="str">
        <f>IF($B85="","",(Acc!$F85*CommissionDD!$C$30))</f>
        <v/>
      </c>
      <c r="H85" s="23" t="str">
        <f t="shared" si="3"/>
        <v/>
      </c>
    </row>
    <row r="86" spans="1:8">
      <c r="A86" s="21" t="str">
        <f t="shared" si="4"/>
        <v/>
      </c>
      <c r="B86" s="1" t="str">
        <f>IF(Cus!$B86&lt;&gt;"",Cus!$A86,"")</f>
        <v/>
      </c>
      <c r="C86" s="22" t="str">
        <f>IF($B86="","",Cus!$AA86)</f>
        <v/>
      </c>
      <c r="D86" s="23" t="str">
        <f>IF($B86="","",(Acc!$H86*$C86))</f>
        <v/>
      </c>
      <c r="E86" s="24">
        <f>IF(C86&lt;=CommissionDD!$E$3,CommissionDD!$C$3,IF(C86&lt;=CommissionDD!$E$4,CommissionDD!$C$4,IF(C86&lt;=CommissionDD!$E$5,CommissionDD!$C$5,IF(C86&lt;=CommissionDD!$E$6,CommissionDD!$C$6,IF(C86&lt;=CommissionDD!$E$7,CommissionDD!$C$7,IF(C86&lt;=CommissionDD!$E$8,CommissionDD!$C$8,CommissionDD!$C$9))))))</f>
        <v>0.03</v>
      </c>
      <c r="F86" s="23" t="str">
        <f t="shared" si="5"/>
        <v/>
      </c>
      <c r="G86" s="23" t="str">
        <f>IF($B86="","",(Acc!$F86*CommissionDD!$C$30))</f>
        <v/>
      </c>
      <c r="H86" s="23" t="str">
        <f t="shared" si="3"/>
        <v/>
      </c>
    </row>
    <row r="87" spans="1:8">
      <c r="A87" s="21" t="str">
        <f t="shared" si="4"/>
        <v/>
      </c>
      <c r="B87" s="1" t="str">
        <f>IF(Cus!$B87&lt;&gt;"",Cus!$A87,"")</f>
        <v/>
      </c>
      <c r="C87" s="22" t="str">
        <f>IF($B87="","",Cus!$AA87)</f>
        <v/>
      </c>
      <c r="D87" s="23" t="str">
        <f>IF($B87="","",(Acc!$H87*$C87))</f>
        <v/>
      </c>
      <c r="E87" s="24">
        <f>IF(C87&lt;=CommissionDD!$E$3,CommissionDD!$C$3,IF(C87&lt;=CommissionDD!$E$4,CommissionDD!$C$4,IF(C87&lt;=CommissionDD!$E$5,CommissionDD!$C$5,IF(C87&lt;=CommissionDD!$E$6,CommissionDD!$C$6,IF(C87&lt;=CommissionDD!$E$7,CommissionDD!$C$7,IF(C87&lt;=CommissionDD!$E$8,CommissionDD!$C$8,CommissionDD!$C$9))))))</f>
        <v>0.03</v>
      </c>
      <c r="F87" s="23" t="str">
        <f t="shared" si="5"/>
        <v/>
      </c>
      <c r="G87" s="23" t="str">
        <f>IF($B87="","",(Acc!$F87*CommissionDD!$C$30))</f>
        <v/>
      </c>
      <c r="H87" s="23" t="str">
        <f t="shared" si="3"/>
        <v/>
      </c>
    </row>
    <row r="88" spans="1:8">
      <c r="A88" s="21" t="str">
        <f t="shared" si="4"/>
        <v/>
      </c>
      <c r="B88" s="1" t="str">
        <f>IF(Cus!$B88&lt;&gt;"",Cus!$A88,"")</f>
        <v/>
      </c>
      <c r="C88" s="22" t="str">
        <f>IF($B88="","",Cus!$AA88)</f>
        <v/>
      </c>
      <c r="D88" s="23" t="str">
        <f>IF($B88="","",(Acc!$H88*$C88))</f>
        <v/>
      </c>
      <c r="E88" s="24">
        <f>IF(C88&lt;=CommissionDD!$E$3,CommissionDD!$C$3,IF(C88&lt;=CommissionDD!$E$4,CommissionDD!$C$4,IF(C88&lt;=CommissionDD!$E$5,CommissionDD!$C$5,IF(C88&lt;=CommissionDD!$E$6,CommissionDD!$C$6,IF(C88&lt;=CommissionDD!$E$7,CommissionDD!$C$7,IF(C88&lt;=CommissionDD!$E$8,CommissionDD!$C$8,CommissionDD!$C$9))))))</f>
        <v>0.03</v>
      </c>
      <c r="F88" s="23" t="str">
        <f t="shared" si="5"/>
        <v/>
      </c>
      <c r="G88" s="23" t="str">
        <f>IF($B88="","",(Acc!$F88*CommissionDD!$C$30))</f>
        <v/>
      </c>
      <c r="H88" s="23" t="str">
        <f t="shared" si="3"/>
        <v/>
      </c>
    </row>
    <row r="89" spans="1:8">
      <c r="A89" s="21" t="str">
        <f t="shared" si="4"/>
        <v/>
      </c>
      <c r="B89" s="1" t="str">
        <f>IF(Cus!$B89&lt;&gt;"",Cus!$A89,"")</f>
        <v/>
      </c>
      <c r="C89" s="22" t="str">
        <f>IF($B89="","",Cus!$AA89)</f>
        <v/>
      </c>
      <c r="D89" s="23" t="str">
        <f>IF($B89="","",(Acc!$H89*$C89))</f>
        <v/>
      </c>
      <c r="E89" s="24">
        <f>IF(C89&lt;=CommissionDD!$E$3,CommissionDD!$C$3,IF(C89&lt;=CommissionDD!$E$4,CommissionDD!$C$4,IF(C89&lt;=CommissionDD!$E$5,CommissionDD!$C$5,IF(C89&lt;=CommissionDD!$E$6,CommissionDD!$C$6,IF(C89&lt;=CommissionDD!$E$7,CommissionDD!$C$7,IF(C89&lt;=CommissionDD!$E$8,CommissionDD!$C$8,CommissionDD!$C$9))))))</f>
        <v>0.03</v>
      </c>
      <c r="F89" s="23" t="str">
        <f t="shared" si="5"/>
        <v/>
      </c>
      <c r="G89" s="23" t="str">
        <f>IF($B89="","",(Acc!$F89*CommissionDD!$C$30))</f>
        <v/>
      </c>
      <c r="H89" s="23" t="str">
        <f t="shared" si="3"/>
        <v/>
      </c>
    </row>
    <row r="90" spans="1:8">
      <c r="A90" s="21" t="str">
        <f t="shared" si="4"/>
        <v/>
      </c>
      <c r="B90" s="1" t="str">
        <f>IF(Cus!$B90&lt;&gt;"",Cus!$A90,"")</f>
        <v/>
      </c>
      <c r="C90" s="22" t="str">
        <f>IF($B90="","",Cus!$AA90)</f>
        <v/>
      </c>
      <c r="D90" s="23" t="str">
        <f>IF($B90="","",(Acc!$H90*$C90))</f>
        <v/>
      </c>
      <c r="E90" s="24">
        <f>IF(C90&lt;=CommissionDD!$E$3,CommissionDD!$C$3,IF(C90&lt;=CommissionDD!$E$4,CommissionDD!$C$4,IF(C90&lt;=CommissionDD!$E$5,CommissionDD!$C$5,IF(C90&lt;=CommissionDD!$E$6,CommissionDD!$C$6,IF(C90&lt;=CommissionDD!$E$7,CommissionDD!$C$7,IF(C90&lt;=CommissionDD!$E$8,CommissionDD!$C$8,CommissionDD!$C$9))))))</f>
        <v>0.03</v>
      </c>
      <c r="F90" s="23" t="str">
        <f t="shared" si="5"/>
        <v/>
      </c>
      <c r="G90" s="23" t="str">
        <f>IF($B90="","",(Acc!$F90*CommissionDD!$C$30))</f>
        <v/>
      </c>
      <c r="H90" s="23" t="str">
        <f t="shared" si="3"/>
        <v/>
      </c>
    </row>
    <row r="91" spans="1:8">
      <c r="A91" s="21" t="str">
        <f t="shared" si="4"/>
        <v/>
      </c>
      <c r="B91" s="1" t="str">
        <f>IF(Cus!$B91&lt;&gt;"",Cus!$A91,"")</f>
        <v/>
      </c>
      <c r="C91" s="22" t="str">
        <f>IF($B91="","",Cus!$AA91)</f>
        <v/>
      </c>
      <c r="D91" s="23" t="str">
        <f>IF($B91="","",(Acc!$H91*$C91))</f>
        <v/>
      </c>
      <c r="E91" s="24">
        <f>IF(C91&lt;=CommissionDD!$E$3,CommissionDD!$C$3,IF(C91&lt;=CommissionDD!$E$4,CommissionDD!$C$4,IF(C91&lt;=CommissionDD!$E$5,CommissionDD!$C$5,IF(C91&lt;=CommissionDD!$E$6,CommissionDD!$C$6,IF(C91&lt;=CommissionDD!$E$7,CommissionDD!$C$7,IF(C91&lt;=CommissionDD!$E$8,CommissionDD!$C$8,CommissionDD!$C$9))))))</f>
        <v>0.03</v>
      </c>
      <c r="F91" s="23" t="str">
        <f t="shared" si="5"/>
        <v/>
      </c>
      <c r="G91" s="23" t="str">
        <f>IF($B91="","",(Acc!$F91*CommissionDD!$C$30))</f>
        <v/>
      </c>
      <c r="H91" s="23" t="str">
        <f t="shared" si="3"/>
        <v/>
      </c>
    </row>
    <row r="92" spans="1:8">
      <c r="A92" s="21" t="str">
        <f t="shared" si="4"/>
        <v/>
      </c>
      <c r="B92" s="1" t="str">
        <f>IF(Cus!$B92&lt;&gt;"",Cus!$A92,"")</f>
        <v/>
      </c>
      <c r="C92" s="22" t="str">
        <f>IF($B92="","",Cus!$AA92)</f>
        <v/>
      </c>
      <c r="D92" s="23" t="str">
        <f>IF($B92="","",(Acc!$H92*$C92))</f>
        <v/>
      </c>
      <c r="E92" s="24">
        <f>IF(C92&lt;=CommissionDD!$E$3,CommissionDD!$C$3,IF(C92&lt;=CommissionDD!$E$4,CommissionDD!$C$4,IF(C92&lt;=CommissionDD!$E$5,CommissionDD!$C$5,IF(C92&lt;=CommissionDD!$E$6,CommissionDD!$C$6,IF(C92&lt;=CommissionDD!$E$7,CommissionDD!$C$7,IF(C92&lt;=CommissionDD!$E$8,CommissionDD!$C$8,CommissionDD!$C$9))))))</f>
        <v>0.03</v>
      </c>
      <c r="F92" s="23" t="str">
        <f t="shared" si="5"/>
        <v/>
      </c>
      <c r="G92" s="23" t="str">
        <f>IF($B92="","",(Acc!$F92*CommissionDD!$C$30))</f>
        <v/>
      </c>
      <c r="H92" s="23" t="str">
        <f t="shared" si="3"/>
        <v/>
      </c>
    </row>
    <row r="93" spans="1:8">
      <c r="A93" s="21" t="str">
        <f t="shared" si="4"/>
        <v/>
      </c>
      <c r="B93" s="1" t="str">
        <f>IF(Cus!$B93&lt;&gt;"",Cus!$A93,"")</f>
        <v/>
      </c>
      <c r="C93" s="22" t="str">
        <f>IF($B93="","",Cus!$AA93)</f>
        <v/>
      </c>
      <c r="D93" s="23" t="str">
        <f>IF($B93="","",(Acc!$H93*$C93))</f>
        <v/>
      </c>
      <c r="E93" s="24">
        <f>IF(C93&lt;=CommissionDD!$E$3,CommissionDD!$C$3,IF(C93&lt;=CommissionDD!$E$4,CommissionDD!$C$4,IF(C93&lt;=CommissionDD!$E$5,CommissionDD!$C$5,IF(C93&lt;=CommissionDD!$E$6,CommissionDD!$C$6,IF(C93&lt;=CommissionDD!$E$7,CommissionDD!$C$7,IF(C93&lt;=CommissionDD!$E$8,CommissionDD!$C$8,CommissionDD!$C$9))))))</f>
        <v>0.03</v>
      </c>
      <c r="F93" s="23" t="str">
        <f t="shared" si="5"/>
        <v/>
      </c>
      <c r="G93" s="23" t="str">
        <f>IF($B93="","",(Acc!$F93*CommissionDD!$C$30))</f>
        <v/>
      </c>
      <c r="H93" s="23" t="str">
        <f t="shared" si="3"/>
        <v/>
      </c>
    </row>
    <row r="94" spans="1:8">
      <c r="A94" s="21" t="str">
        <f t="shared" si="4"/>
        <v/>
      </c>
      <c r="B94" s="1" t="str">
        <f>IF(Cus!$B94&lt;&gt;"",Cus!$A94,"")</f>
        <v/>
      </c>
      <c r="C94" s="22" t="str">
        <f>IF($B94="","",Cus!$AA94)</f>
        <v/>
      </c>
      <c r="D94" s="23" t="str">
        <f>IF($B94="","",(Acc!$H94*$C94))</f>
        <v/>
      </c>
      <c r="E94" s="24">
        <f>IF(C94&lt;=CommissionDD!$E$3,CommissionDD!$C$3,IF(C94&lt;=CommissionDD!$E$4,CommissionDD!$C$4,IF(C94&lt;=CommissionDD!$E$5,CommissionDD!$C$5,IF(C94&lt;=CommissionDD!$E$6,CommissionDD!$C$6,IF(C94&lt;=CommissionDD!$E$7,CommissionDD!$C$7,IF(C94&lt;=CommissionDD!$E$8,CommissionDD!$C$8,CommissionDD!$C$9))))))</f>
        <v>0.03</v>
      </c>
      <c r="F94" s="23" t="str">
        <f t="shared" si="5"/>
        <v/>
      </c>
      <c r="G94" s="23" t="str">
        <f>IF($B94="","",(Acc!$F94*CommissionDD!$C$30))</f>
        <v/>
      </c>
      <c r="H94" s="23" t="str">
        <f t="shared" si="3"/>
        <v/>
      </c>
    </row>
    <row r="95" spans="1:8">
      <c r="A95" s="21" t="str">
        <f t="shared" si="4"/>
        <v/>
      </c>
      <c r="B95" s="1" t="str">
        <f>IF(Cus!$B95&lt;&gt;"",Cus!$A95,"")</f>
        <v/>
      </c>
      <c r="C95" s="22" t="str">
        <f>IF($B95="","",Cus!$AA95)</f>
        <v/>
      </c>
      <c r="D95" s="23" t="str">
        <f>IF($B95="","",(Acc!$H95*$C95))</f>
        <v/>
      </c>
      <c r="E95" s="24">
        <f>IF(C95&lt;=CommissionDD!$E$3,CommissionDD!$C$3,IF(C95&lt;=CommissionDD!$E$4,CommissionDD!$C$4,IF(C95&lt;=CommissionDD!$E$5,CommissionDD!$C$5,IF(C95&lt;=CommissionDD!$E$6,CommissionDD!$C$6,IF(C95&lt;=CommissionDD!$E$7,CommissionDD!$C$7,IF(C95&lt;=CommissionDD!$E$8,CommissionDD!$C$8,CommissionDD!$C$9))))))</f>
        <v>0.03</v>
      </c>
      <c r="F95" s="23" t="str">
        <f t="shared" si="5"/>
        <v/>
      </c>
      <c r="G95" s="23" t="str">
        <f>IF($B95="","",(Acc!$F95*CommissionDD!$C$30))</f>
        <v/>
      </c>
      <c r="H95" s="23" t="str">
        <f t="shared" si="3"/>
        <v/>
      </c>
    </row>
    <row r="96" spans="1:8">
      <c r="A96" s="21" t="str">
        <f t="shared" si="4"/>
        <v/>
      </c>
      <c r="B96" s="1" t="str">
        <f>IF(Cus!$B96&lt;&gt;"",Cus!$A96,"")</f>
        <v/>
      </c>
      <c r="C96" s="22" t="str">
        <f>IF($B96="","",Cus!$AA96)</f>
        <v/>
      </c>
      <c r="D96" s="23" t="str">
        <f>IF($B96="","",(Acc!$H96*$C96))</f>
        <v/>
      </c>
      <c r="E96" s="24">
        <f>IF(C96&lt;=CommissionDD!$E$3,CommissionDD!$C$3,IF(C96&lt;=CommissionDD!$E$4,CommissionDD!$C$4,IF(C96&lt;=CommissionDD!$E$5,CommissionDD!$C$5,IF(C96&lt;=CommissionDD!$E$6,CommissionDD!$C$6,IF(C96&lt;=CommissionDD!$E$7,CommissionDD!$C$7,IF(C96&lt;=CommissionDD!$E$8,CommissionDD!$C$8,CommissionDD!$C$9))))))</f>
        <v>0.03</v>
      </c>
      <c r="F96" s="23" t="str">
        <f t="shared" si="5"/>
        <v/>
      </c>
      <c r="G96" s="23" t="str">
        <f>IF($B96="","",(Acc!$F96*CommissionDD!$C$30))</f>
        <v/>
      </c>
      <c r="H96" s="23" t="str">
        <f t="shared" si="3"/>
        <v/>
      </c>
    </row>
    <row r="97" spans="1:8">
      <c r="A97" s="21" t="str">
        <f t="shared" si="4"/>
        <v/>
      </c>
      <c r="B97" s="1" t="str">
        <f>IF(Cus!$B97&lt;&gt;"",Cus!$A97,"")</f>
        <v/>
      </c>
      <c r="C97" s="22" t="str">
        <f>IF($B97="","",Cus!$AA97)</f>
        <v/>
      </c>
      <c r="D97" s="23" t="str">
        <f>IF($B97="","",(Acc!$H97*$C97))</f>
        <v/>
      </c>
      <c r="E97" s="24">
        <f>IF(C97&lt;=CommissionDD!$E$3,CommissionDD!$C$3,IF(C97&lt;=CommissionDD!$E$4,CommissionDD!$C$4,IF(C97&lt;=CommissionDD!$E$5,CommissionDD!$C$5,IF(C97&lt;=CommissionDD!$E$6,CommissionDD!$C$6,IF(C97&lt;=CommissionDD!$E$7,CommissionDD!$C$7,IF(C97&lt;=CommissionDD!$E$8,CommissionDD!$C$8,CommissionDD!$C$9))))))</f>
        <v>0.03</v>
      </c>
      <c r="F97" s="23" t="str">
        <f t="shared" si="5"/>
        <v/>
      </c>
      <c r="G97" s="23" t="str">
        <f>IF($B97="","",(Acc!$F97*CommissionDD!$C$30))</f>
        <v/>
      </c>
      <c r="H97" s="23" t="str">
        <f t="shared" si="3"/>
        <v/>
      </c>
    </row>
    <row r="98" spans="1:8">
      <c r="A98" s="21" t="str">
        <f t="shared" si="4"/>
        <v/>
      </c>
      <c r="B98" s="1" t="str">
        <f>IF(Cus!$B98&lt;&gt;"",Cus!$A98,"")</f>
        <v/>
      </c>
      <c r="C98" s="22" t="str">
        <f>IF($B98="","",Cus!$AA98)</f>
        <v/>
      </c>
      <c r="D98" s="23" t="str">
        <f>IF($B98="","",(Acc!$H98*$C98))</f>
        <v/>
      </c>
      <c r="E98" s="24">
        <f>IF(C98&lt;=CommissionDD!$E$3,CommissionDD!$C$3,IF(C98&lt;=CommissionDD!$E$4,CommissionDD!$C$4,IF(C98&lt;=CommissionDD!$E$5,CommissionDD!$C$5,IF(C98&lt;=CommissionDD!$E$6,CommissionDD!$C$6,IF(C98&lt;=CommissionDD!$E$7,CommissionDD!$C$7,IF(C98&lt;=CommissionDD!$E$8,CommissionDD!$C$8,CommissionDD!$C$9))))))</f>
        <v>0.03</v>
      </c>
      <c r="F98" s="23" t="str">
        <f t="shared" si="5"/>
        <v/>
      </c>
      <c r="G98" s="23" t="str">
        <f>IF($B98="","",(Acc!$F98*CommissionDD!$C$30))</f>
        <v/>
      </c>
      <c r="H98" s="23" t="str">
        <f t="shared" si="3"/>
        <v/>
      </c>
    </row>
    <row r="99" spans="1:8">
      <c r="A99" s="21" t="str">
        <f t="shared" si="4"/>
        <v/>
      </c>
      <c r="B99" s="1" t="str">
        <f>IF(Cus!$B99&lt;&gt;"",Cus!$A99,"")</f>
        <v/>
      </c>
      <c r="C99" s="22" t="str">
        <f>IF($B99="","",Cus!$AA99)</f>
        <v/>
      </c>
      <c r="D99" s="23" t="str">
        <f>IF($B99="","",(Acc!$H99*$C99))</f>
        <v/>
      </c>
      <c r="E99" s="24">
        <f>IF(C99&lt;=CommissionDD!$E$3,CommissionDD!$C$3,IF(C99&lt;=CommissionDD!$E$4,CommissionDD!$C$4,IF(C99&lt;=CommissionDD!$E$5,CommissionDD!$C$5,IF(C99&lt;=CommissionDD!$E$6,CommissionDD!$C$6,IF(C99&lt;=CommissionDD!$E$7,CommissionDD!$C$7,IF(C99&lt;=CommissionDD!$E$8,CommissionDD!$C$8,CommissionDD!$C$9))))))</f>
        <v>0.03</v>
      </c>
      <c r="F99" s="23" t="str">
        <f t="shared" si="5"/>
        <v/>
      </c>
      <c r="G99" s="23" t="str">
        <f>IF($B99="","",(Acc!$F99*CommissionDD!$C$30))</f>
        <v/>
      </c>
      <c r="H99" s="23" t="str">
        <f t="shared" si="3"/>
        <v/>
      </c>
    </row>
    <row r="100" spans="1:8">
      <c r="A100" s="21" t="str">
        <f t="shared" si="4"/>
        <v/>
      </c>
      <c r="B100" s="1" t="str">
        <f>IF(Cus!$B100&lt;&gt;"",Cus!$A100,"")</f>
        <v/>
      </c>
      <c r="C100" s="22" t="str">
        <f>IF($B100="","",Cus!$AA100)</f>
        <v/>
      </c>
      <c r="D100" s="23" t="str">
        <f>IF($B100="","",(Acc!$H100*$C100))</f>
        <v/>
      </c>
      <c r="E100" s="24">
        <f>IF(C100&lt;=CommissionDD!$E$3,CommissionDD!$C$3,IF(C100&lt;=CommissionDD!$E$4,CommissionDD!$C$4,IF(C100&lt;=CommissionDD!$E$5,CommissionDD!$C$5,IF(C100&lt;=CommissionDD!$E$6,CommissionDD!$C$6,IF(C100&lt;=CommissionDD!$E$7,CommissionDD!$C$7,IF(C100&lt;=CommissionDD!$E$8,CommissionDD!$C$8,CommissionDD!$C$9))))))</f>
        <v>0.03</v>
      </c>
      <c r="F100" s="23" t="str">
        <f t="shared" si="5"/>
        <v/>
      </c>
      <c r="G100" s="23" t="str">
        <f>IF($B100="","",(Acc!$F100*CommissionDD!$C$30))</f>
        <v/>
      </c>
      <c r="H100" s="23" t="str">
        <f t="shared" si="3"/>
        <v/>
      </c>
    </row>
    <row r="101" spans="1:8">
      <c r="A101" s="21" t="str">
        <f t="shared" si="4"/>
        <v/>
      </c>
      <c r="B101" s="1" t="str">
        <f>IF(Cus!$B101&lt;&gt;"",Cus!$A101,"")</f>
        <v/>
      </c>
      <c r="C101" s="22" t="str">
        <f>IF($B101="","",Cus!$AA101)</f>
        <v/>
      </c>
      <c r="D101" s="23" t="str">
        <f>IF($B101="","",(Acc!$H101*$C101))</f>
        <v/>
      </c>
      <c r="E101" s="24">
        <f>IF(C101&lt;=CommissionDD!$E$3,CommissionDD!$C$3,IF(C101&lt;=CommissionDD!$E$4,CommissionDD!$C$4,IF(C101&lt;=CommissionDD!$E$5,CommissionDD!$C$5,IF(C101&lt;=CommissionDD!$E$6,CommissionDD!$C$6,IF(C101&lt;=CommissionDD!$E$7,CommissionDD!$C$7,IF(C101&lt;=CommissionDD!$E$8,CommissionDD!$C$8,CommissionDD!$C$9))))))</f>
        <v>0.03</v>
      </c>
      <c r="F101" s="23" t="str">
        <f t="shared" si="5"/>
        <v/>
      </c>
      <c r="G101" s="23" t="str">
        <f>IF($B101="","",(Acc!$F101*CommissionDD!$C$30))</f>
        <v/>
      </c>
      <c r="H101" s="23" t="str">
        <f t="shared" si="3"/>
        <v/>
      </c>
    </row>
    <row r="102" spans="1:8">
      <c r="A102" s="21" t="str">
        <f t="shared" si="4"/>
        <v/>
      </c>
      <c r="B102" s="1" t="str">
        <f>IF(Cus!$B102&lt;&gt;"",Cus!$A102,"")</f>
        <v/>
      </c>
      <c r="C102" s="22" t="str">
        <f>IF($B102="","",Cus!$AA102)</f>
        <v/>
      </c>
      <c r="D102" s="23" t="str">
        <f>IF($B102="","",(Acc!$H102*$C102))</f>
        <v/>
      </c>
      <c r="E102" s="24">
        <f>IF(C102&lt;=CommissionDD!$E$3,CommissionDD!$C$3,IF(C102&lt;=CommissionDD!$E$4,CommissionDD!$C$4,IF(C102&lt;=CommissionDD!$E$5,CommissionDD!$C$5,IF(C102&lt;=CommissionDD!$E$6,CommissionDD!$C$6,IF(C102&lt;=CommissionDD!$E$7,CommissionDD!$C$7,IF(C102&lt;=CommissionDD!$E$8,CommissionDD!$C$8,CommissionDD!$C$9))))))</f>
        <v>0.03</v>
      </c>
      <c r="F102" s="23" t="str">
        <f t="shared" si="5"/>
        <v/>
      </c>
      <c r="G102" s="23" t="str">
        <f>IF($B102="","",(Acc!$F102*CommissionDD!$C$30))</f>
        <v/>
      </c>
      <c r="H102" s="23" t="str">
        <f t="shared" si="3"/>
        <v/>
      </c>
    </row>
    <row r="103" spans="1:8">
      <c r="A103" s="21" t="str">
        <f t="shared" si="4"/>
        <v/>
      </c>
      <c r="B103" s="1" t="str">
        <f>IF(Cus!$B103&lt;&gt;"",Cus!$A103,"")</f>
        <v/>
      </c>
      <c r="C103" s="22" t="str">
        <f>IF($B103="","",Cus!$AA103)</f>
        <v/>
      </c>
      <c r="D103" s="23" t="str">
        <f>IF($B103="","",(Acc!$H103*$C103))</f>
        <v/>
      </c>
      <c r="E103" s="24">
        <f>IF(C103&lt;=CommissionDD!$E$3,CommissionDD!$C$3,IF(C103&lt;=CommissionDD!$E$4,CommissionDD!$C$4,IF(C103&lt;=CommissionDD!$E$5,CommissionDD!$C$5,IF(C103&lt;=CommissionDD!$E$6,CommissionDD!$C$6,IF(C103&lt;=CommissionDD!$E$7,CommissionDD!$C$7,IF(C103&lt;=CommissionDD!$E$8,CommissionDD!$C$8,CommissionDD!$C$9))))))</f>
        <v>0.03</v>
      </c>
      <c r="F103" s="23" t="str">
        <f t="shared" si="5"/>
        <v/>
      </c>
      <c r="G103" s="23" t="str">
        <f>IF($B103="","",(Acc!$F103*CommissionDD!$C$30))</f>
        <v/>
      </c>
      <c r="H103" s="23" t="str">
        <f t="shared" si="3"/>
        <v/>
      </c>
    </row>
    <row r="104" spans="1:8">
      <c r="A104" s="21" t="str">
        <f t="shared" si="4"/>
        <v/>
      </c>
      <c r="B104" s="1" t="str">
        <f>IF(Cus!$B104&lt;&gt;"",Cus!$A104,"")</f>
        <v/>
      </c>
      <c r="C104" s="22" t="str">
        <f>IF($B104="","",Cus!$AA104)</f>
        <v/>
      </c>
      <c r="D104" s="23" t="str">
        <f>IF($B104="","",(Acc!$H104*$C104))</f>
        <v/>
      </c>
      <c r="E104" s="24">
        <f>IF(C104&lt;=CommissionDD!$E$3,CommissionDD!$C$3,IF(C104&lt;=CommissionDD!$E$4,CommissionDD!$C$4,IF(C104&lt;=CommissionDD!$E$5,CommissionDD!$C$5,IF(C104&lt;=CommissionDD!$E$6,CommissionDD!$C$6,IF(C104&lt;=CommissionDD!$E$7,CommissionDD!$C$7,IF(C104&lt;=CommissionDD!$E$8,CommissionDD!$C$8,CommissionDD!$C$9))))))</f>
        <v>0.03</v>
      </c>
      <c r="F104" s="23" t="str">
        <f t="shared" si="5"/>
        <v/>
      </c>
      <c r="G104" s="23" t="str">
        <f>IF($B104="","",(Acc!$F104*CommissionDD!$C$30))</f>
        <v/>
      </c>
      <c r="H104" s="23" t="str">
        <f t="shared" si="3"/>
        <v/>
      </c>
    </row>
    <row r="105" spans="1:8">
      <c r="A105" s="21" t="str">
        <f t="shared" si="4"/>
        <v/>
      </c>
      <c r="B105" s="1" t="str">
        <f>IF(Cus!$B105&lt;&gt;"",Cus!$A105,"")</f>
        <v/>
      </c>
      <c r="C105" s="22" t="str">
        <f>IF($B105="","",Cus!$AA105)</f>
        <v/>
      </c>
      <c r="D105" s="23" t="str">
        <f>IF($B105="","",(Acc!$H105*$C105))</f>
        <v/>
      </c>
      <c r="E105" s="24">
        <f>IF(C105&lt;=CommissionDD!$E$3,CommissionDD!$C$3,IF(C105&lt;=CommissionDD!$E$4,CommissionDD!$C$4,IF(C105&lt;=CommissionDD!$E$5,CommissionDD!$C$5,IF(C105&lt;=CommissionDD!$E$6,CommissionDD!$C$6,IF(C105&lt;=CommissionDD!$E$7,CommissionDD!$C$7,IF(C105&lt;=CommissionDD!$E$8,CommissionDD!$C$8,CommissionDD!$C$9))))))</f>
        <v>0.03</v>
      </c>
      <c r="F105" s="23" t="str">
        <f t="shared" si="5"/>
        <v/>
      </c>
      <c r="G105" s="23" t="str">
        <f>IF($B105="","",(Acc!$F105*CommissionDD!$C$30))</f>
        <v/>
      </c>
      <c r="H105" s="23" t="str">
        <f t="shared" si="3"/>
        <v/>
      </c>
    </row>
    <row r="106" spans="1:8">
      <c r="A106" s="21" t="str">
        <f t="shared" si="4"/>
        <v/>
      </c>
      <c r="B106" s="1" t="str">
        <f>IF(Cus!$B106&lt;&gt;"",Cus!$A106,"")</f>
        <v/>
      </c>
      <c r="C106" s="22" t="str">
        <f>IF($B106="","",Cus!$AA106)</f>
        <v/>
      </c>
      <c r="D106" s="23" t="str">
        <f>IF($B106="","",(Acc!$H106*$C106))</f>
        <v/>
      </c>
      <c r="E106" s="24">
        <f>IF(C106&lt;=CommissionDD!$E$3,CommissionDD!$C$3,IF(C106&lt;=CommissionDD!$E$4,CommissionDD!$C$4,IF(C106&lt;=CommissionDD!$E$5,CommissionDD!$C$5,IF(C106&lt;=CommissionDD!$E$6,CommissionDD!$C$6,IF(C106&lt;=CommissionDD!$E$7,CommissionDD!$C$7,IF(C106&lt;=CommissionDD!$E$8,CommissionDD!$C$8,CommissionDD!$C$9))))))</f>
        <v>0.03</v>
      </c>
      <c r="F106" s="23" t="str">
        <f t="shared" si="5"/>
        <v/>
      </c>
      <c r="G106" s="23" t="str">
        <f>IF($B106="","",(Acc!$F106*CommissionDD!$C$30))</f>
        <v/>
      </c>
      <c r="H106" s="23" t="str">
        <f t="shared" si="3"/>
        <v/>
      </c>
    </row>
    <row r="107" spans="1:8">
      <c r="A107" s="21" t="str">
        <f t="shared" si="4"/>
        <v/>
      </c>
      <c r="B107" s="1" t="str">
        <f>IF(Cus!$B107&lt;&gt;"",Cus!$A107,"")</f>
        <v/>
      </c>
      <c r="C107" s="22" t="str">
        <f>IF($B107="","",Cus!$AA107)</f>
        <v/>
      </c>
      <c r="D107" s="23" t="str">
        <f>IF($B107="","",(Acc!$H107*$C107))</f>
        <v/>
      </c>
      <c r="E107" s="24">
        <f>IF(C107&lt;=CommissionDD!$E$3,CommissionDD!$C$3,IF(C107&lt;=CommissionDD!$E$4,CommissionDD!$C$4,IF(C107&lt;=CommissionDD!$E$5,CommissionDD!$C$5,IF(C107&lt;=CommissionDD!$E$6,CommissionDD!$C$6,IF(C107&lt;=CommissionDD!$E$7,CommissionDD!$C$7,IF(C107&lt;=CommissionDD!$E$8,CommissionDD!$C$8,CommissionDD!$C$9))))))</f>
        <v>0.03</v>
      </c>
      <c r="F107" s="23" t="str">
        <f t="shared" si="5"/>
        <v/>
      </c>
      <c r="G107" s="23" t="str">
        <f>IF($B107="","",(Acc!$F107*CommissionDD!$C$30))</f>
        <v/>
      </c>
      <c r="H107" s="23" t="str">
        <f t="shared" si="3"/>
        <v/>
      </c>
    </row>
    <row r="108" spans="1:8">
      <c r="A108" s="21" t="str">
        <f t="shared" si="4"/>
        <v/>
      </c>
      <c r="B108" s="1" t="str">
        <f>IF(Cus!$B108&lt;&gt;"",Cus!$A108,"")</f>
        <v/>
      </c>
      <c r="C108" s="22" t="str">
        <f>IF($B108="","",Cus!$AA108)</f>
        <v/>
      </c>
      <c r="D108" s="23" t="str">
        <f>IF($B108="","",(Acc!$H108*$C108))</f>
        <v/>
      </c>
      <c r="E108" s="24">
        <f>IF(C108&lt;=CommissionDD!$E$3,CommissionDD!$C$3,IF(C108&lt;=CommissionDD!$E$4,CommissionDD!$C$4,IF(C108&lt;=CommissionDD!$E$5,CommissionDD!$C$5,IF(C108&lt;=CommissionDD!$E$6,CommissionDD!$C$6,IF(C108&lt;=CommissionDD!$E$7,CommissionDD!$C$7,IF(C108&lt;=CommissionDD!$E$8,CommissionDD!$C$8,CommissionDD!$C$9))))))</f>
        <v>0.03</v>
      </c>
      <c r="F108" s="23" t="str">
        <f t="shared" si="5"/>
        <v/>
      </c>
      <c r="G108" s="23" t="str">
        <f>IF($B108="","",(Acc!$F108*CommissionDD!$C$30))</f>
        <v/>
      </c>
      <c r="H108" s="23" t="str">
        <f t="shared" si="3"/>
        <v/>
      </c>
    </row>
    <row r="109" spans="1:8">
      <c r="A109" s="21" t="str">
        <f t="shared" si="4"/>
        <v/>
      </c>
      <c r="B109" s="1" t="str">
        <f>IF(Cus!$B109&lt;&gt;"",Cus!$A109,"")</f>
        <v/>
      </c>
      <c r="C109" s="22" t="str">
        <f>IF($B109="","",Cus!$AA109)</f>
        <v/>
      </c>
      <c r="D109" s="23" t="str">
        <f>IF($B109="","",(Acc!$H109*$C109))</f>
        <v/>
      </c>
      <c r="E109" s="24">
        <f>IF(C109&lt;=CommissionDD!$E$3,CommissionDD!$C$3,IF(C109&lt;=CommissionDD!$E$4,CommissionDD!$C$4,IF(C109&lt;=CommissionDD!$E$5,CommissionDD!$C$5,IF(C109&lt;=CommissionDD!$E$6,CommissionDD!$C$6,IF(C109&lt;=CommissionDD!$E$7,CommissionDD!$C$7,IF(C109&lt;=CommissionDD!$E$8,CommissionDD!$C$8,CommissionDD!$C$9))))))</f>
        <v>0.03</v>
      </c>
      <c r="F109" s="23" t="str">
        <f t="shared" si="5"/>
        <v/>
      </c>
      <c r="G109" s="23" t="str">
        <f>IF($B109="","",(Acc!$F109*CommissionDD!$C$30))</f>
        <v/>
      </c>
      <c r="H109" s="23" t="str">
        <f t="shared" si="3"/>
        <v/>
      </c>
    </row>
    <row r="110" spans="1:8">
      <c r="A110" s="21" t="str">
        <f t="shared" si="4"/>
        <v/>
      </c>
      <c r="B110" s="1" t="str">
        <f>IF(Cus!$B110&lt;&gt;"",Cus!$A110,"")</f>
        <v/>
      </c>
      <c r="C110" s="22" t="str">
        <f>IF($B110="","",Cus!$AA110)</f>
        <v/>
      </c>
      <c r="D110" s="23" t="str">
        <f>IF($B110="","",(Acc!$H110*$C110))</f>
        <v/>
      </c>
      <c r="E110" s="24">
        <f>IF(C110&lt;=CommissionDD!$E$3,CommissionDD!$C$3,IF(C110&lt;=CommissionDD!$E$4,CommissionDD!$C$4,IF(C110&lt;=CommissionDD!$E$5,CommissionDD!$C$5,IF(C110&lt;=CommissionDD!$E$6,CommissionDD!$C$6,IF(C110&lt;=CommissionDD!$E$7,CommissionDD!$C$7,IF(C110&lt;=CommissionDD!$E$8,CommissionDD!$C$8,CommissionDD!$C$9))))))</f>
        <v>0.03</v>
      </c>
      <c r="F110" s="23" t="str">
        <f t="shared" si="5"/>
        <v/>
      </c>
      <c r="G110" s="23" t="str">
        <f>IF($B110="","",(Acc!$F110*CommissionDD!$C$30))</f>
        <v/>
      </c>
      <c r="H110" s="23" t="str">
        <f t="shared" si="3"/>
        <v/>
      </c>
    </row>
    <row r="111" spans="1:8">
      <c r="A111" s="21" t="str">
        <f t="shared" si="4"/>
        <v/>
      </c>
      <c r="B111" s="1" t="str">
        <f>IF(Cus!$B111&lt;&gt;"",Cus!$A111,"")</f>
        <v/>
      </c>
      <c r="C111" s="22" t="str">
        <f>IF($B111="","",Cus!$AA111)</f>
        <v/>
      </c>
      <c r="D111" s="23" t="str">
        <f>IF($B111="","",(Acc!$H111*$C111))</f>
        <v/>
      </c>
      <c r="E111" s="24">
        <f>IF(C111&lt;=CommissionDD!$E$3,CommissionDD!$C$3,IF(C111&lt;=CommissionDD!$E$4,CommissionDD!$C$4,IF(C111&lt;=CommissionDD!$E$5,CommissionDD!$C$5,IF(C111&lt;=CommissionDD!$E$6,CommissionDD!$C$6,IF(C111&lt;=CommissionDD!$E$7,CommissionDD!$C$7,IF(C111&lt;=CommissionDD!$E$8,CommissionDD!$C$8,CommissionDD!$C$9))))))</f>
        <v>0.03</v>
      </c>
      <c r="F111" s="23" t="str">
        <f t="shared" si="5"/>
        <v/>
      </c>
      <c r="G111" s="23" t="str">
        <f>IF($B111="","",(Acc!$F111*CommissionDD!$C$30))</f>
        <v/>
      </c>
      <c r="H111" s="23" t="str">
        <f t="shared" si="3"/>
        <v/>
      </c>
    </row>
    <row r="112" spans="1:8">
      <c r="A112" s="21" t="str">
        <f t="shared" si="4"/>
        <v/>
      </c>
      <c r="B112" s="1" t="str">
        <f>IF(Cus!$B112&lt;&gt;"",Cus!$A112,"")</f>
        <v/>
      </c>
      <c r="C112" s="22" t="str">
        <f>IF($B112="","",Cus!$AA112)</f>
        <v/>
      </c>
      <c r="D112" s="23" t="str">
        <f>IF($B112="","",(Acc!$H112*$C112))</f>
        <v/>
      </c>
      <c r="E112" s="24">
        <f>IF(C112&lt;=CommissionDD!$E$3,CommissionDD!$C$3,IF(C112&lt;=CommissionDD!$E$4,CommissionDD!$C$4,IF(C112&lt;=CommissionDD!$E$5,CommissionDD!$C$5,IF(C112&lt;=CommissionDD!$E$6,CommissionDD!$C$6,IF(C112&lt;=CommissionDD!$E$7,CommissionDD!$C$7,IF(C112&lt;=CommissionDD!$E$8,CommissionDD!$C$8,CommissionDD!$C$9))))))</f>
        <v>0.03</v>
      </c>
      <c r="F112" s="23" t="str">
        <f t="shared" si="5"/>
        <v/>
      </c>
      <c r="G112" s="23" t="str">
        <f>IF($B112="","",(Acc!$F112*CommissionDD!$C$30))</f>
        <v/>
      </c>
      <c r="H112" s="23" t="str">
        <f t="shared" si="3"/>
        <v/>
      </c>
    </row>
    <row r="113" spans="1:8">
      <c r="A113" s="21" t="str">
        <f t="shared" si="4"/>
        <v/>
      </c>
      <c r="B113" s="1" t="str">
        <f>IF(Cus!$B113&lt;&gt;"",Cus!$A113,"")</f>
        <v/>
      </c>
      <c r="C113" s="22" t="str">
        <f>IF($B113="","",Cus!$AA113)</f>
        <v/>
      </c>
      <c r="D113" s="23" t="str">
        <f>IF($B113="","",(Acc!$H113*$C113))</f>
        <v/>
      </c>
      <c r="E113" s="24">
        <f>IF(C113&lt;=CommissionDD!$E$3,CommissionDD!$C$3,IF(C113&lt;=CommissionDD!$E$4,CommissionDD!$C$4,IF(C113&lt;=CommissionDD!$E$5,CommissionDD!$C$5,IF(C113&lt;=CommissionDD!$E$6,CommissionDD!$C$6,IF(C113&lt;=CommissionDD!$E$7,CommissionDD!$C$7,IF(C113&lt;=CommissionDD!$E$8,CommissionDD!$C$8,CommissionDD!$C$9))))))</f>
        <v>0.03</v>
      </c>
      <c r="F113" s="23" t="str">
        <f t="shared" si="5"/>
        <v/>
      </c>
      <c r="G113" s="23" t="str">
        <f>IF($B113="","",(Acc!$F113*CommissionDD!$C$30))</f>
        <v/>
      </c>
      <c r="H113" s="23" t="str">
        <f t="shared" si="3"/>
        <v/>
      </c>
    </row>
    <row r="114" spans="1:8">
      <c r="A114" s="21" t="str">
        <f t="shared" si="4"/>
        <v/>
      </c>
      <c r="B114" s="1" t="str">
        <f>IF(Cus!$B114&lt;&gt;"",Cus!$A114,"")</f>
        <v/>
      </c>
      <c r="C114" s="22" t="str">
        <f>IF($B114="","",Cus!$AA114)</f>
        <v/>
      </c>
      <c r="D114" s="23" t="str">
        <f>IF($B114="","",(Acc!$H114*$C114))</f>
        <v/>
      </c>
      <c r="E114" s="24">
        <f>IF(C114&lt;=CommissionDD!$E$3,CommissionDD!$C$3,IF(C114&lt;=CommissionDD!$E$4,CommissionDD!$C$4,IF(C114&lt;=CommissionDD!$E$5,CommissionDD!$C$5,IF(C114&lt;=CommissionDD!$E$6,CommissionDD!$C$6,IF(C114&lt;=CommissionDD!$E$7,CommissionDD!$C$7,IF(C114&lt;=CommissionDD!$E$8,CommissionDD!$C$8,CommissionDD!$C$9))))))</f>
        <v>0.03</v>
      </c>
      <c r="F114" s="23" t="str">
        <f t="shared" si="5"/>
        <v/>
      </c>
      <c r="G114" s="23" t="str">
        <f>IF($B114="","",(Acc!$F114*CommissionDD!$C$30))</f>
        <v/>
      </c>
      <c r="H114" s="23" t="str">
        <f t="shared" si="3"/>
        <v/>
      </c>
    </row>
    <row r="115" spans="1:8">
      <c r="A115" s="21" t="str">
        <f t="shared" si="4"/>
        <v/>
      </c>
      <c r="B115" s="1" t="str">
        <f>IF(Cus!$B115&lt;&gt;"",Cus!$A115,"")</f>
        <v/>
      </c>
      <c r="C115" s="22" t="str">
        <f>IF($B115="","",Cus!$AA115)</f>
        <v/>
      </c>
      <c r="D115" s="23" t="str">
        <f>IF($B115="","",(Acc!$H115*$C115))</f>
        <v/>
      </c>
      <c r="E115" s="24">
        <f>IF(C115&lt;=CommissionDD!$E$3,CommissionDD!$C$3,IF(C115&lt;=CommissionDD!$E$4,CommissionDD!$C$4,IF(C115&lt;=CommissionDD!$E$5,CommissionDD!$C$5,IF(C115&lt;=CommissionDD!$E$6,CommissionDD!$C$6,IF(C115&lt;=CommissionDD!$E$7,CommissionDD!$C$7,IF(C115&lt;=CommissionDD!$E$8,CommissionDD!$C$8,CommissionDD!$C$9))))))</f>
        <v>0.03</v>
      </c>
      <c r="F115" s="23" t="str">
        <f t="shared" si="5"/>
        <v/>
      </c>
      <c r="G115" s="23" t="str">
        <f>IF($B115="","",(Acc!$F115*CommissionDD!$C$30))</f>
        <v/>
      </c>
      <c r="H115" s="23" t="str">
        <f t="shared" si="3"/>
        <v/>
      </c>
    </row>
    <row r="116" spans="1:8">
      <c r="A116" s="21" t="str">
        <f t="shared" si="4"/>
        <v/>
      </c>
      <c r="B116" s="1" t="str">
        <f>IF(Cus!$B116&lt;&gt;"",Cus!$A116,"")</f>
        <v/>
      </c>
      <c r="C116" s="22" t="str">
        <f>IF($B116="","",Cus!$AA116)</f>
        <v/>
      </c>
      <c r="D116" s="23" t="str">
        <f>IF($B116="","",(Acc!$H116*$C116))</f>
        <v/>
      </c>
      <c r="E116" s="24">
        <f>IF(C116&lt;=CommissionDD!$E$3,CommissionDD!$C$3,IF(C116&lt;=CommissionDD!$E$4,CommissionDD!$C$4,IF(C116&lt;=CommissionDD!$E$5,CommissionDD!$C$5,IF(C116&lt;=CommissionDD!$E$6,CommissionDD!$C$6,IF(C116&lt;=CommissionDD!$E$7,CommissionDD!$C$7,IF(C116&lt;=CommissionDD!$E$8,CommissionDD!$C$8,CommissionDD!$C$9))))))</f>
        <v>0.03</v>
      </c>
      <c r="F116" s="23" t="str">
        <f t="shared" si="5"/>
        <v/>
      </c>
      <c r="G116" s="23" t="str">
        <f>IF($B116="","",(Acc!$F116*CommissionDD!$C$30))</f>
        <v/>
      </c>
      <c r="H116" s="23" t="str">
        <f t="shared" si="3"/>
        <v/>
      </c>
    </row>
    <row r="117" spans="1:8">
      <c r="A117" s="21" t="str">
        <f t="shared" si="4"/>
        <v/>
      </c>
      <c r="B117" s="1" t="str">
        <f>IF(Cus!$B117&lt;&gt;"",Cus!$A117,"")</f>
        <v/>
      </c>
      <c r="C117" s="22" t="str">
        <f>IF($B117="","",Cus!$AA117)</f>
        <v/>
      </c>
      <c r="D117" s="23" t="str">
        <f>IF($B117="","",(Acc!$H117*$C117))</f>
        <v/>
      </c>
      <c r="E117" s="24">
        <f>IF(C117&lt;=CommissionDD!$E$3,CommissionDD!$C$3,IF(C117&lt;=CommissionDD!$E$4,CommissionDD!$C$4,IF(C117&lt;=CommissionDD!$E$5,CommissionDD!$C$5,IF(C117&lt;=CommissionDD!$E$6,CommissionDD!$C$6,IF(C117&lt;=CommissionDD!$E$7,CommissionDD!$C$7,IF(C117&lt;=CommissionDD!$E$8,CommissionDD!$C$8,CommissionDD!$C$9))))))</f>
        <v>0.03</v>
      </c>
      <c r="F117" s="23" t="str">
        <f t="shared" si="5"/>
        <v/>
      </c>
      <c r="G117" s="23" t="str">
        <f>IF($B117="","",(Acc!$F117*CommissionDD!$C$30))</f>
        <v/>
      </c>
      <c r="H117" s="23" t="str">
        <f t="shared" si="3"/>
        <v/>
      </c>
    </row>
    <row r="118" spans="1:8">
      <c r="A118" s="21" t="str">
        <f t="shared" si="4"/>
        <v/>
      </c>
      <c r="B118" s="1" t="str">
        <f>IF(Cus!$B118&lt;&gt;"",Cus!$A118,"")</f>
        <v/>
      </c>
      <c r="C118" s="22" t="str">
        <f>IF($B118="","",Cus!$AA118)</f>
        <v/>
      </c>
      <c r="D118" s="23" t="str">
        <f>IF($B118="","",(Acc!$H118*$C118))</f>
        <v/>
      </c>
      <c r="E118" s="24">
        <f>IF(C118&lt;=CommissionDD!$E$3,CommissionDD!$C$3,IF(C118&lt;=CommissionDD!$E$4,CommissionDD!$C$4,IF(C118&lt;=CommissionDD!$E$5,CommissionDD!$C$5,IF(C118&lt;=CommissionDD!$E$6,CommissionDD!$C$6,IF(C118&lt;=CommissionDD!$E$7,CommissionDD!$C$7,IF(C118&lt;=CommissionDD!$E$8,CommissionDD!$C$8,CommissionDD!$C$9))))))</f>
        <v>0.03</v>
      </c>
      <c r="F118" s="23" t="str">
        <f t="shared" si="5"/>
        <v/>
      </c>
      <c r="G118" s="23" t="str">
        <f>IF($B118="","",(Acc!$F118*CommissionDD!$C$30))</f>
        <v/>
      </c>
      <c r="H118" s="23" t="str">
        <f t="shared" si="3"/>
        <v/>
      </c>
    </row>
    <row r="119" spans="1:8">
      <c r="A119" s="21" t="str">
        <f t="shared" si="4"/>
        <v/>
      </c>
      <c r="B119" s="1" t="str">
        <f>IF(Cus!$B119&lt;&gt;"",Cus!$A119,"")</f>
        <v/>
      </c>
      <c r="C119" s="22" t="str">
        <f>IF($B119="","",Cus!$AA119)</f>
        <v/>
      </c>
      <c r="D119" s="23" t="str">
        <f>IF($B119="","",(Acc!$H119*$C119))</f>
        <v/>
      </c>
      <c r="E119" s="24">
        <f>IF(C119&lt;=CommissionDD!$E$3,CommissionDD!$C$3,IF(C119&lt;=CommissionDD!$E$4,CommissionDD!$C$4,IF(C119&lt;=CommissionDD!$E$5,CommissionDD!$C$5,IF(C119&lt;=CommissionDD!$E$6,CommissionDD!$C$6,IF(C119&lt;=CommissionDD!$E$7,CommissionDD!$C$7,IF(C119&lt;=CommissionDD!$E$8,CommissionDD!$C$8,CommissionDD!$C$9))))))</f>
        <v>0.03</v>
      </c>
      <c r="F119" s="23" t="str">
        <f t="shared" si="5"/>
        <v/>
      </c>
      <c r="G119" s="23" t="str">
        <f>IF($B119="","",(Acc!$F119*CommissionDD!$C$30))</f>
        <v/>
      </c>
      <c r="H119" s="23" t="str">
        <f t="shared" si="3"/>
        <v/>
      </c>
    </row>
    <row r="120" spans="1:8">
      <c r="A120" s="21" t="str">
        <f t="shared" si="4"/>
        <v/>
      </c>
      <c r="B120" s="1" t="str">
        <f>IF(Cus!$B120&lt;&gt;"",Cus!$A120,"")</f>
        <v/>
      </c>
      <c r="C120" s="22" t="str">
        <f>IF($B120="","",Cus!$AA120)</f>
        <v/>
      </c>
      <c r="D120" s="23" t="str">
        <f>IF($B120="","",(Acc!$H120*$C120))</f>
        <v/>
      </c>
      <c r="E120" s="24">
        <f>IF(C120&lt;=CommissionDD!$E$3,CommissionDD!$C$3,IF(C120&lt;=CommissionDD!$E$4,CommissionDD!$C$4,IF(C120&lt;=CommissionDD!$E$5,CommissionDD!$C$5,IF(C120&lt;=CommissionDD!$E$6,CommissionDD!$C$6,IF(C120&lt;=CommissionDD!$E$7,CommissionDD!$C$7,IF(C120&lt;=CommissionDD!$E$8,CommissionDD!$C$8,CommissionDD!$C$9))))))</f>
        <v>0.03</v>
      </c>
      <c r="F120" s="23" t="str">
        <f t="shared" si="5"/>
        <v/>
      </c>
      <c r="G120" s="23" t="str">
        <f>IF($B120="","",(Acc!$F120*CommissionDD!$C$30))</f>
        <v/>
      </c>
      <c r="H120" s="23" t="str">
        <f t="shared" si="3"/>
        <v/>
      </c>
    </row>
    <row r="121" spans="1:8">
      <c r="A121" s="21" t="str">
        <f t="shared" si="4"/>
        <v/>
      </c>
      <c r="B121" s="1" t="str">
        <f>IF(Cus!$B121&lt;&gt;"",Cus!$A121,"")</f>
        <v/>
      </c>
      <c r="C121" s="22" t="str">
        <f>IF($B121="","",Cus!$AA121)</f>
        <v/>
      </c>
      <c r="D121" s="23" t="str">
        <f>IF($B121="","",(Acc!$H121*$C121))</f>
        <v/>
      </c>
      <c r="E121" s="24">
        <f>IF(C121&lt;=CommissionDD!$E$3,CommissionDD!$C$3,IF(C121&lt;=CommissionDD!$E$4,CommissionDD!$C$4,IF(C121&lt;=CommissionDD!$E$5,CommissionDD!$C$5,IF(C121&lt;=CommissionDD!$E$6,CommissionDD!$C$6,IF(C121&lt;=CommissionDD!$E$7,CommissionDD!$C$7,IF(C121&lt;=CommissionDD!$E$8,CommissionDD!$C$8,CommissionDD!$C$9))))))</f>
        <v>0.03</v>
      </c>
      <c r="F121" s="23" t="str">
        <f t="shared" si="5"/>
        <v/>
      </c>
      <c r="G121" s="23" t="str">
        <f>IF($B121="","",(Acc!$F121*CommissionDD!$C$30))</f>
        <v/>
      </c>
      <c r="H121" s="23" t="str">
        <f t="shared" si="3"/>
        <v/>
      </c>
    </row>
    <row r="122" spans="1:8">
      <c r="A122" s="21" t="str">
        <f t="shared" si="4"/>
        <v/>
      </c>
      <c r="B122" s="1" t="str">
        <f>IF(Cus!$B122&lt;&gt;"",Cus!$A122,"")</f>
        <v/>
      </c>
      <c r="C122" s="22" t="str">
        <f>IF($B122="","",Cus!$AA122)</f>
        <v/>
      </c>
      <c r="D122" s="23" t="str">
        <f>IF($B122="","",(Acc!$H122*$C122))</f>
        <v/>
      </c>
      <c r="E122" s="24">
        <f>IF(C122&lt;=CommissionDD!$E$3,CommissionDD!$C$3,IF(C122&lt;=CommissionDD!$E$4,CommissionDD!$C$4,IF(C122&lt;=CommissionDD!$E$5,CommissionDD!$C$5,IF(C122&lt;=CommissionDD!$E$6,CommissionDD!$C$6,IF(C122&lt;=CommissionDD!$E$7,CommissionDD!$C$7,IF(C122&lt;=CommissionDD!$E$8,CommissionDD!$C$8,CommissionDD!$C$9))))))</f>
        <v>0.03</v>
      </c>
      <c r="F122" s="23" t="str">
        <f t="shared" si="5"/>
        <v/>
      </c>
      <c r="G122" s="23" t="str">
        <f>IF($B122="","",(Acc!$F122*CommissionDD!$C$30))</f>
        <v/>
      </c>
      <c r="H122" s="23" t="str">
        <f t="shared" si="3"/>
        <v/>
      </c>
    </row>
    <row r="123" spans="1:8">
      <c r="A123" s="21" t="str">
        <f t="shared" si="4"/>
        <v/>
      </c>
      <c r="B123" s="1" t="str">
        <f>IF(Cus!$B123&lt;&gt;"",Cus!$A123,"")</f>
        <v/>
      </c>
      <c r="C123" s="22" t="str">
        <f>IF($B123="","",Cus!$AA123)</f>
        <v/>
      </c>
      <c r="D123" s="23" t="str">
        <f>IF($B123="","",(Acc!$H123*$C123))</f>
        <v/>
      </c>
      <c r="E123" s="24">
        <f>IF(C123&lt;=CommissionDD!$E$3,CommissionDD!$C$3,IF(C123&lt;=CommissionDD!$E$4,CommissionDD!$C$4,IF(C123&lt;=CommissionDD!$E$5,CommissionDD!$C$5,IF(C123&lt;=CommissionDD!$E$6,CommissionDD!$C$6,IF(C123&lt;=CommissionDD!$E$7,CommissionDD!$C$7,IF(C123&lt;=CommissionDD!$E$8,CommissionDD!$C$8,CommissionDD!$C$9))))))</f>
        <v>0.03</v>
      </c>
      <c r="F123" s="23" t="str">
        <f t="shared" si="5"/>
        <v/>
      </c>
      <c r="G123" s="23" t="str">
        <f>IF($B123="","",(Acc!$F123*CommissionDD!$C$30))</f>
        <v/>
      </c>
      <c r="H123" s="23" t="str">
        <f t="shared" si="3"/>
        <v/>
      </c>
    </row>
    <row r="124" spans="1:8">
      <c r="A124" s="21" t="str">
        <f t="shared" si="4"/>
        <v/>
      </c>
      <c r="B124" s="1" t="str">
        <f>IF(Cus!$B124&lt;&gt;"",Cus!$A124,"")</f>
        <v/>
      </c>
      <c r="C124" s="22" t="str">
        <f>IF($B124="","",Cus!$AA124)</f>
        <v/>
      </c>
      <c r="D124" s="23" t="str">
        <f>IF($B124="","",(Acc!$H124*$C124))</f>
        <v/>
      </c>
      <c r="E124" s="24">
        <f>IF(C124&lt;=CommissionDD!$E$3,CommissionDD!$C$3,IF(C124&lt;=CommissionDD!$E$4,CommissionDD!$C$4,IF(C124&lt;=CommissionDD!$E$5,CommissionDD!$C$5,IF(C124&lt;=CommissionDD!$E$6,CommissionDD!$C$6,IF(C124&lt;=CommissionDD!$E$7,CommissionDD!$C$7,IF(C124&lt;=CommissionDD!$E$8,CommissionDD!$C$8,CommissionDD!$C$9))))))</f>
        <v>0.03</v>
      </c>
      <c r="F124" s="23" t="str">
        <f t="shared" si="5"/>
        <v/>
      </c>
      <c r="G124" s="23" t="str">
        <f>IF($B124="","",(Acc!$F124*CommissionDD!$C$30))</f>
        <v/>
      </c>
      <c r="H124" s="23" t="str">
        <f t="shared" si="3"/>
        <v/>
      </c>
    </row>
    <row r="125" spans="1:8">
      <c r="A125" s="21" t="str">
        <f t="shared" si="4"/>
        <v/>
      </c>
      <c r="B125" s="1" t="str">
        <f>IF(Cus!$B125&lt;&gt;"",Cus!$A125,"")</f>
        <v/>
      </c>
      <c r="C125" s="22" t="str">
        <f>IF($B125="","",Cus!$AA125)</f>
        <v/>
      </c>
      <c r="D125" s="23" t="str">
        <f>IF($B125="","",(Acc!$H125*$C125))</f>
        <v/>
      </c>
      <c r="E125" s="24">
        <f>IF(C125&lt;=CommissionDD!$E$3,CommissionDD!$C$3,IF(C125&lt;=CommissionDD!$E$4,CommissionDD!$C$4,IF(C125&lt;=CommissionDD!$E$5,CommissionDD!$C$5,IF(C125&lt;=CommissionDD!$E$6,CommissionDD!$C$6,IF(C125&lt;=CommissionDD!$E$7,CommissionDD!$C$7,IF(C125&lt;=CommissionDD!$E$8,CommissionDD!$C$8,CommissionDD!$C$9))))))</f>
        <v>0.03</v>
      </c>
      <c r="F125" s="23" t="str">
        <f t="shared" si="5"/>
        <v/>
      </c>
      <c r="G125" s="23" t="str">
        <f>IF($B125="","",(Acc!$F125*CommissionDD!$C$30))</f>
        <v/>
      </c>
      <c r="H125" s="23" t="str">
        <f t="shared" si="3"/>
        <v/>
      </c>
    </row>
    <row r="126" spans="1:8">
      <c r="A126" s="21" t="str">
        <f t="shared" si="4"/>
        <v/>
      </c>
      <c r="B126" s="1" t="str">
        <f>IF(Cus!$B126&lt;&gt;"",Cus!$A126,"")</f>
        <v/>
      </c>
      <c r="C126" s="22" t="str">
        <f>IF($B126="","",Cus!$AA126)</f>
        <v/>
      </c>
      <c r="D126" s="23" t="str">
        <f>IF($B126="","",(Acc!$H126*$C126))</f>
        <v/>
      </c>
      <c r="E126" s="24">
        <f>IF(C126&lt;=CommissionDD!$E$3,CommissionDD!$C$3,IF(C126&lt;=CommissionDD!$E$4,CommissionDD!$C$4,IF(C126&lt;=CommissionDD!$E$5,CommissionDD!$C$5,IF(C126&lt;=CommissionDD!$E$6,CommissionDD!$C$6,IF(C126&lt;=CommissionDD!$E$7,CommissionDD!$C$7,IF(C126&lt;=CommissionDD!$E$8,CommissionDD!$C$8,CommissionDD!$C$9))))))</f>
        <v>0.03</v>
      </c>
      <c r="F126" s="23" t="str">
        <f t="shared" si="5"/>
        <v/>
      </c>
      <c r="G126" s="23" t="str">
        <f>IF($B126="","",(Acc!$F126*CommissionDD!$C$30))</f>
        <v/>
      </c>
      <c r="H126" s="23" t="str">
        <f t="shared" si="3"/>
        <v/>
      </c>
    </row>
    <row r="127" spans="1:8">
      <c r="A127" s="21" t="str">
        <f t="shared" si="4"/>
        <v/>
      </c>
      <c r="B127" s="1" t="str">
        <f>IF(Cus!$B127&lt;&gt;"",Cus!$A127,"")</f>
        <v/>
      </c>
      <c r="C127" s="22" t="str">
        <f>IF($B127="","",Cus!$AA127)</f>
        <v/>
      </c>
      <c r="D127" s="23" t="str">
        <f>IF($B127="","",(Acc!$H127*$C127))</f>
        <v/>
      </c>
      <c r="E127" s="24">
        <f>IF(C127&lt;=CommissionDD!$E$3,CommissionDD!$C$3,IF(C127&lt;=CommissionDD!$E$4,CommissionDD!$C$4,IF(C127&lt;=CommissionDD!$E$5,CommissionDD!$C$5,IF(C127&lt;=CommissionDD!$E$6,CommissionDD!$C$6,IF(C127&lt;=CommissionDD!$E$7,CommissionDD!$C$7,IF(C127&lt;=CommissionDD!$E$8,CommissionDD!$C$8,CommissionDD!$C$9))))))</f>
        <v>0.03</v>
      </c>
      <c r="F127" s="23" t="str">
        <f t="shared" si="5"/>
        <v/>
      </c>
      <c r="G127" s="23" t="str">
        <f>IF($B127="","",(Acc!$F127*CommissionDD!$C$30))</f>
        <v/>
      </c>
      <c r="H127" s="23" t="str">
        <f t="shared" si="3"/>
        <v/>
      </c>
    </row>
    <row r="128" spans="1:8">
      <c r="A128" s="21" t="str">
        <f t="shared" si="4"/>
        <v/>
      </c>
      <c r="B128" s="1" t="str">
        <f>IF(Cus!$B128&lt;&gt;"",Cus!$A128,"")</f>
        <v/>
      </c>
      <c r="C128" s="22" t="str">
        <f>IF($B128="","",Cus!$AA128)</f>
        <v/>
      </c>
      <c r="D128" s="23" t="str">
        <f>IF($B128="","",(Acc!$H128*$C128))</f>
        <v/>
      </c>
      <c r="E128" s="24">
        <f>IF(C128&lt;=CommissionDD!$E$3,CommissionDD!$C$3,IF(C128&lt;=CommissionDD!$E$4,CommissionDD!$C$4,IF(C128&lt;=CommissionDD!$E$5,CommissionDD!$C$5,IF(C128&lt;=CommissionDD!$E$6,CommissionDD!$C$6,IF(C128&lt;=CommissionDD!$E$7,CommissionDD!$C$7,IF(C128&lt;=CommissionDD!$E$8,CommissionDD!$C$8,CommissionDD!$C$9))))))</f>
        <v>0.03</v>
      </c>
      <c r="F128" s="23" t="str">
        <f t="shared" si="5"/>
        <v/>
      </c>
      <c r="G128" s="23" t="str">
        <f>IF($B128="","",(Acc!$F128*CommissionDD!$C$30))</f>
        <v/>
      </c>
      <c r="H128" s="23" t="str">
        <f t="shared" si="3"/>
        <v/>
      </c>
    </row>
    <row r="129" spans="1:8">
      <c r="A129" s="21" t="str">
        <f t="shared" si="4"/>
        <v/>
      </c>
      <c r="B129" s="1" t="str">
        <f>IF(Cus!$B129&lt;&gt;"",Cus!$A129,"")</f>
        <v/>
      </c>
      <c r="C129" s="22" t="str">
        <f>IF($B129="","",Cus!$AA129)</f>
        <v/>
      </c>
      <c r="D129" s="23" t="str">
        <f>IF($B129="","",(Acc!$H129*$C129))</f>
        <v/>
      </c>
      <c r="E129" s="24">
        <f>IF(C129&lt;=CommissionDD!$E$3,CommissionDD!$C$3,IF(C129&lt;=CommissionDD!$E$4,CommissionDD!$C$4,IF(C129&lt;=CommissionDD!$E$5,CommissionDD!$C$5,IF(C129&lt;=CommissionDD!$E$6,CommissionDD!$C$6,IF(C129&lt;=CommissionDD!$E$7,CommissionDD!$C$7,IF(C129&lt;=CommissionDD!$E$8,CommissionDD!$C$8,CommissionDD!$C$9))))))</f>
        <v>0.03</v>
      </c>
      <c r="F129" s="23" t="str">
        <f t="shared" si="5"/>
        <v/>
      </c>
      <c r="G129" s="23" t="str">
        <f>IF($B129="","",(Acc!$F129*CommissionDD!$C$30))</f>
        <v/>
      </c>
      <c r="H129" s="23" t="str">
        <f t="shared" si="3"/>
        <v/>
      </c>
    </row>
    <row r="130" spans="1:8">
      <c r="A130" s="21" t="str">
        <f t="shared" si="4"/>
        <v/>
      </c>
      <c r="B130" s="1" t="str">
        <f>IF(Cus!$B130&lt;&gt;"",Cus!$A130,"")</f>
        <v/>
      </c>
      <c r="C130" s="22" t="str">
        <f>IF($B130="","",Cus!$AA130)</f>
        <v/>
      </c>
      <c r="D130" s="23" t="str">
        <f>IF($B130="","",(Acc!$H130*$C130))</f>
        <v/>
      </c>
      <c r="E130" s="24">
        <f>IF(C130&lt;=CommissionDD!$E$3,CommissionDD!$C$3,IF(C130&lt;=CommissionDD!$E$4,CommissionDD!$C$4,IF(C130&lt;=CommissionDD!$E$5,CommissionDD!$C$5,IF(C130&lt;=CommissionDD!$E$6,CommissionDD!$C$6,IF(C130&lt;=CommissionDD!$E$7,CommissionDD!$C$7,IF(C130&lt;=CommissionDD!$E$8,CommissionDD!$C$8,CommissionDD!$C$9))))))</f>
        <v>0.03</v>
      </c>
      <c r="F130" s="23" t="str">
        <f t="shared" si="5"/>
        <v/>
      </c>
      <c r="G130" s="23" t="str">
        <f>IF($B130="","",(Acc!$F130*CommissionDD!$C$30))</f>
        <v/>
      </c>
      <c r="H130" s="23" t="str">
        <f t="shared" ref="H130:H193" si="6">IF($B130="","",F130+G130)</f>
        <v/>
      </c>
    </row>
    <row r="131" spans="1:8">
      <c r="A131" s="21" t="str">
        <f t="shared" ref="A131:A194" si="7">IF($B131="","",(ROW($A130)))</f>
        <v/>
      </c>
      <c r="B131" s="1" t="str">
        <f>IF(Cus!$B131&lt;&gt;"",Cus!$A131,"")</f>
        <v/>
      </c>
      <c r="C131" s="22" t="str">
        <f>IF($B131="","",Cus!$AA131)</f>
        <v/>
      </c>
      <c r="D131" s="23" t="str">
        <f>IF($B131="","",(Acc!$H131*$C131))</f>
        <v/>
      </c>
      <c r="E131" s="24">
        <f>IF(C131&lt;=CommissionDD!$E$3,CommissionDD!$C$3,IF(C131&lt;=CommissionDD!$E$4,CommissionDD!$C$4,IF(C131&lt;=CommissionDD!$E$5,CommissionDD!$C$5,IF(C131&lt;=CommissionDD!$E$6,CommissionDD!$C$6,IF(C131&lt;=CommissionDD!$E$7,CommissionDD!$C$7,IF(C131&lt;=CommissionDD!$E$8,CommissionDD!$C$8,CommissionDD!$C$9))))))</f>
        <v>0.03</v>
      </c>
      <c r="F131" s="23" t="str">
        <f t="shared" si="5"/>
        <v/>
      </c>
      <c r="G131" s="23" t="str">
        <f>IF($B131="","",(Acc!$F131*CommissionDD!$C$30))</f>
        <v/>
      </c>
      <c r="H131" s="23" t="str">
        <f t="shared" si="6"/>
        <v/>
      </c>
    </row>
    <row r="132" spans="1:8">
      <c r="A132" s="21" t="str">
        <f t="shared" si="7"/>
        <v/>
      </c>
      <c r="B132" s="1" t="str">
        <f>IF(Cus!$B132&lt;&gt;"",Cus!$A132,"")</f>
        <v/>
      </c>
      <c r="C132" s="22" t="str">
        <f>IF($B132="","",Cus!$AA132)</f>
        <v/>
      </c>
      <c r="D132" s="23" t="str">
        <f>IF($B132="","",(Acc!$H132*$C132))</f>
        <v/>
      </c>
      <c r="E132" s="24">
        <f>IF(C132&lt;=CommissionDD!$E$3,CommissionDD!$C$3,IF(C132&lt;=CommissionDD!$E$4,CommissionDD!$C$4,IF(C132&lt;=CommissionDD!$E$5,CommissionDD!$C$5,IF(C132&lt;=CommissionDD!$E$6,CommissionDD!$C$6,IF(C132&lt;=CommissionDD!$E$7,CommissionDD!$C$7,IF(C132&lt;=CommissionDD!$E$8,CommissionDD!$C$8,CommissionDD!$C$9))))))</f>
        <v>0.03</v>
      </c>
      <c r="F132" s="23" t="str">
        <f t="shared" si="5"/>
        <v/>
      </c>
      <c r="G132" s="23" t="str">
        <f>IF($B132="","",(Acc!$F132*CommissionDD!$C$30))</f>
        <v/>
      </c>
      <c r="H132" s="23" t="str">
        <f t="shared" si="6"/>
        <v/>
      </c>
    </row>
    <row r="133" spans="1:8">
      <c r="A133" s="21" t="str">
        <f t="shared" si="7"/>
        <v/>
      </c>
      <c r="B133" s="1" t="str">
        <f>IF(Cus!$B133&lt;&gt;"",Cus!$A133,"")</f>
        <v/>
      </c>
      <c r="C133" s="22" t="str">
        <f>IF($B133="","",Cus!$AA133)</f>
        <v/>
      </c>
      <c r="D133" s="23" t="str">
        <f>IF($B133="","",(Acc!$H133*$C133))</f>
        <v/>
      </c>
      <c r="E133" s="24">
        <f>IF(C133&lt;=CommissionDD!$E$3,CommissionDD!$C$3,IF(C133&lt;=CommissionDD!$E$4,CommissionDD!$C$4,IF(C133&lt;=CommissionDD!$E$5,CommissionDD!$C$5,IF(C133&lt;=CommissionDD!$E$6,CommissionDD!$C$6,IF(C133&lt;=CommissionDD!$E$7,CommissionDD!$C$7,IF(C133&lt;=CommissionDD!$E$8,CommissionDD!$C$8,CommissionDD!$C$9))))))</f>
        <v>0.03</v>
      </c>
      <c r="F133" s="23" t="str">
        <f t="shared" ref="F133:F196" si="8">IF($B133="","",D133*E133)</f>
        <v/>
      </c>
      <c r="G133" s="23" t="str">
        <f>IF($B133="","",(Acc!$F133*CommissionDD!$C$30))</f>
        <v/>
      </c>
      <c r="H133" s="23" t="str">
        <f t="shared" si="6"/>
        <v/>
      </c>
    </row>
    <row r="134" spans="1:8">
      <c r="A134" s="21">
        <f t="shared" si="7"/>
        <v>133</v>
      </c>
      <c r="B134" s="1" t="str">
        <f>IF(Cus!$B134&lt;&gt;"",Cus!$A134,"")</f>
        <v>K0000133</v>
      </c>
      <c r="C134" s="22">
        <f>IF($B134="","",Cus!$AA134)</f>
        <v>0</v>
      </c>
      <c r="D134" s="23">
        <f>IF($B134="","",(Acc!$H134*$C134))</f>
        <v>0</v>
      </c>
      <c r="E134" s="24">
        <f>IF(C134&lt;=CommissionDD!$E$3,CommissionDD!$C$3,IF(C134&lt;=CommissionDD!$E$4,CommissionDD!$C$4,IF(C134&lt;=CommissionDD!$E$5,CommissionDD!$C$5,IF(C134&lt;=CommissionDD!$E$6,CommissionDD!$C$6,IF(C134&lt;=CommissionDD!$E$7,CommissionDD!$C$7,IF(C134&lt;=CommissionDD!$E$8,CommissionDD!$C$8,CommissionDD!$C$9))))))</f>
        <v>0.12</v>
      </c>
      <c r="F134" s="23">
        <f t="shared" si="8"/>
        <v>0</v>
      </c>
      <c r="G134" s="23">
        <f>IF($B134="","",(Acc!$F134*CommissionDD!$C$30))</f>
        <v>150</v>
      </c>
      <c r="H134" s="23">
        <f t="shared" si="6"/>
        <v>150</v>
      </c>
    </row>
    <row r="135" spans="1:8">
      <c r="A135" s="21" t="str">
        <f t="shared" si="7"/>
        <v/>
      </c>
      <c r="B135" s="1" t="str">
        <f>IF(Cus!$B135&lt;&gt;"",Cus!$A135,"")</f>
        <v/>
      </c>
      <c r="C135" s="22" t="str">
        <f>IF($B135="","",Cus!$AA135)</f>
        <v/>
      </c>
      <c r="D135" s="23" t="str">
        <f>IF($B135="","",(Acc!$H135*$C135))</f>
        <v/>
      </c>
      <c r="E135" s="24">
        <f>IF(C135&lt;=CommissionDD!$E$3,CommissionDD!$C$3,IF(C135&lt;=CommissionDD!$E$4,CommissionDD!$C$4,IF(C135&lt;=CommissionDD!$E$5,CommissionDD!$C$5,IF(C135&lt;=CommissionDD!$E$6,CommissionDD!$C$6,IF(C135&lt;=CommissionDD!$E$7,CommissionDD!$C$7,IF(C135&lt;=CommissionDD!$E$8,CommissionDD!$C$8,CommissionDD!$C$9))))))</f>
        <v>0.03</v>
      </c>
      <c r="F135" s="23" t="str">
        <f t="shared" si="8"/>
        <v/>
      </c>
      <c r="G135" s="23" t="str">
        <f>IF($B135="","",(Acc!$F135*CommissionDD!$C$30))</f>
        <v/>
      </c>
      <c r="H135" s="23" t="str">
        <f t="shared" si="6"/>
        <v/>
      </c>
    </row>
    <row r="136" spans="1:8">
      <c r="A136" s="21" t="str">
        <f t="shared" si="7"/>
        <v/>
      </c>
      <c r="B136" s="1" t="str">
        <f>IF(Cus!$B136&lt;&gt;"",Cus!$A136,"")</f>
        <v/>
      </c>
      <c r="C136" s="22" t="str">
        <f>IF($B136="","",Cus!$AA136)</f>
        <v/>
      </c>
      <c r="D136" s="23" t="str">
        <f>IF($B136="","",(Acc!$H136*$C136))</f>
        <v/>
      </c>
      <c r="E136" s="24">
        <f>IF(C136&lt;=CommissionDD!$E$3,CommissionDD!$C$3,IF(C136&lt;=CommissionDD!$E$4,CommissionDD!$C$4,IF(C136&lt;=CommissionDD!$E$5,CommissionDD!$C$5,IF(C136&lt;=CommissionDD!$E$6,CommissionDD!$C$6,IF(C136&lt;=CommissionDD!$E$7,CommissionDD!$C$7,IF(C136&lt;=CommissionDD!$E$8,CommissionDD!$C$8,CommissionDD!$C$9))))))</f>
        <v>0.03</v>
      </c>
      <c r="F136" s="23" t="str">
        <f t="shared" si="8"/>
        <v/>
      </c>
      <c r="G136" s="23" t="str">
        <f>IF($B136="","",(Acc!$F136*CommissionDD!$C$30))</f>
        <v/>
      </c>
      <c r="H136" s="23" t="str">
        <f t="shared" si="6"/>
        <v/>
      </c>
    </row>
    <row r="137" spans="1:8">
      <c r="A137" s="21" t="str">
        <f t="shared" si="7"/>
        <v/>
      </c>
      <c r="B137" s="1" t="str">
        <f>IF(Cus!$B137&lt;&gt;"",Cus!$A137,"")</f>
        <v/>
      </c>
      <c r="C137" s="22" t="str">
        <f>IF($B137="","",Cus!$AA137)</f>
        <v/>
      </c>
      <c r="D137" s="23" t="str">
        <f>IF($B137="","",(Acc!$H137*$C137))</f>
        <v/>
      </c>
      <c r="E137" s="24">
        <f>IF(C137&lt;=CommissionDD!$E$3,CommissionDD!$C$3,IF(C137&lt;=CommissionDD!$E$4,CommissionDD!$C$4,IF(C137&lt;=CommissionDD!$E$5,CommissionDD!$C$5,IF(C137&lt;=CommissionDD!$E$6,CommissionDD!$C$6,IF(C137&lt;=CommissionDD!$E$7,CommissionDD!$C$7,IF(C137&lt;=CommissionDD!$E$8,CommissionDD!$C$8,CommissionDD!$C$9))))))</f>
        <v>0.03</v>
      </c>
      <c r="F137" s="23" t="str">
        <f t="shared" si="8"/>
        <v/>
      </c>
      <c r="G137" s="23" t="str">
        <f>IF($B137="","",(Acc!$F137*CommissionDD!$C$30))</f>
        <v/>
      </c>
      <c r="H137" s="23" t="str">
        <f t="shared" si="6"/>
        <v/>
      </c>
    </row>
    <row r="138" spans="1:8">
      <c r="A138" s="21" t="str">
        <f t="shared" si="7"/>
        <v/>
      </c>
      <c r="B138" s="1" t="str">
        <f>IF(Cus!$B138&lt;&gt;"",Cus!$A138,"")</f>
        <v/>
      </c>
      <c r="C138" s="22" t="str">
        <f>IF($B138="","",Cus!$AA138)</f>
        <v/>
      </c>
      <c r="D138" s="23" t="str">
        <f>IF($B138="","",(Acc!$H138*$C138))</f>
        <v/>
      </c>
      <c r="E138" s="24">
        <f>IF(C138&lt;=CommissionDD!$E$3,CommissionDD!$C$3,IF(C138&lt;=CommissionDD!$E$4,CommissionDD!$C$4,IF(C138&lt;=CommissionDD!$E$5,CommissionDD!$C$5,IF(C138&lt;=CommissionDD!$E$6,CommissionDD!$C$6,IF(C138&lt;=CommissionDD!$E$7,CommissionDD!$C$7,IF(C138&lt;=CommissionDD!$E$8,CommissionDD!$C$8,CommissionDD!$C$9))))))</f>
        <v>0.03</v>
      </c>
      <c r="F138" s="23" t="str">
        <f t="shared" si="8"/>
        <v/>
      </c>
      <c r="G138" s="23" t="str">
        <f>IF($B138="","",(Acc!$F138*CommissionDD!$C$30))</f>
        <v/>
      </c>
      <c r="H138" s="23" t="str">
        <f t="shared" si="6"/>
        <v/>
      </c>
    </row>
    <row r="139" spans="1:8">
      <c r="A139" s="21" t="str">
        <f t="shared" si="7"/>
        <v/>
      </c>
      <c r="B139" s="1" t="str">
        <f>IF(Cus!$B139&lt;&gt;"",Cus!$A139,"")</f>
        <v/>
      </c>
      <c r="C139" s="22" t="str">
        <f>IF($B139="","",Cus!$AA139)</f>
        <v/>
      </c>
      <c r="D139" s="23" t="str">
        <f>IF($B139="","",(Acc!$H139*$C139))</f>
        <v/>
      </c>
      <c r="E139" s="24">
        <f>IF(C139&lt;=CommissionDD!$E$3,CommissionDD!$C$3,IF(C139&lt;=CommissionDD!$E$4,CommissionDD!$C$4,IF(C139&lt;=CommissionDD!$E$5,CommissionDD!$C$5,IF(C139&lt;=CommissionDD!$E$6,CommissionDD!$C$6,IF(C139&lt;=CommissionDD!$E$7,CommissionDD!$C$7,IF(C139&lt;=CommissionDD!$E$8,CommissionDD!$C$8,CommissionDD!$C$9))))))</f>
        <v>0.03</v>
      </c>
      <c r="F139" s="23" t="str">
        <f t="shared" si="8"/>
        <v/>
      </c>
      <c r="G139" s="23" t="str">
        <f>IF($B139="","",(Acc!$F139*CommissionDD!$C$30))</f>
        <v/>
      </c>
      <c r="H139" s="23" t="str">
        <f t="shared" si="6"/>
        <v/>
      </c>
    </row>
    <row r="140" spans="1:8">
      <c r="A140" s="21" t="str">
        <f t="shared" si="7"/>
        <v/>
      </c>
      <c r="B140" s="1" t="str">
        <f>IF(Cus!$B140&lt;&gt;"",Cus!$A140,"")</f>
        <v/>
      </c>
      <c r="C140" s="22" t="str">
        <f>IF($B140="","",Cus!$AA140)</f>
        <v/>
      </c>
      <c r="D140" s="23" t="str">
        <f>IF($B140="","",(Acc!$H140*$C140))</f>
        <v/>
      </c>
      <c r="E140" s="24">
        <f>IF(C140&lt;=CommissionDD!$E$3,CommissionDD!$C$3,IF(C140&lt;=CommissionDD!$E$4,CommissionDD!$C$4,IF(C140&lt;=CommissionDD!$E$5,CommissionDD!$C$5,IF(C140&lt;=CommissionDD!$E$6,CommissionDD!$C$6,IF(C140&lt;=CommissionDD!$E$7,CommissionDD!$C$7,IF(C140&lt;=CommissionDD!$E$8,CommissionDD!$C$8,CommissionDD!$C$9))))))</f>
        <v>0.03</v>
      </c>
      <c r="F140" s="23" t="str">
        <f t="shared" si="8"/>
        <v/>
      </c>
      <c r="G140" s="23" t="str">
        <f>IF($B140="","",(Acc!$F140*CommissionDD!$C$30))</f>
        <v/>
      </c>
      <c r="H140" s="23" t="str">
        <f t="shared" si="6"/>
        <v/>
      </c>
    </row>
    <row r="141" spans="1:8">
      <c r="A141" s="21" t="str">
        <f t="shared" si="7"/>
        <v/>
      </c>
      <c r="B141" s="1" t="str">
        <f>IF(Cus!$B141&lt;&gt;"",Cus!$A141,"")</f>
        <v/>
      </c>
      <c r="C141" s="22" t="str">
        <f>IF($B141="","",Cus!$AA141)</f>
        <v/>
      </c>
      <c r="D141" s="23" t="str">
        <f>IF($B141="","",(Acc!$H141*$C141))</f>
        <v/>
      </c>
      <c r="E141" s="24">
        <f>IF(C141&lt;=CommissionDD!$E$3,CommissionDD!$C$3,IF(C141&lt;=CommissionDD!$E$4,CommissionDD!$C$4,IF(C141&lt;=CommissionDD!$E$5,CommissionDD!$C$5,IF(C141&lt;=CommissionDD!$E$6,CommissionDD!$C$6,IF(C141&lt;=CommissionDD!$E$7,CommissionDD!$C$7,IF(C141&lt;=CommissionDD!$E$8,CommissionDD!$C$8,CommissionDD!$C$9))))))</f>
        <v>0.03</v>
      </c>
      <c r="F141" s="23" t="str">
        <f t="shared" si="8"/>
        <v/>
      </c>
      <c r="G141" s="23" t="str">
        <f>IF($B141="","",(Acc!$F141*CommissionDD!$C$30))</f>
        <v/>
      </c>
      <c r="H141" s="23" t="str">
        <f t="shared" si="6"/>
        <v/>
      </c>
    </row>
    <row r="142" spans="1:8">
      <c r="A142" s="21" t="str">
        <f t="shared" si="7"/>
        <v/>
      </c>
      <c r="B142" s="1" t="str">
        <f>IF(Cus!$B142&lt;&gt;"",Cus!$A142,"")</f>
        <v/>
      </c>
      <c r="C142" s="22" t="str">
        <f>IF($B142="","",Cus!$AA142)</f>
        <v/>
      </c>
      <c r="D142" s="23" t="str">
        <f>IF($B142="","",(Acc!$H142*$C142))</f>
        <v/>
      </c>
      <c r="E142" s="24">
        <f>IF(C142&lt;=CommissionDD!$E$3,CommissionDD!$C$3,IF(C142&lt;=CommissionDD!$E$4,CommissionDD!$C$4,IF(C142&lt;=CommissionDD!$E$5,CommissionDD!$C$5,IF(C142&lt;=CommissionDD!$E$6,CommissionDD!$C$6,IF(C142&lt;=CommissionDD!$E$7,CommissionDD!$C$7,IF(C142&lt;=CommissionDD!$E$8,CommissionDD!$C$8,CommissionDD!$C$9))))))</f>
        <v>0.03</v>
      </c>
      <c r="F142" s="23" t="str">
        <f t="shared" si="8"/>
        <v/>
      </c>
      <c r="G142" s="23" t="str">
        <f>IF($B142="","",(Acc!$F142*CommissionDD!$C$30))</f>
        <v/>
      </c>
      <c r="H142" s="23" t="str">
        <f t="shared" si="6"/>
        <v/>
      </c>
    </row>
    <row r="143" spans="1:8">
      <c r="A143" s="21" t="str">
        <f t="shared" si="7"/>
        <v/>
      </c>
      <c r="B143" s="1" t="str">
        <f>IF(Cus!$B143&lt;&gt;"",Cus!$A143,"")</f>
        <v/>
      </c>
      <c r="C143" s="22" t="str">
        <f>IF($B143="","",Cus!$AA143)</f>
        <v/>
      </c>
      <c r="D143" s="23" t="str">
        <f>IF($B143="","",(Acc!$H143*$C143))</f>
        <v/>
      </c>
      <c r="E143" s="24">
        <f>IF(C143&lt;=CommissionDD!$E$3,CommissionDD!$C$3,IF(C143&lt;=CommissionDD!$E$4,CommissionDD!$C$4,IF(C143&lt;=CommissionDD!$E$5,CommissionDD!$C$5,IF(C143&lt;=CommissionDD!$E$6,CommissionDD!$C$6,IF(C143&lt;=CommissionDD!$E$7,CommissionDD!$C$7,IF(C143&lt;=CommissionDD!$E$8,CommissionDD!$C$8,CommissionDD!$C$9))))))</f>
        <v>0.03</v>
      </c>
      <c r="F143" s="23" t="str">
        <f t="shared" si="8"/>
        <v/>
      </c>
      <c r="G143" s="23" t="str">
        <f>IF($B143="","",(Acc!$F143*CommissionDD!$C$30))</f>
        <v/>
      </c>
      <c r="H143" s="23" t="str">
        <f t="shared" si="6"/>
        <v/>
      </c>
    </row>
    <row r="144" spans="1:8">
      <c r="A144" s="21" t="str">
        <f t="shared" si="7"/>
        <v/>
      </c>
      <c r="B144" s="1" t="str">
        <f>IF(Cus!$B144&lt;&gt;"",Cus!$A144,"")</f>
        <v/>
      </c>
      <c r="C144" s="22" t="str">
        <f>IF($B144="","",Cus!$AA144)</f>
        <v/>
      </c>
      <c r="D144" s="23" t="str">
        <f>IF($B144="","",(Acc!$H144*$C144))</f>
        <v/>
      </c>
      <c r="E144" s="24">
        <f>IF(C144&lt;=CommissionDD!$E$3,CommissionDD!$C$3,IF(C144&lt;=CommissionDD!$E$4,CommissionDD!$C$4,IF(C144&lt;=CommissionDD!$E$5,CommissionDD!$C$5,IF(C144&lt;=CommissionDD!$E$6,CommissionDD!$C$6,IF(C144&lt;=CommissionDD!$E$7,CommissionDD!$C$7,IF(C144&lt;=CommissionDD!$E$8,CommissionDD!$C$8,CommissionDD!$C$9))))))</f>
        <v>0.03</v>
      </c>
      <c r="F144" s="23" t="str">
        <f t="shared" si="8"/>
        <v/>
      </c>
      <c r="G144" s="23" t="str">
        <f>IF($B144="","",(Acc!$F144*CommissionDD!$C$30))</f>
        <v/>
      </c>
      <c r="H144" s="23" t="str">
        <f t="shared" si="6"/>
        <v/>
      </c>
    </row>
    <row r="145" spans="1:8">
      <c r="A145" s="21" t="str">
        <f t="shared" si="7"/>
        <v/>
      </c>
      <c r="B145" s="1" t="str">
        <f>IF(Cus!$B145&lt;&gt;"",Cus!$A145,"")</f>
        <v/>
      </c>
      <c r="C145" s="22" t="str">
        <f>IF($B145="","",Cus!$AA145)</f>
        <v/>
      </c>
      <c r="D145" s="23" t="str">
        <f>IF($B145="","",(Acc!$H145*$C145))</f>
        <v/>
      </c>
      <c r="E145" s="24">
        <f>IF(C145&lt;=CommissionDD!$E$3,CommissionDD!$C$3,IF(C145&lt;=CommissionDD!$E$4,CommissionDD!$C$4,IF(C145&lt;=CommissionDD!$E$5,CommissionDD!$C$5,IF(C145&lt;=CommissionDD!$E$6,CommissionDD!$C$6,IF(C145&lt;=CommissionDD!$E$7,CommissionDD!$C$7,IF(C145&lt;=CommissionDD!$E$8,CommissionDD!$C$8,CommissionDD!$C$9))))))</f>
        <v>0.03</v>
      </c>
      <c r="F145" s="23" t="str">
        <f t="shared" si="8"/>
        <v/>
      </c>
      <c r="G145" s="23" t="str">
        <f>IF($B145="","",(Acc!$F145*CommissionDD!$C$30))</f>
        <v/>
      </c>
      <c r="H145" s="23" t="str">
        <f t="shared" si="6"/>
        <v/>
      </c>
    </row>
    <row r="146" spans="1:8">
      <c r="A146" s="21" t="str">
        <f t="shared" si="7"/>
        <v/>
      </c>
      <c r="B146" s="1" t="str">
        <f>IF(Cus!$B146&lt;&gt;"",Cus!$A146,"")</f>
        <v/>
      </c>
      <c r="C146" s="22" t="str">
        <f>IF($B146="","",Cus!$AA146)</f>
        <v/>
      </c>
      <c r="D146" s="23" t="str">
        <f>IF($B146="","",(Acc!$H146*$C146))</f>
        <v/>
      </c>
      <c r="E146" s="24">
        <f>IF(C146&lt;=CommissionDD!$E$3,CommissionDD!$C$3,IF(C146&lt;=CommissionDD!$E$4,CommissionDD!$C$4,IF(C146&lt;=CommissionDD!$E$5,CommissionDD!$C$5,IF(C146&lt;=CommissionDD!$E$6,CommissionDD!$C$6,IF(C146&lt;=CommissionDD!$E$7,CommissionDD!$C$7,IF(C146&lt;=CommissionDD!$E$8,CommissionDD!$C$8,CommissionDD!$C$9))))))</f>
        <v>0.03</v>
      </c>
      <c r="F146" s="23" t="str">
        <f t="shared" si="8"/>
        <v/>
      </c>
      <c r="G146" s="23" t="str">
        <f>IF($B146="","",(Acc!$F146*CommissionDD!$C$30))</f>
        <v/>
      </c>
      <c r="H146" s="23" t="str">
        <f t="shared" si="6"/>
        <v/>
      </c>
    </row>
    <row r="147" spans="1:8">
      <c r="A147" s="21" t="str">
        <f t="shared" si="7"/>
        <v/>
      </c>
      <c r="B147" s="1" t="str">
        <f>IF(Cus!$B147&lt;&gt;"",Cus!$A147,"")</f>
        <v/>
      </c>
      <c r="C147" s="22" t="str">
        <f>IF($B147="","",Cus!$AA147)</f>
        <v/>
      </c>
      <c r="D147" s="23" t="str">
        <f>IF($B147="","",(Acc!$H147*$C147))</f>
        <v/>
      </c>
      <c r="E147" s="24">
        <f>IF(C147&lt;=CommissionDD!$E$3,CommissionDD!$C$3,IF(C147&lt;=CommissionDD!$E$4,CommissionDD!$C$4,IF(C147&lt;=CommissionDD!$E$5,CommissionDD!$C$5,IF(C147&lt;=CommissionDD!$E$6,CommissionDD!$C$6,IF(C147&lt;=CommissionDD!$E$7,CommissionDD!$C$7,IF(C147&lt;=CommissionDD!$E$8,CommissionDD!$C$8,CommissionDD!$C$9))))))</f>
        <v>0.03</v>
      </c>
      <c r="F147" s="23" t="str">
        <f t="shared" si="8"/>
        <v/>
      </c>
      <c r="G147" s="23" t="str">
        <f>IF($B147="","",(Acc!$F147*CommissionDD!$C$30))</f>
        <v/>
      </c>
      <c r="H147" s="23" t="str">
        <f t="shared" si="6"/>
        <v/>
      </c>
    </row>
    <row r="148" spans="1:8">
      <c r="A148" s="21" t="str">
        <f t="shared" si="7"/>
        <v/>
      </c>
      <c r="B148" s="1" t="str">
        <f>IF(Cus!$B148&lt;&gt;"",Cus!$A148,"")</f>
        <v/>
      </c>
      <c r="C148" s="22" t="str">
        <f>IF($B148="","",Cus!$AA148)</f>
        <v/>
      </c>
      <c r="D148" s="23" t="str">
        <f>IF($B148="","",(Acc!$H148*$C148))</f>
        <v/>
      </c>
      <c r="E148" s="24">
        <f>IF(C148&lt;=CommissionDD!$E$3,CommissionDD!$C$3,IF(C148&lt;=CommissionDD!$E$4,CommissionDD!$C$4,IF(C148&lt;=CommissionDD!$E$5,CommissionDD!$C$5,IF(C148&lt;=CommissionDD!$E$6,CommissionDD!$C$6,IF(C148&lt;=CommissionDD!$E$7,CommissionDD!$C$7,IF(C148&lt;=CommissionDD!$E$8,CommissionDD!$C$8,CommissionDD!$C$9))))))</f>
        <v>0.03</v>
      </c>
      <c r="F148" s="23" t="str">
        <f t="shared" si="8"/>
        <v/>
      </c>
      <c r="G148" s="23" t="str">
        <f>IF($B148="","",(Acc!$F148*CommissionDD!$C$30))</f>
        <v/>
      </c>
      <c r="H148" s="23" t="str">
        <f t="shared" si="6"/>
        <v/>
      </c>
    </row>
    <row r="149" spans="1:8">
      <c r="A149" s="21" t="str">
        <f t="shared" si="7"/>
        <v/>
      </c>
      <c r="B149" s="1" t="str">
        <f>IF(Cus!$B149&lt;&gt;"",Cus!$A149,"")</f>
        <v/>
      </c>
      <c r="C149" s="22" t="str">
        <f>IF($B149="","",Cus!$AA149)</f>
        <v/>
      </c>
      <c r="D149" s="23" t="str">
        <f>IF($B149="","",(Acc!$H149*$C149))</f>
        <v/>
      </c>
      <c r="E149" s="24">
        <f>IF(C149&lt;=CommissionDD!$E$3,CommissionDD!$C$3,IF(C149&lt;=CommissionDD!$E$4,CommissionDD!$C$4,IF(C149&lt;=CommissionDD!$E$5,CommissionDD!$C$5,IF(C149&lt;=CommissionDD!$E$6,CommissionDD!$C$6,IF(C149&lt;=CommissionDD!$E$7,CommissionDD!$C$7,IF(C149&lt;=CommissionDD!$E$8,CommissionDD!$C$8,CommissionDD!$C$9))))))</f>
        <v>0.03</v>
      </c>
      <c r="F149" s="23" t="str">
        <f t="shared" si="8"/>
        <v/>
      </c>
      <c r="G149" s="23" t="str">
        <f>IF($B149="","",(Acc!$F149*CommissionDD!$C$30))</f>
        <v/>
      </c>
      <c r="H149" s="23" t="str">
        <f t="shared" si="6"/>
        <v/>
      </c>
    </row>
    <row r="150" spans="1:8">
      <c r="A150" s="21" t="str">
        <f t="shared" si="7"/>
        <v/>
      </c>
      <c r="B150" s="1" t="str">
        <f>IF(Cus!$B150&lt;&gt;"",Cus!$A150,"")</f>
        <v/>
      </c>
      <c r="C150" s="22" t="str">
        <f>IF($B150="","",Cus!$AA150)</f>
        <v/>
      </c>
      <c r="D150" s="23" t="str">
        <f>IF($B150="","",(Acc!$H150*$C150))</f>
        <v/>
      </c>
      <c r="E150" s="24">
        <f>IF(C150&lt;=CommissionDD!$E$3,CommissionDD!$C$3,IF(C150&lt;=CommissionDD!$E$4,CommissionDD!$C$4,IF(C150&lt;=CommissionDD!$E$5,CommissionDD!$C$5,IF(C150&lt;=CommissionDD!$E$6,CommissionDD!$C$6,IF(C150&lt;=CommissionDD!$E$7,CommissionDD!$C$7,IF(C150&lt;=CommissionDD!$E$8,CommissionDD!$C$8,CommissionDD!$C$9))))))</f>
        <v>0.03</v>
      </c>
      <c r="F150" s="23" t="str">
        <f t="shared" si="8"/>
        <v/>
      </c>
      <c r="G150" s="23" t="str">
        <f>IF($B150="","",(Acc!$F150*CommissionDD!$C$30))</f>
        <v/>
      </c>
      <c r="H150" s="23" t="str">
        <f t="shared" si="6"/>
        <v/>
      </c>
    </row>
    <row r="151" spans="1:8">
      <c r="A151" s="21" t="str">
        <f t="shared" si="7"/>
        <v/>
      </c>
      <c r="B151" s="1" t="str">
        <f>IF(Cus!$B151&lt;&gt;"",Cus!$A151,"")</f>
        <v/>
      </c>
      <c r="C151" s="22" t="str">
        <f>IF($B151="","",Cus!$AA151)</f>
        <v/>
      </c>
      <c r="D151" s="23" t="str">
        <f>IF($B151="","",(Acc!$H151*$C151))</f>
        <v/>
      </c>
      <c r="E151" s="24">
        <f>IF(C151&lt;=CommissionDD!$E$3,CommissionDD!$C$3,IF(C151&lt;=CommissionDD!$E$4,CommissionDD!$C$4,IF(C151&lt;=CommissionDD!$E$5,CommissionDD!$C$5,IF(C151&lt;=CommissionDD!$E$6,CommissionDD!$C$6,IF(C151&lt;=CommissionDD!$E$7,CommissionDD!$C$7,IF(C151&lt;=CommissionDD!$E$8,CommissionDD!$C$8,CommissionDD!$C$9))))))</f>
        <v>0.03</v>
      </c>
      <c r="F151" s="23" t="str">
        <f t="shared" si="8"/>
        <v/>
      </c>
      <c r="G151" s="23" t="str">
        <f>IF($B151="","",(Acc!$F151*CommissionDD!$C$30))</f>
        <v/>
      </c>
      <c r="H151" s="23" t="str">
        <f t="shared" si="6"/>
        <v/>
      </c>
    </row>
    <row r="152" spans="1:8">
      <c r="A152" s="21" t="str">
        <f t="shared" si="7"/>
        <v/>
      </c>
      <c r="B152" s="1" t="str">
        <f>IF(Cus!$B152&lt;&gt;"",Cus!$A152,"")</f>
        <v/>
      </c>
      <c r="C152" s="22" t="str">
        <f>IF($B152="","",Cus!$AA152)</f>
        <v/>
      </c>
      <c r="D152" s="23" t="str">
        <f>IF($B152="","",(Acc!$H152*$C152))</f>
        <v/>
      </c>
      <c r="E152" s="24">
        <f>IF(C152&lt;=CommissionDD!$E$3,CommissionDD!$C$3,IF(C152&lt;=CommissionDD!$E$4,CommissionDD!$C$4,IF(C152&lt;=CommissionDD!$E$5,CommissionDD!$C$5,IF(C152&lt;=CommissionDD!$E$6,CommissionDD!$C$6,IF(C152&lt;=CommissionDD!$E$7,CommissionDD!$C$7,IF(C152&lt;=CommissionDD!$E$8,CommissionDD!$C$8,CommissionDD!$C$9))))))</f>
        <v>0.03</v>
      </c>
      <c r="F152" s="23" t="str">
        <f t="shared" si="8"/>
        <v/>
      </c>
      <c r="G152" s="23" t="str">
        <f>IF($B152="","",(Acc!$F152*CommissionDD!$C$30))</f>
        <v/>
      </c>
      <c r="H152" s="23" t="str">
        <f t="shared" si="6"/>
        <v/>
      </c>
    </row>
    <row r="153" spans="1:8">
      <c r="A153" s="21" t="str">
        <f t="shared" si="7"/>
        <v/>
      </c>
      <c r="B153" s="1" t="str">
        <f>IF(Cus!$B153&lt;&gt;"",Cus!$A153,"")</f>
        <v/>
      </c>
      <c r="C153" s="22" t="str">
        <f>IF($B153="","",Cus!$AA153)</f>
        <v/>
      </c>
      <c r="D153" s="23" t="str">
        <f>IF($B153="","",(Acc!$H153*$C153))</f>
        <v/>
      </c>
      <c r="E153" s="24">
        <f>IF(C153&lt;=CommissionDD!$E$3,CommissionDD!$C$3,IF(C153&lt;=CommissionDD!$E$4,CommissionDD!$C$4,IF(C153&lt;=CommissionDD!$E$5,CommissionDD!$C$5,IF(C153&lt;=CommissionDD!$E$6,CommissionDD!$C$6,IF(C153&lt;=CommissionDD!$E$7,CommissionDD!$C$7,IF(C153&lt;=CommissionDD!$E$8,CommissionDD!$C$8,CommissionDD!$C$9))))))</f>
        <v>0.03</v>
      </c>
      <c r="F153" s="23" t="str">
        <f t="shared" si="8"/>
        <v/>
      </c>
      <c r="G153" s="23" t="str">
        <f>IF($B153="","",(Acc!$F153*CommissionDD!$C$30))</f>
        <v/>
      </c>
      <c r="H153" s="23" t="str">
        <f t="shared" si="6"/>
        <v/>
      </c>
    </row>
    <row r="154" spans="1:8">
      <c r="A154" s="21" t="str">
        <f t="shared" si="7"/>
        <v/>
      </c>
      <c r="B154" s="1" t="str">
        <f>IF(Cus!$B154&lt;&gt;"",Cus!$A154,"")</f>
        <v/>
      </c>
      <c r="C154" s="22" t="str">
        <f>IF($B154="","",Cus!$AA154)</f>
        <v/>
      </c>
      <c r="D154" s="23" t="str">
        <f>IF($B154="","",(Acc!$H154*$C154))</f>
        <v/>
      </c>
      <c r="E154" s="24">
        <f>IF(C154&lt;=CommissionDD!$E$3,CommissionDD!$C$3,IF(C154&lt;=CommissionDD!$E$4,CommissionDD!$C$4,IF(C154&lt;=CommissionDD!$E$5,CommissionDD!$C$5,IF(C154&lt;=CommissionDD!$E$6,CommissionDD!$C$6,IF(C154&lt;=CommissionDD!$E$7,CommissionDD!$C$7,IF(C154&lt;=CommissionDD!$E$8,CommissionDD!$C$8,CommissionDD!$C$9))))))</f>
        <v>0.03</v>
      </c>
      <c r="F154" s="23" t="str">
        <f t="shared" si="8"/>
        <v/>
      </c>
      <c r="G154" s="23" t="str">
        <f>IF($B154="","",(Acc!$F154*CommissionDD!$C$30))</f>
        <v/>
      </c>
      <c r="H154" s="23" t="str">
        <f t="shared" si="6"/>
        <v/>
      </c>
    </row>
    <row r="155" spans="1:8">
      <c r="A155" s="21" t="str">
        <f t="shared" si="7"/>
        <v/>
      </c>
      <c r="B155" s="1" t="str">
        <f>IF(Cus!$B155&lt;&gt;"",Cus!$A155,"")</f>
        <v/>
      </c>
      <c r="C155" s="22" t="str">
        <f>IF($B155="","",Cus!$AA155)</f>
        <v/>
      </c>
      <c r="D155" s="23" t="str">
        <f>IF($B155="","",(Acc!$H155*$C155))</f>
        <v/>
      </c>
      <c r="E155" s="24">
        <f>IF(C155&lt;=CommissionDD!$E$3,CommissionDD!$C$3,IF(C155&lt;=CommissionDD!$E$4,CommissionDD!$C$4,IF(C155&lt;=CommissionDD!$E$5,CommissionDD!$C$5,IF(C155&lt;=CommissionDD!$E$6,CommissionDD!$C$6,IF(C155&lt;=CommissionDD!$E$7,CommissionDD!$C$7,IF(C155&lt;=CommissionDD!$E$8,CommissionDD!$C$8,CommissionDD!$C$9))))))</f>
        <v>0.03</v>
      </c>
      <c r="F155" s="23" t="str">
        <f t="shared" si="8"/>
        <v/>
      </c>
      <c r="G155" s="23" t="str">
        <f>IF($B155="","",(Acc!$F155*CommissionDD!$C$30))</f>
        <v/>
      </c>
      <c r="H155" s="23" t="str">
        <f t="shared" si="6"/>
        <v/>
      </c>
    </row>
    <row r="156" spans="1:8">
      <c r="A156" s="21" t="str">
        <f t="shared" si="7"/>
        <v/>
      </c>
      <c r="B156" s="1" t="str">
        <f>IF(Cus!$B156&lt;&gt;"",Cus!$A156,"")</f>
        <v/>
      </c>
      <c r="C156" s="22" t="str">
        <f>IF($B156="","",Cus!$AA156)</f>
        <v/>
      </c>
      <c r="D156" s="23" t="str">
        <f>IF($B156="","",(Acc!$H156*$C156))</f>
        <v/>
      </c>
      <c r="E156" s="24">
        <f>IF(C156&lt;=CommissionDD!$E$3,CommissionDD!$C$3,IF(C156&lt;=CommissionDD!$E$4,CommissionDD!$C$4,IF(C156&lt;=CommissionDD!$E$5,CommissionDD!$C$5,IF(C156&lt;=CommissionDD!$E$6,CommissionDD!$C$6,IF(C156&lt;=CommissionDD!$E$7,CommissionDD!$C$7,IF(C156&lt;=CommissionDD!$E$8,CommissionDD!$C$8,CommissionDD!$C$9))))))</f>
        <v>0.03</v>
      </c>
      <c r="F156" s="23" t="str">
        <f t="shared" si="8"/>
        <v/>
      </c>
      <c r="G156" s="23" t="str">
        <f>IF($B156="","",(Acc!$F156*CommissionDD!$C$30))</f>
        <v/>
      </c>
      <c r="H156" s="23" t="str">
        <f t="shared" si="6"/>
        <v/>
      </c>
    </row>
    <row r="157" spans="1:8">
      <c r="A157" s="21" t="str">
        <f t="shared" si="7"/>
        <v/>
      </c>
      <c r="B157" s="1" t="str">
        <f>IF(Cus!$B157&lt;&gt;"",Cus!$A157,"")</f>
        <v/>
      </c>
      <c r="C157" s="22" t="str">
        <f>IF($B157="","",Cus!$AA157)</f>
        <v/>
      </c>
      <c r="D157" s="23" t="str">
        <f>IF($B157="","",(Acc!$H157*$C157))</f>
        <v/>
      </c>
      <c r="E157" s="24">
        <f>IF(C157&lt;=CommissionDD!$E$3,CommissionDD!$C$3,IF(C157&lt;=CommissionDD!$E$4,CommissionDD!$C$4,IF(C157&lt;=CommissionDD!$E$5,CommissionDD!$C$5,IF(C157&lt;=CommissionDD!$E$6,CommissionDD!$C$6,IF(C157&lt;=CommissionDD!$E$7,CommissionDD!$C$7,IF(C157&lt;=CommissionDD!$E$8,CommissionDD!$C$8,CommissionDD!$C$9))))))</f>
        <v>0.03</v>
      </c>
      <c r="F157" s="23" t="str">
        <f t="shared" si="8"/>
        <v/>
      </c>
      <c r="G157" s="23" t="str">
        <f>IF($B157="","",(Acc!$F157*CommissionDD!$C$30))</f>
        <v/>
      </c>
      <c r="H157" s="23" t="str">
        <f t="shared" si="6"/>
        <v/>
      </c>
    </row>
    <row r="158" spans="1:8">
      <c r="A158" s="21" t="str">
        <f t="shared" si="7"/>
        <v/>
      </c>
      <c r="B158" s="1" t="str">
        <f>IF(Cus!$B158&lt;&gt;"",Cus!$A158,"")</f>
        <v/>
      </c>
      <c r="C158" s="22" t="str">
        <f>IF($B158="","",Cus!$AA158)</f>
        <v/>
      </c>
      <c r="D158" s="23" t="str">
        <f>IF($B158="","",(Acc!$H158*$C158))</f>
        <v/>
      </c>
      <c r="E158" s="24">
        <f>IF(C158&lt;=CommissionDD!$E$3,CommissionDD!$C$3,IF(C158&lt;=CommissionDD!$E$4,CommissionDD!$C$4,IF(C158&lt;=CommissionDD!$E$5,CommissionDD!$C$5,IF(C158&lt;=CommissionDD!$E$6,CommissionDD!$C$6,IF(C158&lt;=CommissionDD!$E$7,CommissionDD!$C$7,IF(C158&lt;=CommissionDD!$E$8,CommissionDD!$C$8,CommissionDD!$C$9))))))</f>
        <v>0.03</v>
      </c>
      <c r="F158" s="23" t="str">
        <f t="shared" si="8"/>
        <v/>
      </c>
      <c r="G158" s="23" t="str">
        <f>IF($B158="","",(Acc!$F158*CommissionDD!$C$30))</f>
        <v/>
      </c>
      <c r="H158" s="23" t="str">
        <f t="shared" si="6"/>
        <v/>
      </c>
    </row>
    <row r="159" spans="1:8">
      <c r="A159" s="21" t="str">
        <f t="shared" si="7"/>
        <v/>
      </c>
      <c r="B159" s="1" t="str">
        <f>IF(Cus!$B159&lt;&gt;"",Cus!$A159,"")</f>
        <v/>
      </c>
      <c r="C159" s="22" t="str">
        <f>IF($B159="","",Cus!$AA159)</f>
        <v/>
      </c>
      <c r="D159" s="23" t="str">
        <f>IF($B159="","",(Acc!$H159*$C159))</f>
        <v/>
      </c>
      <c r="E159" s="24">
        <f>IF(C159&lt;=CommissionDD!$E$3,CommissionDD!$C$3,IF(C159&lt;=CommissionDD!$E$4,CommissionDD!$C$4,IF(C159&lt;=CommissionDD!$E$5,CommissionDD!$C$5,IF(C159&lt;=CommissionDD!$E$6,CommissionDD!$C$6,IF(C159&lt;=CommissionDD!$E$7,CommissionDD!$C$7,IF(C159&lt;=CommissionDD!$E$8,CommissionDD!$C$8,CommissionDD!$C$9))))))</f>
        <v>0.03</v>
      </c>
      <c r="F159" s="23" t="str">
        <f t="shared" si="8"/>
        <v/>
      </c>
      <c r="G159" s="23" t="str">
        <f>IF($B159="","",(Acc!$F159*CommissionDD!$C$30))</f>
        <v/>
      </c>
      <c r="H159" s="23" t="str">
        <f t="shared" si="6"/>
        <v/>
      </c>
    </row>
    <row r="160" spans="1:8">
      <c r="A160" s="21" t="str">
        <f t="shared" si="7"/>
        <v/>
      </c>
      <c r="B160" s="1" t="str">
        <f>IF(Cus!$B160&lt;&gt;"",Cus!$A160,"")</f>
        <v/>
      </c>
      <c r="C160" s="22" t="str">
        <f>IF($B160="","",Cus!$AA160)</f>
        <v/>
      </c>
      <c r="D160" s="23" t="str">
        <f>IF($B160="","",(Acc!$H160*$C160))</f>
        <v/>
      </c>
      <c r="E160" s="24">
        <f>IF(C160&lt;=CommissionDD!$E$3,CommissionDD!$C$3,IF(C160&lt;=CommissionDD!$E$4,CommissionDD!$C$4,IF(C160&lt;=CommissionDD!$E$5,CommissionDD!$C$5,IF(C160&lt;=CommissionDD!$E$6,CommissionDD!$C$6,IF(C160&lt;=CommissionDD!$E$7,CommissionDD!$C$7,IF(C160&lt;=CommissionDD!$E$8,CommissionDD!$C$8,CommissionDD!$C$9))))))</f>
        <v>0.03</v>
      </c>
      <c r="F160" s="23" t="str">
        <f t="shared" si="8"/>
        <v/>
      </c>
      <c r="G160" s="23" t="str">
        <f>IF($B160="","",(Acc!$F160*CommissionDD!$C$30))</f>
        <v/>
      </c>
      <c r="H160" s="23" t="str">
        <f t="shared" si="6"/>
        <v/>
      </c>
    </row>
    <row r="161" spans="1:8">
      <c r="A161" s="21" t="str">
        <f t="shared" si="7"/>
        <v/>
      </c>
      <c r="B161" s="1" t="str">
        <f>IF(Cus!$B161&lt;&gt;"",Cus!$A161,"")</f>
        <v/>
      </c>
      <c r="C161" s="22" t="str">
        <f>IF($B161="","",Cus!$AA161)</f>
        <v/>
      </c>
      <c r="D161" s="23" t="str">
        <f>IF($B161="","",(Acc!$H161*$C161))</f>
        <v/>
      </c>
      <c r="E161" s="24">
        <f>IF(C161&lt;=CommissionDD!$E$3,CommissionDD!$C$3,IF(C161&lt;=CommissionDD!$E$4,CommissionDD!$C$4,IF(C161&lt;=CommissionDD!$E$5,CommissionDD!$C$5,IF(C161&lt;=CommissionDD!$E$6,CommissionDD!$C$6,IF(C161&lt;=CommissionDD!$E$7,CommissionDD!$C$7,IF(C161&lt;=CommissionDD!$E$8,CommissionDD!$C$8,CommissionDD!$C$9))))))</f>
        <v>0.03</v>
      </c>
      <c r="F161" s="23" t="str">
        <f t="shared" si="8"/>
        <v/>
      </c>
      <c r="G161" s="23" t="str">
        <f>IF($B161="","",(Acc!$F161*CommissionDD!$C$30))</f>
        <v/>
      </c>
      <c r="H161" s="23" t="str">
        <f t="shared" si="6"/>
        <v/>
      </c>
    </row>
    <row r="162" spans="1:8">
      <c r="A162" s="21" t="str">
        <f t="shared" si="7"/>
        <v/>
      </c>
      <c r="B162" s="1" t="str">
        <f>IF(Cus!$B162&lt;&gt;"",Cus!$A162,"")</f>
        <v/>
      </c>
      <c r="C162" s="22" t="str">
        <f>IF($B162="","",Cus!$AA162)</f>
        <v/>
      </c>
      <c r="D162" s="23" t="str">
        <f>IF($B162="","",(Acc!$H162*$C162))</f>
        <v/>
      </c>
      <c r="E162" s="24">
        <f>IF(C162&lt;=CommissionDD!$E$3,CommissionDD!$C$3,IF(C162&lt;=CommissionDD!$E$4,CommissionDD!$C$4,IF(C162&lt;=CommissionDD!$E$5,CommissionDD!$C$5,IF(C162&lt;=CommissionDD!$E$6,CommissionDD!$C$6,IF(C162&lt;=CommissionDD!$E$7,CommissionDD!$C$7,IF(C162&lt;=CommissionDD!$E$8,CommissionDD!$C$8,CommissionDD!$C$9))))))</f>
        <v>0.03</v>
      </c>
      <c r="F162" s="23" t="str">
        <f t="shared" si="8"/>
        <v/>
      </c>
      <c r="G162" s="23" t="str">
        <f>IF($B162="","",(Acc!$F162*CommissionDD!$C$30))</f>
        <v/>
      </c>
      <c r="H162" s="23" t="str">
        <f t="shared" si="6"/>
        <v/>
      </c>
    </row>
    <row r="163" spans="1:8">
      <c r="A163" s="21" t="str">
        <f t="shared" si="7"/>
        <v/>
      </c>
      <c r="B163" s="1" t="str">
        <f>IF(Cus!$B163&lt;&gt;"",Cus!$A163,"")</f>
        <v/>
      </c>
      <c r="C163" s="22" t="str">
        <f>IF($B163="","",Cus!$AA163)</f>
        <v/>
      </c>
      <c r="D163" s="23" t="str">
        <f>IF($B163="","",(Acc!$H163*$C163))</f>
        <v/>
      </c>
      <c r="E163" s="24">
        <f>IF(C163&lt;=CommissionDD!$E$3,CommissionDD!$C$3,IF(C163&lt;=CommissionDD!$E$4,CommissionDD!$C$4,IF(C163&lt;=CommissionDD!$E$5,CommissionDD!$C$5,IF(C163&lt;=CommissionDD!$E$6,CommissionDD!$C$6,IF(C163&lt;=CommissionDD!$E$7,CommissionDD!$C$7,IF(C163&lt;=CommissionDD!$E$8,CommissionDD!$C$8,CommissionDD!$C$9))))))</f>
        <v>0.03</v>
      </c>
      <c r="F163" s="23" t="str">
        <f t="shared" si="8"/>
        <v/>
      </c>
      <c r="G163" s="23" t="str">
        <f>IF($B163="","",(Acc!$F163*CommissionDD!$C$30))</f>
        <v/>
      </c>
      <c r="H163" s="23" t="str">
        <f t="shared" si="6"/>
        <v/>
      </c>
    </row>
    <row r="164" spans="1:8">
      <c r="A164" s="21" t="str">
        <f t="shared" si="7"/>
        <v/>
      </c>
      <c r="B164" s="1" t="str">
        <f>IF(Cus!$B164&lt;&gt;"",Cus!$A164,"")</f>
        <v/>
      </c>
      <c r="C164" s="22" t="str">
        <f>IF($B164="","",Cus!$AA164)</f>
        <v/>
      </c>
      <c r="D164" s="23" t="str">
        <f>IF($B164="","",(Acc!$H164*$C164))</f>
        <v/>
      </c>
      <c r="E164" s="24">
        <f>IF(C164&lt;=CommissionDD!$E$3,CommissionDD!$C$3,IF(C164&lt;=CommissionDD!$E$4,CommissionDD!$C$4,IF(C164&lt;=CommissionDD!$E$5,CommissionDD!$C$5,IF(C164&lt;=CommissionDD!$E$6,CommissionDD!$C$6,IF(C164&lt;=CommissionDD!$E$7,CommissionDD!$C$7,IF(C164&lt;=CommissionDD!$E$8,CommissionDD!$C$8,CommissionDD!$C$9))))))</f>
        <v>0.03</v>
      </c>
      <c r="F164" s="23" t="str">
        <f t="shared" si="8"/>
        <v/>
      </c>
      <c r="G164" s="23" t="str">
        <f>IF($B164="","",(Acc!$F164*CommissionDD!$C$30))</f>
        <v/>
      </c>
      <c r="H164" s="23" t="str">
        <f t="shared" si="6"/>
        <v/>
      </c>
    </row>
    <row r="165" spans="1:8">
      <c r="A165" s="21" t="str">
        <f t="shared" si="7"/>
        <v/>
      </c>
      <c r="B165" s="1" t="str">
        <f>IF(Cus!$B165&lt;&gt;"",Cus!$A165,"")</f>
        <v/>
      </c>
      <c r="C165" s="22" t="str">
        <f>IF($B165="","",Cus!$AA165)</f>
        <v/>
      </c>
      <c r="D165" s="23" t="str">
        <f>IF($B165="","",(Acc!$H165*$C165))</f>
        <v/>
      </c>
      <c r="E165" s="24">
        <f>IF(C165&lt;=CommissionDD!$E$3,CommissionDD!$C$3,IF(C165&lt;=CommissionDD!$E$4,CommissionDD!$C$4,IF(C165&lt;=CommissionDD!$E$5,CommissionDD!$C$5,IF(C165&lt;=CommissionDD!$E$6,CommissionDD!$C$6,IF(C165&lt;=CommissionDD!$E$7,CommissionDD!$C$7,IF(C165&lt;=CommissionDD!$E$8,CommissionDD!$C$8,CommissionDD!$C$9))))))</f>
        <v>0.03</v>
      </c>
      <c r="F165" s="23" t="str">
        <f t="shared" si="8"/>
        <v/>
      </c>
      <c r="G165" s="23" t="str">
        <f>IF($B165="","",(Acc!$F165*CommissionDD!$C$30))</f>
        <v/>
      </c>
      <c r="H165" s="23" t="str">
        <f t="shared" si="6"/>
        <v/>
      </c>
    </row>
    <row r="166" spans="1:8">
      <c r="A166" s="21" t="str">
        <f t="shared" si="7"/>
        <v/>
      </c>
      <c r="B166" s="1" t="str">
        <f>IF(Cus!$B166&lt;&gt;"",Cus!$A166,"")</f>
        <v/>
      </c>
      <c r="C166" s="22" t="str">
        <f>IF($B166="","",Cus!$AA166)</f>
        <v/>
      </c>
      <c r="D166" s="23" t="str">
        <f>IF($B166="","",(Acc!$H166*$C166))</f>
        <v/>
      </c>
      <c r="E166" s="24">
        <f>IF(C166&lt;=CommissionDD!$E$3,CommissionDD!$C$3,IF(C166&lt;=CommissionDD!$E$4,CommissionDD!$C$4,IF(C166&lt;=CommissionDD!$E$5,CommissionDD!$C$5,IF(C166&lt;=CommissionDD!$E$6,CommissionDD!$C$6,IF(C166&lt;=CommissionDD!$E$7,CommissionDD!$C$7,IF(C166&lt;=CommissionDD!$E$8,CommissionDD!$C$8,CommissionDD!$C$9))))))</f>
        <v>0.03</v>
      </c>
      <c r="F166" s="23" t="str">
        <f t="shared" si="8"/>
        <v/>
      </c>
      <c r="G166" s="23" t="str">
        <f>IF($B166="","",(Acc!$F166*CommissionDD!$C$30))</f>
        <v/>
      </c>
      <c r="H166" s="23" t="str">
        <f t="shared" si="6"/>
        <v/>
      </c>
    </row>
    <row r="167" spans="1:8">
      <c r="A167" s="21" t="str">
        <f t="shared" si="7"/>
        <v/>
      </c>
      <c r="B167" s="1" t="str">
        <f>IF(Cus!$B167&lt;&gt;"",Cus!$A167,"")</f>
        <v/>
      </c>
      <c r="C167" s="22" t="str">
        <f>IF($B167="","",Cus!$AA167)</f>
        <v/>
      </c>
      <c r="D167" s="23" t="str">
        <f>IF($B167="","",(Acc!$H167*$C167))</f>
        <v/>
      </c>
      <c r="E167" s="24">
        <f>IF(C167&lt;=CommissionDD!$E$3,CommissionDD!$C$3,IF(C167&lt;=CommissionDD!$E$4,CommissionDD!$C$4,IF(C167&lt;=CommissionDD!$E$5,CommissionDD!$C$5,IF(C167&lt;=CommissionDD!$E$6,CommissionDD!$C$6,IF(C167&lt;=CommissionDD!$E$7,CommissionDD!$C$7,IF(C167&lt;=CommissionDD!$E$8,CommissionDD!$C$8,CommissionDD!$C$9))))))</f>
        <v>0.03</v>
      </c>
      <c r="F167" s="23" t="str">
        <f t="shared" si="8"/>
        <v/>
      </c>
      <c r="G167" s="23" t="str">
        <f>IF($B167="","",(Acc!$F167*CommissionDD!$C$30))</f>
        <v/>
      </c>
      <c r="H167" s="23" t="str">
        <f t="shared" si="6"/>
        <v/>
      </c>
    </row>
    <row r="168" spans="1:8">
      <c r="A168" s="21" t="str">
        <f t="shared" si="7"/>
        <v/>
      </c>
      <c r="B168" s="1" t="str">
        <f>IF(Cus!$B168&lt;&gt;"",Cus!$A168,"")</f>
        <v/>
      </c>
      <c r="C168" s="22" t="str">
        <f>IF($B168="","",Cus!$AA168)</f>
        <v/>
      </c>
      <c r="D168" s="23" t="str">
        <f>IF($B168="","",(Acc!$H168*$C168))</f>
        <v/>
      </c>
      <c r="E168" s="24">
        <f>IF(C168&lt;=CommissionDD!$E$3,CommissionDD!$C$3,IF(C168&lt;=CommissionDD!$E$4,CommissionDD!$C$4,IF(C168&lt;=CommissionDD!$E$5,CommissionDD!$C$5,IF(C168&lt;=CommissionDD!$E$6,CommissionDD!$C$6,IF(C168&lt;=CommissionDD!$E$7,CommissionDD!$C$7,IF(C168&lt;=CommissionDD!$E$8,CommissionDD!$C$8,CommissionDD!$C$9))))))</f>
        <v>0.03</v>
      </c>
      <c r="F168" s="23" t="str">
        <f t="shared" si="8"/>
        <v/>
      </c>
      <c r="G168" s="23" t="str">
        <f>IF($B168="","",(Acc!$F168*CommissionDD!$C$30))</f>
        <v/>
      </c>
      <c r="H168" s="23" t="str">
        <f t="shared" si="6"/>
        <v/>
      </c>
    </row>
    <row r="169" spans="1:8">
      <c r="A169" s="21" t="str">
        <f t="shared" si="7"/>
        <v/>
      </c>
      <c r="B169" s="1" t="str">
        <f>IF(Cus!$B169&lt;&gt;"",Cus!$A169,"")</f>
        <v/>
      </c>
      <c r="C169" s="22" t="str">
        <f>IF($B169="","",Cus!$AA169)</f>
        <v/>
      </c>
      <c r="D169" s="23" t="str">
        <f>IF($B169="","",(Acc!$H169*$C169))</f>
        <v/>
      </c>
      <c r="E169" s="24">
        <f>IF(C169&lt;=CommissionDD!$E$3,CommissionDD!$C$3,IF(C169&lt;=CommissionDD!$E$4,CommissionDD!$C$4,IF(C169&lt;=CommissionDD!$E$5,CommissionDD!$C$5,IF(C169&lt;=CommissionDD!$E$6,CommissionDD!$C$6,IF(C169&lt;=CommissionDD!$E$7,CommissionDD!$C$7,IF(C169&lt;=CommissionDD!$E$8,CommissionDD!$C$8,CommissionDD!$C$9))))))</f>
        <v>0.03</v>
      </c>
      <c r="F169" s="23" t="str">
        <f t="shared" si="8"/>
        <v/>
      </c>
      <c r="G169" s="23" t="str">
        <f>IF($B169="","",(Acc!$F169*CommissionDD!$C$30))</f>
        <v/>
      </c>
      <c r="H169" s="23" t="str">
        <f t="shared" si="6"/>
        <v/>
      </c>
    </row>
    <row r="170" spans="1:8">
      <c r="A170" s="21" t="str">
        <f t="shared" si="7"/>
        <v/>
      </c>
      <c r="B170" s="1" t="str">
        <f>IF(Cus!$B170&lt;&gt;"",Cus!$A170,"")</f>
        <v/>
      </c>
      <c r="C170" s="22" t="str">
        <f>IF($B170="","",Cus!$AA170)</f>
        <v/>
      </c>
      <c r="D170" s="23" t="str">
        <f>IF($B170="","",(Acc!$H170*$C170))</f>
        <v/>
      </c>
      <c r="E170" s="24">
        <f>IF(C170&lt;=CommissionDD!$E$3,CommissionDD!$C$3,IF(C170&lt;=CommissionDD!$E$4,CommissionDD!$C$4,IF(C170&lt;=CommissionDD!$E$5,CommissionDD!$C$5,IF(C170&lt;=CommissionDD!$E$6,CommissionDD!$C$6,IF(C170&lt;=CommissionDD!$E$7,CommissionDD!$C$7,IF(C170&lt;=CommissionDD!$E$8,CommissionDD!$C$8,CommissionDD!$C$9))))))</f>
        <v>0.03</v>
      </c>
      <c r="F170" s="23" t="str">
        <f t="shared" si="8"/>
        <v/>
      </c>
      <c r="G170" s="23" t="str">
        <f>IF($B170="","",(Acc!$F170*CommissionDD!$C$30))</f>
        <v/>
      </c>
      <c r="H170" s="23" t="str">
        <f t="shared" si="6"/>
        <v/>
      </c>
    </row>
    <row r="171" spans="1:8">
      <c r="A171" s="21" t="str">
        <f t="shared" si="7"/>
        <v/>
      </c>
      <c r="B171" s="1" t="str">
        <f>IF(Cus!$B171&lt;&gt;"",Cus!$A171,"")</f>
        <v/>
      </c>
      <c r="C171" s="22" t="str">
        <f>IF($B171="","",Cus!$AA171)</f>
        <v/>
      </c>
      <c r="D171" s="23" t="str">
        <f>IF($B171="","",(Acc!$H171*$C171))</f>
        <v/>
      </c>
      <c r="E171" s="24">
        <f>IF(C171&lt;=CommissionDD!$E$3,CommissionDD!$C$3,IF(C171&lt;=CommissionDD!$E$4,CommissionDD!$C$4,IF(C171&lt;=CommissionDD!$E$5,CommissionDD!$C$5,IF(C171&lt;=CommissionDD!$E$6,CommissionDD!$C$6,IF(C171&lt;=CommissionDD!$E$7,CommissionDD!$C$7,IF(C171&lt;=CommissionDD!$E$8,CommissionDD!$C$8,CommissionDD!$C$9))))))</f>
        <v>0.03</v>
      </c>
      <c r="F171" s="23" t="str">
        <f t="shared" si="8"/>
        <v/>
      </c>
      <c r="G171" s="23" t="str">
        <f>IF($B171="","",(Acc!$F171*CommissionDD!$C$30))</f>
        <v/>
      </c>
      <c r="H171" s="23" t="str">
        <f t="shared" si="6"/>
        <v/>
      </c>
    </row>
    <row r="172" spans="1:8">
      <c r="A172" s="21" t="str">
        <f t="shared" si="7"/>
        <v/>
      </c>
      <c r="B172" s="1" t="str">
        <f>IF(Cus!$B172&lt;&gt;"",Cus!$A172,"")</f>
        <v/>
      </c>
      <c r="C172" s="22" t="str">
        <f>IF($B172="","",Cus!$AA172)</f>
        <v/>
      </c>
      <c r="D172" s="23" t="str">
        <f>IF($B172="","",(Acc!$H172*$C172))</f>
        <v/>
      </c>
      <c r="E172" s="24">
        <f>IF(C172&lt;=CommissionDD!$E$3,CommissionDD!$C$3,IF(C172&lt;=CommissionDD!$E$4,CommissionDD!$C$4,IF(C172&lt;=CommissionDD!$E$5,CommissionDD!$C$5,IF(C172&lt;=CommissionDD!$E$6,CommissionDD!$C$6,IF(C172&lt;=CommissionDD!$E$7,CommissionDD!$C$7,IF(C172&lt;=CommissionDD!$E$8,CommissionDD!$C$8,CommissionDD!$C$9))))))</f>
        <v>0.03</v>
      </c>
      <c r="F172" s="23" t="str">
        <f t="shared" si="8"/>
        <v/>
      </c>
      <c r="G172" s="23" t="str">
        <f>IF($B172="","",(Acc!$F172*CommissionDD!$C$30))</f>
        <v/>
      </c>
      <c r="H172" s="23" t="str">
        <f t="shared" si="6"/>
        <v/>
      </c>
    </row>
    <row r="173" spans="1:8">
      <c r="A173" s="21" t="str">
        <f t="shared" si="7"/>
        <v/>
      </c>
      <c r="B173" s="1" t="str">
        <f>IF(Cus!$B173&lt;&gt;"",Cus!$A173,"")</f>
        <v/>
      </c>
      <c r="C173" s="22" t="str">
        <f>IF($B173="","",Cus!$AA173)</f>
        <v/>
      </c>
      <c r="D173" s="23" t="str">
        <f>IF($B173="","",(Acc!$H173*$C173))</f>
        <v/>
      </c>
      <c r="E173" s="24">
        <f>IF(C173&lt;=CommissionDD!$E$3,CommissionDD!$C$3,IF(C173&lt;=CommissionDD!$E$4,CommissionDD!$C$4,IF(C173&lt;=CommissionDD!$E$5,CommissionDD!$C$5,IF(C173&lt;=CommissionDD!$E$6,CommissionDD!$C$6,IF(C173&lt;=CommissionDD!$E$7,CommissionDD!$C$7,IF(C173&lt;=CommissionDD!$E$8,CommissionDD!$C$8,CommissionDD!$C$9))))))</f>
        <v>0.03</v>
      </c>
      <c r="F173" s="23" t="str">
        <f t="shared" si="8"/>
        <v/>
      </c>
      <c r="G173" s="23" t="str">
        <f>IF($B173="","",(Acc!$F173*CommissionDD!$C$30))</f>
        <v/>
      </c>
      <c r="H173" s="23" t="str">
        <f t="shared" si="6"/>
        <v/>
      </c>
    </row>
    <row r="174" spans="1:8">
      <c r="A174" s="21" t="str">
        <f t="shared" si="7"/>
        <v/>
      </c>
      <c r="B174" s="1" t="str">
        <f>IF(Cus!$B174&lt;&gt;"",Cus!$A174,"")</f>
        <v/>
      </c>
      <c r="C174" s="22" t="str">
        <f>IF($B174="","",Cus!$AA174)</f>
        <v/>
      </c>
      <c r="D174" s="23" t="str">
        <f>IF($B174="","",(Acc!$H174*$C174))</f>
        <v/>
      </c>
      <c r="E174" s="24">
        <f>IF(C174&lt;=CommissionDD!$E$3,CommissionDD!$C$3,IF(C174&lt;=CommissionDD!$E$4,CommissionDD!$C$4,IF(C174&lt;=CommissionDD!$E$5,CommissionDD!$C$5,IF(C174&lt;=CommissionDD!$E$6,CommissionDD!$C$6,IF(C174&lt;=CommissionDD!$E$7,CommissionDD!$C$7,IF(C174&lt;=CommissionDD!$E$8,CommissionDD!$C$8,CommissionDD!$C$9))))))</f>
        <v>0.03</v>
      </c>
      <c r="F174" s="23" t="str">
        <f t="shared" si="8"/>
        <v/>
      </c>
      <c r="G174" s="23" t="str">
        <f>IF($B174="","",(Acc!$F174*CommissionDD!$C$30))</f>
        <v/>
      </c>
      <c r="H174" s="23" t="str">
        <f t="shared" si="6"/>
        <v/>
      </c>
    </row>
    <row r="175" spans="1:8">
      <c r="A175" s="21">
        <f t="shared" si="7"/>
        <v>174</v>
      </c>
      <c r="B175" s="1" t="str">
        <f>IF(Cus!$B175&lt;&gt;"",Cus!$A175,"")</f>
        <v>K0000174</v>
      </c>
      <c r="C175" s="22">
        <f>IF($B175="","",Cus!$AA175)</f>
        <v>0</v>
      </c>
      <c r="D175" s="23">
        <f>IF($B175="","",(Acc!$H175*$C175))</f>
        <v>0</v>
      </c>
      <c r="E175" s="24">
        <f>IF(C175&lt;=CommissionDD!$E$3,CommissionDD!$C$3,IF(C175&lt;=CommissionDD!$E$4,CommissionDD!$C$4,IF(C175&lt;=CommissionDD!$E$5,CommissionDD!$C$5,IF(C175&lt;=CommissionDD!$E$6,CommissionDD!$C$6,IF(C175&lt;=CommissionDD!$E$7,CommissionDD!$C$7,IF(C175&lt;=CommissionDD!$E$8,CommissionDD!$C$8,CommissionDD!$C$9))))))</f>
        <v>0.12</v>
      </c>
      <c r="F175" s="23">
        <f t="shared" si="8"/>
        <v>0</v>
      </c>
      <c r="G175" s="23">
        <f>IF($B175="","",(Acc!$F175*CommissionDD!$C$30))</f>
        <v>150</v>
      </c>
      <c r="H175" s="23">
        <f t="shared" si="6"/>
        <v>150</v>
      </c>
    </row>
    <row r="176" spans="1:8">
      <c r="A176" s="21">
        <f t="shared" si="7"/>
        <v>175</v>
      </c>
      <c r="B176" s="1" t="str">
        <f>IF(Cus!$B176&lt;&gt;"",Cus!$A176,"")</f>
        <v>K0000175</v>
      </c>
      <c r="C176" s="22">
        <f>IF($B176="","",Cus!$AA176)</f>
        <v>1</v>
      </c>
      <c r="D176" s="23">
        <f>IF($B176="","",(Acc!$H176*$C176))</f>
        <v>395</v>
      </c>
      <c r="E176" s="24">
        <f>IF(C176&lt;=CommissionDD!$E$3,CommissionDD!$C$3,IF(C176&lt;=CommissionDD!$E$4,CommissionDD!$C$4,IF(C176&lt;=CommissionDD!$E$5,CommissionDD!$C$5,IF(C176&lt;=CommissionDD!$E$6,CommissionDD!$C$6,IF(C176&lt;=CommissionDD!$E$7,CommissionDD!$C$7,IF(C176&lt;=CommissionDD!$E$8,CommissionDD!$C$8,CommissionDD!$C$9))))))</f>
        <v>0.12</v>
      </c>
      <c r="F176" s="23">
        <f t="shared" si="8"/>
        <v>47.4</v>
      </c>
      <c r="G176" s="23">
        <f>IF($B176="","",(Acc!$F176*CommissionDD!$C$30))</f>
        <v>150</v>
      </c>
      <c r="H176" s="23">
        <f t="shared" si="6"/>
        <v>197.4</v>
      </c>
    </row>
    <row r="177" spans="1:8">
      <c r="A177" s="21" t="str">
        <f t="shared" si="7"/>
        <v/>
      </c>
      <c r="B177" s="1" t="str">
        <f>IF(Cus!$B177&lt;&gt;"",Cus!$A177,"")</f>
        <v/>
      </c>
      <c r="C177" s="22" t="str">
        <f>IF($B177="","",Cus!$AA177)</f>
        <v/>
      </c>
      <c r="D177" s="23" t="str">
        <f>IF($B177="","",(Acc!$H177*$C177))</f>
        <v/>
      </c>
      <c r="E177" s="24">
        <f>IF(C177&lt;=CommissionDD!$E$3,CommissionDD!$C$3,IF(C177&lt;=CommissionDD!$E$4,CommissionDD!$C$4,IF(C177&lt;=CommissionDD!$E$5,CommissionDD!$C$5,IF(C177&lt;=CommissionDD!$E$6,CommissionDD!$C$6,IF(C177&lt;=CommissionDD!$E$7,CommissionDD!$C$7,IF(C177&lt;=CommissionDD!$E$8,CommissionDD!$C$8,CommissionDD!$C$9))))))</f>
        <v>0.03</v>
      </c>
      <c r="F177" s="23" t="str">
        <f t="shared" si="8"/>
        <v/>
      </c>
      <c r="G177" s="23" t="str">
        <f>IF($B177="","",(Acc!$F177*CommissionDD!$C$30))</f>
        <v/>
      </c>
      <c r="H177" s="23" t="str">
        <f t="shared" si="6"/>
        <v/>
      </c>
    </row>
    <row r="178" spans="1:8">
      <c r="A178" s="21" t="str">
        <f t="shared" si="7"/>
        <v/>
      </c>
      <c r="B178" s="1" t="str">
        <f>IF(Cus!$B178&lt;&gt;"",Cus!$A178,"")</f>
        <v/>
      </c>
      <c r="C178" s="22" t="str">
        <f>IF($B178="","",Cus!$AA178)</f>
        <v/>
      </c>
      <c r="D178" s="23" t="str">
        <f>IF($B178="","",(Acc!$H178*$C178))</f>
        <v/>
      </c>
      <c r="E178" s="24">
        <f>IF(C178&lt;=CommissionDD!$E$3,CommissionDD!$C$3,IF(C178&lt;=CommissionDD!$E$4,CommissionDD!$C$4,IF(C178&lt;=CommissionDD!$E$5,CommissionDD!$C$5,IF(C178&lt;=CommissionDD!$E$6,CommissionDD!$C$6,IF(C178&lt;=CommissionDD!$E$7,CommissionDD!$C$7,IF(C178&lt;=CommissionDD!$E$8,CommissionDD!$C$8,CommissionDD!$C$9))))))</f>
        <v>0.03</v>
      </c>
      <c r="F178" s="23" t="str">
        <f t="shared" si="8"/>
        <v/>
      </c>
      <c r="G178" s="23" t="str">
        <f>IF($B178="","",(Acc!$F178*CommissionDD!$C$30))</f>
        <v/>
      </c>
      <c r="H178" s="23" t="str">
        <f t="shared" si="6"/>
        <v/>
      </c>
    </row>
    <row r="179" spans="1:8">
      <c r="A179" s="21" t="str">
        <f t="shared" si="7"/>
        <v/>
      </c>
      <c r="B179" s="1" t="str">
        <f>IF(Cus!$B179&lt;&gt;"",Cus!$A179,"")</f>
        <v/>
      </c>
      <c r="C179" s="22" t="str">
        <f>IF($B179="","",Cus!$AA179)</f>
        <v/>
      </c>
      <c r="D179" s="23" t="str">
        <f>IF($B179="","",(Acc!$H179*$C179))</f>
        <v/>
      </c>
      <c r="E179" s="24">
        <f>IF(C179&lt;=CommissionDD!$E$3,CommissionDD!$C$3,IF(C179&lt;=CommissionDD!$E$4,CommissionDD!$C$4,IF(C179&lt;=CommissionDD!$E$5,CommissionDD!$C$5,IF(C179&lt;=CommissionDD!$E$6,CommissionDD!$C$6,IF(C179&lt;=CommissionDD!$E$7,CommissionDD!$C$7,IF(C179&lt;=CommissionDD!$E$8,CommissionDD!$C$8,CommissionDD!$C$9))))))</f>
        <v>0.03</v>
      </c>
      <c r="F179" s="23" t="str">
        <f t="shared" si="8"/>
        <v/>
      </c>
      <c r="G179" s="23" t="str">
        <f>IF($B179="","",(Acc!$F179*CommissionDD!$C$30))</f>
        <v/>
      </c>
      <c r="H179" s="23" t="str">
        <f t="shared" si="6"/>
        <v/>
      </c>
    </row>
    <row r="180" spans="1:8">
      <c r="A180" s="21" t="str">
        <f t="shared" si="7"/>
        <v/>
      </c>
      <c r="B180" s="1" t="str">
        <f>IF(Cus!$B180&lt;&gt;"",Cus!$A180,"")</f>
        <v/>
      </c>
      <c r="C180" s="22" t="str">
        <f>IF($B180="","",Cus!$AA180)</f>
        <v/>
      </c>
      <c r="D180" s="23" t="str">
        <f>IF($B180="","",(Acc!$H180*$C180))</f>
        <v/>
      </c>
      <c r="E180" s="24">
        <f>IF(C180&lt;=CommissionDD!$E$3,CommissionDD!$C$3,IF(C180&lt;=CommissionDD!$E$4,CommissionDD!$C$4,IF(C180&lt;=CommissionDD!$E$5,CommissionDD!$C$5,IF(C180&lt;=CommissionDD!$E$6,CommissionDD!$C$6,IF(C180&lt;=CommissionDD!$E$7,CommissionDD!$C$7,IF(C180&lt;=CommissionDD!$E$8,CommissionDD!$C$8,CommissionDD!$C$9))))))</f>
        <v>0.03</v>
      </c>
      <c r="F180" s="23" t="str">
        <f t="shared" si="8"/>
        <v/>
      </c>
      <c r="G180" s="23" t="str">
        <f>IF($B180="","",(Acc!$F180*CommissionDD!$C$30))</f>
        <v/>
      </c>
      <c r="H180" s="23" t="str">
        <f t="shared" si="6"/>
        <v/>
      </c>
    </row>
    <row r="181" spans="1:8">
      <c r="A181" s="21" t="str">
        <f t="shared" si="7"/>
        <v/>
      </c>
      <c r="B181" s="1" t="str">
        <f>IF(Cus!$B181&lt;&gt;"",Cus!$A181,"")</f>
        <v/>
      </c>
      <c r="C181" s="22" t="str">
        <f>IF($B181="","",Cus!$AA181)</f>
        <v/>
      </c>
      <c r="D181" s="23" t="str">
        <f>IF($B181="","",(Acc!$H181*$C181))</f>
        <v/>
      </c>
      <c r="E181" s="24">
        <f>IF(C181&lt;=CommissionDD!$E$3,CommissionDD!$C$3,IF(C181&lt;=CommissionDD!$E$4,CommissionDD!$C$4,IF(C181&lt;=CommissionDD!$E$5,CommissionDD!$C$5,IF(C181&lt;=CommissionDD!$E$6,CommissionDD!$C$6,IF(C181&lt;=CommissionDD!$E$7,CommissionDD!$C$7,IF(C181&lt;=CommissionDD!$E$8,CommissionDD!$C$8,CommissionDD!$C$9))))))</f>
        <v>0.03</v>
      </c>
      <c r="F181" s="23" t="str">
        <f t="shared" si="8"/>
        <v/>
      </c>
      <c r="G181" s="23" t="str">
        <f>IF($B181="","",(Acc!$F181*CommissionDD!$C$30))</f>
        <v/>
      </c>
      <c r="H181" s="23" t="str">
        <f t="shared" si="6"/>
        <v/>
      </c>
    </row>
    <row r="182" spans="1:8">
      <c r="A182" s="21" t="str">
        <f t="shared" si="7"/>
        <v/>
      </c>
      <c r="B182" s="1" t="str">
        <f>IF(Cus!$B182&lt;&gt;"",Cus!$A182,"")</f>
        <v/>
      </c>
      <c r="C182" s="22" t="str">
        <f>IF($B182="","",Cus!$AA182)</f>
        <v/>
      </c>
      <c r="D182" s="23" t="str">
        <f>IF($B182="","",(Acc!$H182*$C182))</f>
        <v/>
      </c>
      <c r="E182" s="24">
        <f>IF(C182&lt;=CommissionDD!$E$3,CommissionDD!$C$3,IF(C182&lt;=CommissionDD!$E$4,CommissionDD!$C$4,IF(C182&lt;=CommissionDD!$E$5,CommissionDD!$C$5,IF(C182&lt;=CommissionDD!$E$6,CommissionDD!$C$6,IF(C182&lt;=CommissionDD!$E$7,CommissionDD!$C$7,IF(C182&lt;=CommissionDD!$E$8,CommissionDD!$C$8,CommissionDD!$C$9))))))</f>
        <v>0.03</v>
      </c>
      <c r="F182" s="23" t="str">
        <f t="shared" si="8"/>
        <v/>
      </c>
      <c r="G182" s="23" t="str">
        <f>IF($B182="","",(Acc!$F182*CommissionDD!$C$30))</f>
        <v/>
      </c>
      <c r="H182" s="23" t="str">
        <f t="shared" si="6"/>
        <v/>
      </c>
    </row>
    <row r="183" spans="1:8">
      <c r="A183" s="21" t="str">
        <f t="shared" si="7"/>
        <v/>
      </c>
      <c r="B183" s="1" t="str">
        <f>IF(Cus!$B183&lt;&gt;"",Cus!$A183,"")</f>
        <v/>
      </c>
      <c r="C183" s="22" t="str">
        <f>IF($B183="","",Cus!$AA183)</f>
        <v/>
      </c>
      <c r="D183" s="23" t="str">
        <f>IF($B183="","",(Acc!$H183*$C183))</f>
        <v/>
      </c>
      <c r="E183" s="24">
        <f>IF(C183&lt;=CommissionDD!$E$3,CommissionDD!$C$3,IF(C183&lt;=CommissionDD!$E$4,CommissionDD!$C$4,IF(C183&lt;=CommissionDD!$E$5,CommissionDD!$C$5,IF(C183&lt;=CommissionDD!$E$6,CommissionDD!$C$6,IF(C183&lt;=CommissionDD!$E$7,CommissionDD!$C$7,IF(C183&lt;=CommissionDD!$E$8,CommissionDD!$C$8,CommissionDD!$C$9))))))</f>
        <v>0.03</v>
      </c>
      <c r="F183" s="23" t="str">
        <f t="shared" si="8"/>
        <v/>
      </c>
      <c r="G183" s="23" t="str">
        <f>IF($B183="","",(Acc!$F183*CommissionDD!$C$30))</f>
        <v/>
      </c>
      <c r="H183" s="23" t="str">
        <f t="shared" si="6"/>
        <v/>
      </c>
    </row>
    <row r="184" spans="1:8">
      <c r="A184" s="21">
        <f t="shared" si="7"/>
        <v>183</v>
      </c>
      <c r="B184" s="1" t="str">
        <f>IF(Cus!$B184&lt;&gt;"",Cus!$A184,"")</f>
        <v>K0000183</v>
      </c>
      <c r="C184" s="22">
        <f>IF($B184="","",Cus!$AA184)</f>
        <v>0</v>
      </c>
      <c r="D184" s="23">
        <f>IF($B184="","",(Acc!$H184*$C184))</f>
        <v>0</v>
      </c>
      <c r="E184" s="24">
        <f>IF(C184&lt;=CommissionDD!$E$3,CommissionDD!$C$3,IF(C184&lt;=CommissionDD!$E$4,CommissionDD!$C$4,IF(C184&lt;=CommissionDD!$E$5,CommissionDD!$C$5,IF(C184&lt;=CommissionDD!$E$6,CommissionDD!$C$6,IF(C184&lt;=CommissionDD!$E$7,CommissionDD!$C$7,IF(C184&lt;=CommissionDD!$E$8,CommissionDD!$C$8,CommissionDD!$C$9))))))</f>
        <v>0.12</v>
      </c>
      <c r="F184" s="23">
        <f t="shared" si="8"/>
        <v>0</v>
      </c>
      <c r="G184" s="23">
        <f>IF($B184="","",(Acc!$F184*CommissionDD!$C$30))</f>
        <v>150</v>
      </c>
      <c r="H184" s="23">
        <f t="shared" si="6"/>
        <v>150</v>
      </c>
    </row>
    <row r="185" spans="1:8">
      <c r="A185" s="21" t="str">
        <f t="shared" si="7"/>
        <v/>
      </c>
      <c r="B185" s="1" t="str">
        <f>IF(Cus!$B185&lt;&gt;"",Cus!$A185,"")</f>
        <v/>
      </c>
      <c r="C185" s="22" t="str">
        <f>IF($B185="","",Cus!$AA185)</f>
        <v/>
      </c>
      <c r="D185" s="23" t="str">
        <f>IF($B185="","",(Acc!$H185*$C185))</f>
        <v/>
      </c>
      <c r="E185" s="24">
        <f>IF(C185&lt;=CommissionDD!$E$3,CommissionDD!$C$3,IF(C185&lt;=CommissionDD!$E$4,CommissionDD!$C$4,IF(C185&lt;=CommissionDD!$E$5,CommissionDD!$C$5,IF(C185&lt;=CommissionDD!$E$6,CommissionDD!$C$6,IF(C185&lt;=CommissionDD!$E$7,CommissionDD!$C$7,IF(C185&lt;=CommissionDD!$E$8,CommissionDD!$C$8,CommissionDD!$C$9))))))</f>
        <v>0.03</v>
      </c>
      <c r="F185" s="23" t="str">
        <f t="shared" si="8"/>
        <v/>
      </c>
      <c r="G185" s="23" t="str">
        <f>IF($B185="","",(Acc!$F185*CommissionDD!$C$30))</f>
        <v/>
      </c>
      <c r="H185" s="23" t="str">
        <f t="shared" si="6"/>
        <v/>
      </c>
    </row>
    <row r="186" spans="1:8">
      <c r="A186" s="21" t="str">
        <f t="shared" si="7"/>
        <v/>
      </c>
      <c r="B186" s="1" t="str">
        <f>IF(Cus!$B186&lt;&gt;"",Cus!$A186,"")</f>
        <v/>
      </c>
      <c r="C186" s="22" t="str">
        <f>IF($B186="","",Cus!$AA186)</f>
        <v/>
      </c>
      <c r="D186" s="23" t="str">
        <f>IF($B186="","",(Acc!$H186*$C186))</f>
        <v/>
      </c>
      <c r="E186" s="24">
        <f>IF(C186&lt;=CommissionDD!$E$3,CommissionDD!$C$3,IF(C186&lt;=CommissionDD!$E$4,CommissionDD!$C$4,IF(C186&lt;=CommissionDD!$E$5,CommissionDD!$C$5,IF(C186&lt;=CommissionDD!$E$6,CommissionDD!$C$6,IF(C186&lt;=CommissionDD!$E$7,CommissionDD!$C$7,IF(C186&lt;=CommissionDD!$E$8,CommissionDD!$C$8,CommissionDD!$C$9))))))</f>
        <v>0.03</v>
      </c>
      <c r="F186" s="23" t="str">
        <f t="shared" si="8"/>
        <v/>
      </c>
      <c r="G186" s="23" t="str">
        <f>IF($B186="","",(Acc!$F186*CommissionDD!$C$30))</f>
        <v/>
      </c>
      <c r="H186" s="23" t="str">
        <f t="shared" si="6"/>
        <v/>
      </c>
    </row>
    <row r="187" spans="1:8">
      <c r="A187" s="21" t="str">
        <f t="shared" si="7"/>
        <v/>
      </c>
      <c r="B187" s="1" t="str">
        <f>IF(Cus!$B187&lt;&gt;"",Cus!$A187,"")</f>
        <v/>
      </c>
      <c r="C187" s="22" t="str">
        <f>IF($B187="","",Cus!$AA187)</f>
        <v/>
      </c>
      <c r="D187" s="23" t="str">
        <f>IF($B187="","",(Acc!$H187*$C187))</f>
        <v/>
      </c>
      <c r="E187" s="24">
        <f>IF(C187&lt;=CommissionDD!$E$3,CommissionDD!$C$3,IF(C187&lt;=CommissionDD!$E$4,CommissionDD!$C$4,IF(C187&lt;=CommissionDD!$E$5,CommissionDD!$C$5,IF(C187&lt;=CommissionDD!$E$6,CommissionDD!$C$6,IF(C187&lt;=CommissionDD!$E$7,CommissionDD!$C$7,IF(C187&lt;=CommissionDD!$E$8,CommissionDD!$C$8,CommissionDD!$C$9))))))</f>
        <v>0.03</v>
      </c>
      <c r="F187" s="23" t="str">
        <f t="shared" si="8"/>
        <v/>
      </c>
      <c r="G187" s="23" t="str">
        <f>IF($B187="","",(Acc!$F187*CommissionDD!$C$30))</f>
        <v/>
      </c>
      <c r="H187" s="23" t="str">
        <f t="shared" si="6"/>
        <v/>
      </c>
    </row>
    <row r="188" spans="1:8">
      <c r="A188" s="21" t="str">
        <f t="shared" si="7"/>
        <v/>
      </c>
      <c r="B188" s="1" t="str">
        <f>IF(Cus!$B188&lt;&gt;"",Cus!$A188,"")</f>
        <v/>
      </c>
      <c r="C188" s="22" t="str">
        <f>IF($B188="","",Cus!$AA188)</f>
        <v/>
      </c>
      <c r="D188" s="23" t="str">
        <f>IF($B188="","",(Acc!$H188*$C188))</f>
        <v/>
      </c>
      <c r="E188" s="24">
        <f>IF(C188&lt;=CommissionDD!$E$3,CommissionDD!$C$3,IF(C188&lt;=CommissionDD!$E$4,CommissionDD!$C$4,IF(C188&lt;=CommissionDD!$E$5,CommissionDD!$C$5,IF(C188&lt;=CommissionDD!$E$6,CommissionDD!$C$6,IF(C188&lt;=CommissionDD!$E$7,CommissionDD!$C$7,IF(C188&lt;=CommissionDD!$E$8,CommissionDD!$C$8,CommissionDD!$C$9))))))</f>
        <v>0.03</v>
      </c>
      <c r="F188" s="23" t="str">
        <f t="shared" si="8"/>
        <v/>
      </c>
      <c r="G188" s="23" t="str">
        <f>IF($B188="","",(Acc!$F188*CommissionDD!$C$30))</f>
        <v/>
      </c>
      <c r="H188" s="23" t="str">
        <f t="shared" si="6"/>
        <v/>
      </c>
    </row>
    <row r="189" spans="1:8">
      <c r="A189" s="21" t="str">
        <f t="shared" si="7"/>
        <v/>
      </c>
      <c r="B189" s="1" t="str">
        <f>IF(Cus!$B189&lt;&gt;"",Cus!$A189,"")</f>
        <v/>
      </c>
      <c r="C189" s="22" t="str">
        <f>IF($B189="","",Cus!$AA189)</f>
        <v/>
      </c>
      <c r="D189" s="23" t="str">
        <f>IF($B189="","",(Acc!$H189*$C189))</f>
        <v/>
      </c>
      <c r="E189" s="24">
        <f>IF(C189&lt;=CommissionDD!$E$3,CommissionDD!$C$3,IF(C189&lt;=CommissionDD!$E$4,CommissionDD!$C$4,IF(C189&lt;=CommissionDD!$E$5,CommissionDD!$C$5,IF(C189&lt;=CommissionDD!$E$6,CommissionDD!$C$6,IF(C189&lt;=CommissionDD!$E$7,CommissionDD!$C$7,IF(C189&lt;=CommissionDD!$E$8,CommissionDD!$C$8,CommissionDD!$C$9))))))</f>
        <v>0.03</v>
      </c>
      <c r="F189" s="23" t="str">
        <f t="shared" si="8"/>
        <v/>
      </c>
      <c r="G189" s="23" t="str">
        <f>IF($B189="","",(Acc!$F189*CommissionDD!$C$30))</f>
        <v/>
      </c>
      <c r="H189" s="23" t="str">
        <f t="shared" si="6"/>
        <v/>
      </c>
    </row>
    <row r="190" spans="1:8">
      <c r="A190" s="21" t="str">
        <f t="shared" si="7"/>
        <v/>
      </c>
      <c r="B190" s="1" t="str">
        <f>IF(Cus!$B190&lt;&gt;"",Cus!$A190,"")</f>
        <v/>
      </c>
      <c r="C190" s="22" t="str">
        <f>IF($B190="","",Cus!$AA190)</f>
        <v/>
      </c>
      <c r="D190" s="23" t="str">
        <f>IF($B190="","",(Acc!$H190*$C190))</f>
        <v/>
      </c>
      <c r="E190" s="24">
        <f>IF(C190&lt;=CommissionDD!$E$3,CommissionDD!$C$3,IF(C190&lt;=CommissionDD!$E$4,CommissionDD!$C$4,IF(C190&lt;=CommissionDD!$E$5,CommissionDD!$C$5,IF(C190&lt;=CommissionDD!$E$6,CommissionDD!$C$6,IF(C190&lt;=CommissionDD!$E$7,CommissionDD!$C$7,IF(C190&lt;=CommissionDD!$E$8,CommissionDD!$C$8,CommissionDD!$C$9))))))</f>
        <v>0.03</v>
      </c>
      <c r="F190" s="23" t="str">
        <f t="shared" si="8"/>
        <v/>
      </c>
      <c r="G190" s="23" t="str">
        <f>IF($B190="","",(Acc!$F190*CommissionDD!$C$30))</f>
        <v/>
      </c>
      <c r="H190" s="23" t="str">
        <f t="shared" si="6"/>
        <v/>
      </c>
    </row>
    <row r="191" spans="1:8">
      <c r="A191" s="21" t="str">
        <f t="shared" si="7"/>
        <v/>
      </c>
      <c r="B191" s="1" t="str">
        <f>IF(Cus!$B191&lt;&gt;"",Cus!$A191,"")</f>
        <v/>
      </c>
      <c r="C191" s="22" t="str">
        <f>IF($B191="","",Cus!$AA191)</f>
        <v/>
      </c>
      <c r="D191" s="23" t="str">
        <f>IF($B191="","",(Acc!$H191*$C191))</f>
        <v/>
      </c>
      <c r="E191" s="24">
        <f>IF(C191&lt;=CommissionDD!$E$3,CommissionDD!$C$3,IF(C191&lt;=CommissionDD!$E$4,CommissionDD!$C$4,IF(C191&lt;=CommissionDD!$E$5,CommissionDD!$C$5,IF(C191&lt;=CommissionDD!$E$6,CommissionDD!$C$6,IF(C191&lt;=CommissionDD!$E$7,CommissionDD!$C$7,IF(C191&lt;=CommissionDD!$E$8,CommissionDD!$C$8,CommissionDD!$C$9))))))</f>
        <v>0.03</v>
      </c>
      <c r="F191" s="23" t="str">
        <f t="shared" si="8"/>
        <v/>
      </c>
      <c r="G191" s="23" t="str">
        <f>IF($B191="","",(Acc!$F191*CommissionDD!$C$30))</f>
        <v/>
      </c>
      <c r="H191" s="23" t="str">
        <f t="shared" si="6"/>
        <v/>
      </c>
    </row>
    <row r="192" spans="1:8">
      <c r="A192" s="21" t="str">
        <f t="shared" si="7"/>
        <v/>
      </c>
      <c r="B192" s="1" t="str">
        <f>IF(Cus!$B192&lt;&gt;"",Cus!$A192,"")</f>
        <v/>
      </c>
      <c r="C192" s="22" t="str">
        <f>IF($B192="","",Cus!$AA192)</f>
        <v/>
      </c>
      <c r="D192" s="23" t="str">
        <f>IF($B192="","",(Acc!$H192*$C192))</f>
        <v/>
      </c>
      <c r="E192" s="24">
        <f>IF(C192&lt;=CommissionDD!$E$3,CommissionDD!$C$3,IF(C192&lt;=CommissionDD!$E$4,CommissionDD!$C$4,IF(C192&lt;=CommissionDD!$E$5,CommissionDD!$C$5,IF(C192&lt;=CommissionDD!$E$6,CommissionDD!$C$6,IF(C192&lt;=CommissionDD!$E$7,CommissionDD!$C$7,IF(C192&lt;=CommissionDD!$E$8,CommissionDD!$C$8,CommissionDD!$C$9))))))</f>
        <v>0.03</v>
      </c>
      <c r="F192" s="23" t="str">
        <f t="shared" si="8"/>
        <v/>
      </c>
      <c r="G192" s="23" t="str">
        <f>IF($B192="","",(Acc!$F192*CommissionDD!$C$30))</f>
        <v/>
      </c>
      <c r="H192" s="23" t="str">
        <f t="shared" si="6"/>
        <v/>
      </c>
    </row>
    <row r="193" spans="1:8">
      <c r="A193" s="21" t="str">
        <f t="shared" si="7"/>
        <v/>
      </c>
      <c r="B193" s="1" t="str">
        <f>IF(Cus!$B193&lt;&gt;"",Cus!$A193,"")</f>
        <v/>
      </c>
      <c r="C193" s="22" t="str">
        <f>IF($B193="","",Cus!$AA193)</f>
        <v/>
      </c>
      <c r="D193" s="23" t="str">
        <f>IF($B193="","",(Acc!$H193*$C193))</f>
        <v/>
      </c>
      <c r="E193" s="24">
        <f>IF(C193&lt;=CommissionDD!$E$3,CommissionDD!$C$3,IF(C193&lt;=CommissionDD!$E$4,CommissionDD!$C$4,IF(C193&lt;=CommissionDD!$E$5,CommissionDD!$C$5,IF(C193&lt;=CommissionDD!$E$6,CommissionDD!$C$6,IF(C193&lt;=CommissionDD!$E$7,CommissionDD!$C$7,IF(C193&lt;=CommissionDD!$E$8,CommissionDD!$C$8,CommissionDD!$C$9))))))</f>
        <v>0.03</v>
      </c>
      <c r="F193" s="23" t="str">
        <f t="shared" si="8"/>
        <v/>
      </c>
      <c r="G193" s="23" t="str">
        <f>IF($B193="","",(Acc!$F193*CommissionDD!$C$30))</f>
        <v/>
      </c>
      <c r="H193" s="23" t="str">
        <f t="shared" si="6"/>
        <v/>
      </c>
    </row>
    <row r="194" spans="1:8">
      <c r="A194" s="21" t="str">
        <f t="shared" si="7"/>
        <v/>
      </c>
      <c r="B194" s="1" t="str">
        <f>IF(Cus!$B194&lt;&gt;"",Cus!$A194,"")</f>
        <v/>
      </c>
      <c r="C194" s="22" t="str">
        <f>IF($B194="","",Cus!$AA194)</f>
        <v/>
      </c>
      <c r="D194" s="23" t="str">
        <f>IF($B194="","",(Acc!$H194*$C194))</f>
        <v/>
      </c>
      <c r="E194" s="24">
        <f>IF(C194&lt;=CommissionDD!$E$3,CommissionDD!$C$3,IF(C194&lt;=CommissionDD!$E$4,CommissionDD!$C$4,IF(C194&lt;=CommissionDD!$E$5,CommissionDD!$C$5,IF(C194&lt;=CommissionDD!$E$6,CommissionDD!$C$6,IF(C194&lt;=CommissionDD!$E$7,CommissionDD!$C$7,IF(C194&lt;=CommissionDD!$E$8,CommissionDD!$C$8,CommissionDD!$C$9))))))</f>
        <v>0.03</v>
      </c>
      <c r="F194" s="23" t="str">
        <f t="shared" si="8"/>
        <v/>
      </c>
      <c r="G194" s="23" t="str">
        <f>IF($B194="","",(Acc!$F194*CommissionDD!$C$30))</f>
        <v/>
      </c>
      <c r="H194" s="23" t="str">
        <f t="shared" ref="H194:H257" si="9">IF($B194="","",F194+G194)</f>
        <v/>
      </c>
    </row>
    <row r="195" spans="1:8">
      <c r="A195" s="21" t="str">
        <f t="shared" ref="A195:A258" si="10">IF($B195="","",(ROW($A194)))</f>
        <v/>
      </c>
      <c r="B195" s="1" t="str">
        <f>IF(Cus!$B195&lt;&gt;"",Cus!$A195,"")</f>
        <v/>
      </c>
      <c r="C195" s="22" t="str">
        <f>IF($B195="","",Cus!$AA195)</f>
        <v/>
      </c>
      <c r="D195" s="23" t="str">
        <f>IF($B195="","",(Acc!$H195*$C195))</f>
        <v/>
      </c>
      <c r="E195" s="24">
        <f>IF(C195&lt;=CommissionDD!$E$3,CommissionDD!$C$3,IF(C195&lt;=CommissionDD!$E$4,CommissionDD!$C$4,IF(C195&lt;=CommissionDD!$E$5,CommissionDD!$C$5,IF(C195&lt;=CommissionDD!$E$6,CommissionDD!$C$6,IF(C195&lt;=CommissionDD!$E$7,CommissionDD!$C$7,IF(C195&lt;=CommissionDD!$E$8,CommissionDD!$C$8,CommissionDD!$C$9))))))</f>
        <v>0.03</v>
      </c>
      <c r="F195" s="23" t="str">
        <f t="shared" si="8"/>
        <v/>
      </c>
      <c r="G195" s="23" t="str">
        <f>IF($B195="","",(Acc!$F195*CommissionDD!$C$30))</f>
        <v/>
      </c>
      <c r="H195" s="23" t="str">
        <f t="shared" si="9"/>
        <v/>
      </c>
    </row>
    <row r="196" spans="1:8">
      <c r="A196" s="21" t="str">
        <f t="shared" si="10"/>
        <v/>
      </c>
      <c r="B196" s="1" t="str">
        <f>IF(Cus!$B196&lt;&gt;"",Cus!$A196,"")</f>
        <v/>
      </c>
      <c r="C196" s="22" t="str">
        <f>IF($B196="","",Cus!$AA196)</f>
        <v/>
      </c>
      <c r="D196" s="23" t="str">
        <f>IF($B196="","",(Acc!$H196*$C196))</f>
        <v/>
      </c>
      <c r="E196" s="24">
        <f>IF(C196&lt;=CommissionDD!$E$3,CommissionDD!$C$3,IF(C196&lt;=CommissionDD!$E$4,CommissionDD!$C$4,IF(C196&lt;=CommissionDD!$E$5,CommissionDD!$C$5,IF(C196&lt;=CommissionDD!$E$6,CommissionDD!$C$6,IF(C196&lt;=CommissionDD!$E$7,CommissionDD!$C$7,IF(C196&lt;=CommissionDD!$E$8,CommissionDD!$C$8,CommissionDD!$C$9))))))</f>
        <v>0.03</v>
      </c>
      <c r="F196" s="23" t="str">
        <f t="shared" si="8"/>
        <v/>
      </c>
      <c r="G196" s="23" t="str">
        <f>IF($B196="","",(Acc!$F196*CommissionDD!$C$30))</f>
        <v/>
      </c>
      <c r="H196" s="23" t="str">
        <f t="shared" si="9"/>
        <v/>
      </c>
    </row>
    <row r="197" spans="1:8">
      <c r="A197" s="21" t="str">
        <f t="shared" si="10"/>
        <v/>
      </c>
      <c r="B197" s="1" t="str">
        <f>IF(Cus!$B197&lt;&gt;"",Cus!$A197,"")</f>
        <v/>
      </c>
      <c r="C197" s="22" t="str">
        <f>IF($B197="","",Cus!$AA197)</f>
        <v/>
      </c>
      <c r="D197" s="23" t="str">
        <f>IF($B197="","",(Acc!$H197*$C197))</f>
        <v/>
      </c>
      <c r="E197" s="24">
        <f>IF(C197&lt;=CommissionDD!$E$3,CommissionDD!$C$3,IF(C197&lt;=CommissionDD!$E$4,CommissionDD!$C$4,IF(C197&lt;=CommissionDD!$E$5,CommissionDD!$C$5,IF(C197&lt;=CommissionDD!$E$6,CommissionDD!$C$6,IF(C197&lt;=CommissionDD!$E$7,CommissionDD!$C$7,IF(C197&lt;=CommissionDD!$E$8,CommissionDD!$C$8,CommissionDD!$C$9))))))</f>
        <v>0.03</v>
      </c>
      <c r="F197" s="23" t="str">
        <f t="shared" ref="F197:F260" si="11">IF($B197="","",D197*E197)</f>
        <v/>
      </c>
      <c r="G197" s="23" t="str">
        <f>IF($B197="","",(Acc!$F197*CommissionDD!$C$30))</f>
        <v/>
      </c>
      <c r="H197" s="23" t="str">
        <f t="shared" si="9"/>
        <v/>
      </c>
    </row>
    <row r="198" spans="1:8">
      <c r="A198" s="21" t="str">
        <f t="shared" si="10"/>
        <v/>
      </c>
      <c r="B198" s="1" t="str">
        <f>IF(Cus!$B198&lt;&gt;"",Cus!$A198,"")</f>
        <v/>
      </c>
      <c r="C198" s="22" t="str">
        <f>IF($B198="","",Cus!$AA198)</f>
        <v/>
      </c>
      <c r="D198" s="23" t="str">
        <f>IF($B198="","",(Acc!$H198*$C198))</f>
        <v/>
      </c>
      <c r="E198" s="24">
        <f>IF(C198&lt;=CommissionDD!$E$3,CommissionDD!$C$3,IF(C198&lt;=CommissionDD!$E$4,CommissionDD!$C$4,IF(C198&lt;=CommissionDD!$E$5,CommissionDD!$C$5,IF(C198&lt;=CommissionDD!$E$6,CommissionDD!$C$6,IF(C198&lt;=CommissionDD!$E$7,CommissionDD!$C$7,IF(C198&lt;=CommissionDD!$E$8,CommissionDD!$C$8,CommissionDD!$C$9))))))</f>
        <v>0.03</v>
      </c>
      <c r="F198" s="23" t="str">
        <f t="shared" si="11"/>
        <v/>
      </c>
      <c r="G198" s="23" t="str">
        <f>IF($B198="","",(Acc!$F198*CommissionDD!$C$30))</f>
        <v/>
      </c>
      <c r="H198" s="23" t="str">
        <f t="shared" si="9"/>
        <v/>
      </c>
    </row>
    <row r="199" spans="1:8">
      <c r="A199" s="21" t="str">
        <f t="shared" si="10"/>
        <v/>
      </c>
      <c r="B199" s="1" t="str">
        <f>IF(Cus!$B199&lt;&gt;"",Cus!$A199,"")</f>
        <v/>
      </c>
      <c r="C199" s="22" t="str">
        <f>IF($B199="","",Cus!$AA199)</f>
        <v/>
      </c>
      <c r="D199" s="23" t="str">
        <f>IF($B199="","",(Acc!$H199*$C199))</f>
        <v/>
      </c>
      <c r="E199" s="24">
        <f>IF(C199&lt;=CommissionDD!$E$3,CommissionDD!$C$3,IF(C199&lt;=CommissionDD!$E$4,CommissionDD!$C$4,IF(C199&lt;=CommissionDD!$E$5,CommissionDD!$C$5,IF(C199&lt;=CommissionDD!$E$6,CommissionDD!$C$6,IF(C199&lt;=CommissionDD!$E$7,CommissionDD!$C$7,IF(C199&lt;=CommissionDD!$E$8,CommissionDD!$C$8,CommissionDD!$C$9))))))</f>
        <v>0.03</v>
      </c>
      <c r="F199" s="23" t="str">
        <f t="shared" si="11"/>
        <v/>
      </c>
      <c r="G199" s="23" t="str">
        <f>IF($B199="","",(Acc!$F199*CommissionDD!$C$30))</f>
        <v/>
      </c>
      <c r="H199" s="23" t="str">
        <f t="shared" si="9"/>
        <v/>
      </c>
    </row>
    <row r="200" spans="1:8">
      <c r="A200" s="21" t="str">
        <f t="shared" si="10"/>
        <v/>
      </c>
      <c r="B200" s="1" t="str">
        <f>IF(Cus!$B200&lt;&gt;"",Cus!$A200,"")</f>
        <v/>
      </c>
      <c r="C200" s="22" t="str">
        <f>IF($B200="","",Cus!$AA200)</f>
        <v/>
      </c>
      <c r="D200" s="23" t="str">
        <f>IF($B200="","",(Acc!$H200*$C200))</f>
        <v/>
      </c>
      <c r="E200" s="24">
        <f>IF(C200&lt;=CommissionDD!$E$3,CommissionDD!$C$3,IF(C200&lt;=CommissionDD!$E$4,CommissionDD!$C$4,IF(C200&lt;=CommissionDD!$E$5,CommissionDD!$C$5,IF(C200&lt;=CommissionDD!$E$6,CommissionDD!$C$6,IF(C200&lt;=CommissionDD!$E$7,CommissionDD!$C$7,IF(C200&lt;=CommissionDD!$E$8,CommissionDD!$C$8,CommissionDD!$C$9))))))</f>
        <v>0.03</v>
      </c>
      <c r="F200" s="23" t="str">
        <f t="shared" si="11"/>
        <v/>
      </c>
      <c r="G200" s="23" t="str">
        <f>IF($B200="","",(Acc!$F200*CommissionDD!$C$30))</f>
        <v/>
      </c>
      <c r="H200" s="23" t="str">
        <f t="shared" si="9"/>
        <v/>
      </c>
    </row>
    <row r="201" spans="1:8">
      <c r="A201" s="21" t="str">
        <f t="shared" si="10"/>
        <v/>
      </c>
      <c r="B201" s="1" t="str">
        <f>IF(Cus!$B201&lt;&gt;"",Cus!$A201,"")</f>
        <v/>
      </c>
      <c r="C201" s="22" t="str">
        <f>IF($B201="","",Cus!$AA201)</f>
        <v/>
      </c>
      <c r="D201" s="23" t="str">
        <f>IF($B201="","",(Acc!$H201*$C201))</f>
        <v/>
      </c>
      <c r="E201" s="24">
        <f>IF(C201&lt;=CommissionDD!$E$3,CommissionDD!$C$3,IF(C201&lt;=CommissionDD!$E$4,CommissionDD!$C$4,IF(C201&lt;=CommissionDD!$E$5,CommissionDD!$C$5,IF(C201&lt;=CommissionDD!$E$6,CommissionDD!$C$6,IF(C201&lt;=CommissionDD!$E$7,CommissionDD!$C$7,IF(C201&lt;=CommissionDD!$E$8,CommissionDD!$C$8,CommissionDD!$C$9))))))</f>
        <v>0.03</v>
      </c>
      <c r="F201" s="23" t="str">
        <f t="shared" si="11"/>
        <v/>
      </c>
      <c r="G201" s="23" t="str">
        <f>IF($B201="","",(Acc!$F201*CommissionDD!$C$30))</f>
        <v/>
      </c>
      <c r="H201" s="23" t="str">
        <f t="shared" si="9"/>
        <v/>
      </c>
    </row>
    <row r="202" spans="1:8">
      <c r="A202" s="21" t="str">
        <f t="shared" si="10"/>
        <v/>
      </c>
      <c r="B202" s="1" t="str">
        <f>IF(Cus!$B202&lt;&gt;"",Cus!$A202,"")</f>
        <v/>
      </c>
      <c r="C202" s="22" t="str">
        <f>IF($B202="","",Cus!$AA202)</f>
        <v/>
      </c>
      <c r="D202" s="23" t="str">
        <f>IF($B202="","",(Acc!$H202*$C202))</f>
        <v/>
      </c>
      <c r="E202" s="24">
        <f>IF(C202&lt;=CommissionDD!$E$3,CommissionDD!$C$3,IF(C202&lt;=CommissionDD!$E$4,CommissionDD!$C$4,IF(C202&lt;=CommissionDD!$E$5,CommissionDD!$C$5,IF(C202&lt;=CommissionDD!$E$6,CommissionDD!$C$6,IF(C202&lt;=CommissionDD!$E$7,CommissionDD!$C$7,IF(C202&lt;=CommissionDD!$E$8,CommissionDD!$C$8,CommissionDD!$C$9))))))</f>
        <v>0.03</v>
      </c>
      <c r="F202" s="23" t="str">
        <f t="shared" si="11"/>
        <v/>
      </c>
      <c r="G202" s="23" t="str">
        <f>IF($B202="","",(Acc!$F202*CommissionDD!$C$30))</f>
        <v/>
      </c>
      <c r="H202" s="23" t="str">
        <f t="shared" si="9"/>
        <v/>
      </c>
    </row>
    <row r="203" spans="1:8">
      <c r="A203" s="21" t="str">
        <f t="shared" si="10"/>
        <v/>
      </c>
      <c r="B203" s="1" t="str">
        <f>IF(Cus!$B203&lt;&gt;"",Cus!$A203,"")</f>
        <v/>
      </c>
      <c r="C203" s="22" t="str">
        <f>IF($B203="","",Cus!$AA203)</f>
        <v/>
      </c>
      <c r="D203" s="23" t="str">
        <f>IF($B203="","",(Acc!$H203*$C203))</f>
        <v/>
      </c>
      <c r="E203" s="24">
        <f>IF(C203&lt;=CommissionDD!$E$3,CommissionDD!$C$3,IF(C203&lt;=CommissionDD!$E$4,CommissionDD!$C$4,IF(C203&lt;=CommissionDD!$E$5,CommissionDD!$C$5,IF(C203&lt;=CommissionDD!$E$6,CommissionDD!$C$6,IF(C203&lt;=CommissionDD!$E$7,CommissionDD!$C$7,IF(C203&lt;=CommissionDD!$E$8,CommissionDD!$C$8,CommissionDD!$C$9))))))</f>
        <v>0.03</v>
      </c>
      <c r="F203" s="23" t="str">
        <f t="shared" si="11"/>
        <v/>
      </c>
      <c r="G203" s="23" t="str">
        <f>IF($B203="","",(Acc!$F203*CommissionDD!$C$30))</f>
        <v/>
      </c>
      <c r="H203" s="23" t="str">
        <f t="shared" si="9"/>
        <v/>
      </c>
    </row>
    <row r="204" spans="1:8">
      <c r="A204" s="21" t="str">
        <f t="shared" si="10"/>
        <v/>
      </c>
      <c r="B204" s="1" t="str">
        <f>IF(Cus!$B204&lt;&gt;"",Cus!$A204,"")</f>
        <v/>
      </c>
      <c r="C204" s="22" t="str">
        <f>IF($B204="","",Cus!$AA204)</f>
        <v/>
      </c>
      <c r="D204" s="23" t="str">
        <f>IF($B204="","",(Acc!$H204*$C204))</f>
        <v/>
      </c>
      <c r="E204" s="24">
        <f>IF(C204&lt;=CommissionDD!$E$3,CommissionDD!$C$3,IF(C204&lt;=CommissionDD!$E$4,CommissionDD!$C$4,IF(C204&lt;=CommissionDD!$E$5,CommissionDD!$C$5,IF(C204&lt;=CommissionDD!$E$6,CommissionDD!$C$6,IF(C204&lt;=CommissionDD!$E$7,CommissionDD!$C$7,IF(C204&lt;=CommissionDD!$E$8,CommissionDD!$C$8,CommissionDD!$C$9))))))</f>
        <v>0.03</v>
      </c>
      <c r="F204" s="23" t="str">
        <f t="shared" si="11"/>
        <v/>
      </c>
      <c r="G204" s="23" t="str">
        <f>IF($B204="","",(Acc!$F204*CommissionDD!$C$30))</f>
        <v/>
      </c>
      <c r="H204" s="23" t="str">
        <f t="shared" si="9"/>
        <v/>
      </c>
    </row>
    <row r="205" spans="1:8">
      <c r="A205" s="21" t="str">
        <f t="shared" si="10"/>
        <v/>
      </c>
      <c r="B205" s="1" t="str">
        <f>IF(Cus!$B205&lt;&gt;"",Cus!$A205,"")</f>
        <v/>
      </c>
      <c r="C205" s="22" t="str">
        <f>IF($B205="","",Cus!$AA205)</f>
        <v/>
      </c>
      <c r="D205" s="23" t="str">
        <f>IF($B205="","",(Acc!$H205*$C205))</f>
        <v/>
      </c>
      <c r="E205" s="24">
        <f>IF(C205&lt;=CommissionDD!$E$3,CommissionDD!$C$3,IF(C205&lt;=CommissionDD!$E$4,CommissionDD!$C$4,IF(C205&lt;=CommissionDD!$E$5,CommissionDD!$C$5,IF(C205&lt;=CommissionDD!$E$6,CommissionDD!$C$6,IF(C205&lt;=CommissionDD!$E$7,CommissionDD!$C$7,IF(C205&lt;=CommissionDD!$E$8,CommissionDD!$C$8,CommissionDD!$C$9))))))</f>
        <v>0.03</v>
      </c>
      <c r="F205" s="23" t="str">
        <f t="shared" si="11"/>
        <v/>
      </c>
      <c r="G205" s="23" t="str">
        <f>IF($B205="","",(Acc!$F205*CommissionDD!$C$30))</f>
        <v/>
      </c>
      <c r="H205" s="23" t="str">
        <f t="shared" si="9"/>
        <v/>
      </c>
    </row>
    <row r="206" spans="1:8">
      <c r="A206" s="21" t="str">
        <f t="shared" si="10"/>
        <v/>
      </c>
      <c r="B206" s="1" t="str">
        <f>IF(Cus!$B206&lt;&gt;"",Cus!$A206,"")</f>
        <v/>
      </c>
      <c r="C206" s="22" t="str">
        <f>IF($B206="","",Cus!$AA206)</f>
        <v/>
      </c>
      <c r="D206" s="23" t="str">
        <f>IF($B206="","",(Acc!$H206*$C206))</f>
        <v/>
      </c>
      <c r="E206" s="24">
        <f>IF(C206&lt;=CommissionDD!$E$3,CommissionDD!$C$3,IF(C206&lt;=CommissionDD!$E$4,CommissionDD!$C$4,IF(C206&lt;=CommissionDD!$E$5,CommissionDD!$C$5,IF(C206&lt;=CommissionDD!$E$6,CommissionDD!$C$6,IF(C206&lt;=CommissionDD!$E$7,CommissionDD!$C$7,IF(C206&lt;=CommissionDD!$E$8,CommissionDD!$C$8,CommissionDD!$C$9))))))</f>
        <v>0.03</v>
      </c>
      <c r="F206" s="23" t="str">
        <f t="shared" si="11"/>
        <v/>
      </c>
      <c r="G206" s="23" t="str">
        <f>IF($B206="","",(Acc!$F206*CommissionDD!$C$30))</f>
        <v/>
      </c>
      <c r="H206" s="23" t="str">
        <f t="shared" si="9"/>
        <v/>
      </c>
    </row>
    <row r="207" spans="1:8">
      <c r="A207" s="21" t="str">
        <f t="shared" si="10"/>
        <v/>
      </c>
      <c r="B207" s="1" t="str">
        <f>IF(Cus!$B207&lt;&gt;"",Cus!$A207,"")</f>
        <v/>
      </c>
      <c r="C207" s="22" t="str">
        <f>IF($B207="","",Cus!$AA207)</f>
        <v/>
      </c>
      <c r="D207" s="23" t="str">
        <f>IF($B207="","",(Acc!$H207*$C207))</f>
        <v/>
      </c>
      <c r="E207" s="24">
        <f>IF(C207&lt;=CommissionDD!$E$3,CommissionDD!$C$3,IF(C207&lt;=CommissionDD!$E$4,CommissionDD!$C$4,IF(C207&lt;=CommissionDD!$E$5,CommissionDD!$C$5,IF(C207&lt;=CommissionDD!$E$6,CommissionDD!$C$6,IF(C207&lt;=CommissionDD!$E$7,CommissionDD!$C$7,IF(C207&lt;=CommissionDD!$E$8,CommissionDD!$C$8,CommissionDD!$C$9))))))</f>
        <v>0.03</v>
      </c>
      <c r="F207" s="23" t="str">
        <f t="shared" si="11"/>
        <v/>
      </c>
      <c r="G207" s="23" t="str">
        <f>IF($B207="","",(Acc!$F207*CommissionDD!$C$30))</f>
        <v/>
      </c>
      <c r="H207" s="23" t="str">
        <f t="shared" si="9"/>
        <v/>
      </c>
    </row>
    <row r="208" spans="1:8">
      <c r="A208" s="21" t="str">
        <f t="shared" si="10"/>
        <v/>
      </c>
      <c r="B208" s="1" t="str">
        <f>IF(Cus!$B208&lt;&gt;"",Cus!$A208,"")</f>
        <v/>
      </c>
      <c r="C208" s="22" t="str">
        <f>IF($B208="","",Cus!$AA208)</f>
        <v/>
      </c>
      <c r="D208" s="23" t="str">
        <f>IF($B208="","",(Acc!$H208*$C208))</f>
        <v/>
      </c>
      <c r="E208" s="24">
        <f>IF(C208&lt;=CommissionDD!$E$3,CommissionDD!$C$3,IF(C208&lt;=CommissionDD!$E$4,CommissionDD!$C$4,IF(C208&lt;=CommissionDD!$E$5,CommissionDD!$C$5,IF(C208&lt;=CommissionDD!$E$6,CommissionDD!$C$6,IF(C208&lt;=CommissionDD!$E$7,CommissionDD!$C$7,IF(C208&lt;=CommissionDD!$E$8,CommissionDD!$C$8,CommissionDD!$C$9))))))</f>
        <v>0.03</v>
      </c>
      <c r="F208" s="23" t="str">
        <f t="shared" si="11"/>
        <v/>
      </c>
      <c r="G208" s="23" t="str">
        <f>IF($B208="","",(Acc!$F208*CommissionDD!$C$30))</f>
        <v/>
      </c>
      <c r="H208" s="23" t="str">
        <f t="shared" si="9"/>
        <v/>
      </c>
    </row>
    <row r="209" spans="1:8">
      <c r="A209" s="21">
        <f t="shared" si="10"/>
        <v>208</v>
      </c>
      <c r="B209" s="1" t="str">
        <f>IF(Cus!$B209&lt;&gt;"",Cus!$A209,"")</f>
        <v>K0000208</v>
      </c>
      <c r="C209" s="22">
        <f>IF($B209="","",Cus!$AA209)</f>
        <v>0</v>
      </c>
      <c r="D209" s="23">
        <f>IF($B209="","",(Acc!$H209*$C209))</f>
        <v>0</v>
      </c>
      <c r="E209" s="24">
        <f>IF(C209&lt;=CommissionDD!$E$3,CommissionDD!$C$3,IF(C209&lt;=CommissionDD!$E$4,CommissionDD!$C$4,IF(C209&lt;=CommissionDD!$E$5,CommissionDD!$C$5,IF(C209&lt;=CommissionDD!$E$6,CommissionDD!$C$6,IF(C209&lt;=CommissionDD!$E$7,CommissionDD!$C$7,IF(C209&lt;=CommissionDD!$E$8,CommissionDD!$C$8,CommissionDD!$C$9))))))</f>
        <v>0.12</v>
      </c>
      <c r="F209" s="23">
        <f t="shared" si="11"/>
        <v>0</v>
      </c>
      <c r="G209" s="23">
        <f>IF($B209="","",(Acc!$F209*CommissionDD!$C$30))</f>
        <v>0</v>
      </c>
      <c r="H209" s="23">
        <f t="shared" si="9"/>
        <v>0</v>
      </c>
    </row>
    <row r="210" spans="1:8">
      <c r="A210" s="21" t="str">
        <f t="shared" si="10"/>
        <v/>
      </c>
      <c r="B210" s="1" t="str">
        <f>IF(Cus!$B210&lt;&gt;"",Cus!$A210,"")</f>
        <v/>
      </c>
      <c r="C210" s="22" t="str">
        <f>IF($B210="","",Cus!$AA210)</f>
        <v/>
      </c>
      <c r="D210" s="23" t="str">
        <f>IF($B210="","",(Acc!$H210*$C210))</f>
        <v/>
      </c>
      <c r="E210" s="24">
        <f>IF(C210&lt;=CommissionDD!$E$3,CommissionDD!$C$3,IF(C210&lt;=CommissionDD!$E$4,CommissionDD!$C$4,IF(C210&lt;=CommissionDD!$E$5,CommissionDD!$C$5,IF(C210&lt;=CommissionDD!$E$6,CommissionDD!$C$6,IF(C210&lt;=CommissionDD!$E$7,CommissionDD!$C$7,IF(C210&lt;=CommissionDD!$E$8,CommissionDD!$C$8,CommissionDD!$C$9))))))</f>
        <v>0.03</v>
      </c>
      <c r="F210" s="23" t="str">
        <f t="shared" si="11"/>
        <v/>
      </c>
      <c r="G210" s="23" t="str">
        <f>IF($B210="","",(Acc!$F210*CommissionDD!$C$30))</f>
        <v/>
      </c>
      <c r="H210" s="23" t="str">
        <f t="shared" si="9"/>
        <v/>
      </c>
    </row>
    <row r="211" spans="1:8">
      <c r="A211" s="21" t="str">
        <f t="shared" si="10"/>
        <v/>
      </c>
      <c r="B211" s="1" t="str">
        <f>IF(Cus!$B211&lt;&gt;"",Cus!$A211,"")</f>
        <v/>
      </c>
      <c r="C211" s="22" t="str">
        <f>IF($B211="","",Cus!$AA211)</f>
        <v/>
      </c>
      <c r="D211" s="23" t="str">
        <f>IF($B211="","",(Acc!$H211*$C211))</f>
        <v/>
      </c>
      <c r="E211" s="24">
        <f>IF(C211&lt;=CommissionDD!$E$3,CommissionDD!$C$3,IF(C211&lt;=CommissionDD!$E$4,CommissionDD!$C$4,IF(C211&lt;=CommissionDD!$E$5,CommissionDD!$C$5,IF(C211&lt;=CommissionDD!$E$6,CommissionDD!$C$6,IF(C211&lt;=CommissionDD!$E$7,CommissionDD!$C$7,IF(C211&lt;=CommissionDD!$E$8,CommissionDD!$C$8,CommissionDD!$C$9))))))</f>
        <v>0.03</v>
      </c>
      <c r="F211" s="23" t="str">
        <f t="shared" si="11"/>
        <v/>
      </c>
      <c r="G211" s="23" t="str">
        <f>IF($B211="","",(Acc!$F211*CommissionDD!$C$30))</f>
        <v/>
      </c>
      <c r="H211" s="23" t="str">
        <f t="shared" si="9"/>
        <v/>
      </c>
    </row>
    <row r="212" spans="1:8">
      <c r="A212" s="21" t="str">
        <f t="shared" si="10"/>
        <v/>
      </c>
      <c r="B212" s="1" t="str">
        <f>IF(Cus!$B212&lt;&gt;"",Cus!$A212,"")</f>
        <v/>
      </c>
      <c r="C212" s="22" t="str">
        <f>IF($B212="","",Cus!$AA212)</f>
        <v/>
      </c>
      <c r="D212" s="23" t="str">
        <f>IF($B212="","",(Acc!$H212*$C212))</f>
        <v/>
      </c>
      <c r="E212" s="24">
        <f>IF(C212&lt;=CommissionDD!$E$3,CommissionDD!$C$3,IF(C212&lt;=CommissionDD!$E$4,CommissionDD!$C$4,IF(C212&lt;=CommissionDD!$E$5,CommissionDD!$C$5,IF(C212&lt;=CommissionDD!$E$6,CommissionDD!$C$6,IF(C212&lt;=CommissionDD!$E$7,CommissionDD!$C$7,IF(C212&lt;=CommissionDD!$E$8,CommissionDD!$C$8,CommissionDD!$C$9))))))</f>
        <v>0.03</v>
      </c>
      <c r="F212" s="23" t="str">
        <f t="shared" si="11"/>
        <v/>
      </c>
      <c r="G212" s="23" t="str">
        <f>IF($B212="","",(Acc!$F212*CommissionDD!$C$30))</f>
        <v/>
      </c>
      <c r="H212" s="23" t="str">
        <f t="shared" si="9"/>
        <v/>
      </c>
    </row>
    <row r="213" spans="1:8">
      <c r="A213" s="21" t="str">
        <f t="shared" si="10"/>
        <v/>
      </c>
      <c r="B213" s="1" t="str">
        <f>IF(Cus!$B213&lt;&gt;"",Cus!$A213,"")</f>
        <v/>
      </c>
      <c r="C213" s="22" t="str">
        <f>IF($B213="","",Cus!$AA213)</f>
        <v/>
      </c>
      <c r="D213" s="23" t="str">
        <f>IF($B213="","",(Acc!$H213*$C213))</f>
        <v/>
      </c>
      <c r="E213" s="24">
        <f>IF(C213&lt;=CommissionDD!$E$3,CommissionDD!$C$3,IF(C213&lt;=CommissionDD!$E$4,CommissionDD!$C$4,IF(C213&lt;=CommissionDD!$E$5,CommissionDD!$C$5,IF(C213&lt;=CommissionDD!$E$6,CommissionDD!$C$6,IF(C213&lt;=CommissionDD!$E$7,CommissionDD!$C$7,IF(C213&lt;=CommissionDD!$E$8,CommissionDD!$C$8,CommissionDD!$C$9))))))</f>
        <v>0.03</v>
      </c>
      <c r="F213" s="23" t="str">
        <f t="shared" si="11"/>
        <v/>
      </c>
      <c r="G213" s="23" t="str">
        <f>IF($B213="","",(Acc!$F213*CommissionDD!$C$30))</f>
        <v/>
      </c>
      <c r="H213" s="23" t="str">
        <f t="shared" si="9"/>
        <v/>
      </c>
    </row>
    <row r="214" spans="1:8">
      <c r="A214" s="21" t="str">
        <f t="shared" si="10"/>
        <v/>
      </c>
      <c r="B214" s="1" t="str">
        <f>IF(Cus!$B214&lt;&gt;"",Cus!$A214,"")</f>
        <v/>
      </c>
      <c r="C214" s="22" t="str">
        <f>IF($B214="","",Cus!$AA214)</f>
        <v/>
      </c>
      <c r="D214" s="23" t="str">
        <f>IF($B214="","",(Acc!$H214*$C214))</f>
        <v/>
      </c>
      <c r="E214" s="24">
        <f>IF(C214&lt;=CommissionDD!$E$3,CommissionDD!$C$3,IF(C214&lt;=CommissionDD!$E$4,CommissionDD!$C$4,IF(C214&lt;=CommissionDD!$E$5,CommissionDD!$C$5,IF(C214&lt;=CommissionDD!$E$6,CommissionDD!$C$6,IF(C214&lt;=CommissionDD!$E$7,CommissionDD!$C$7,IF(C214&lt;=CommissionDD!$E$8,CommissionDD!$C$8,CommissionDD!$C$9))))))</f>
        <v>0.03</v>
      </c>
      <c r="F214" s="23" t="str">
        <f t="shared" si="11"/>
        <v/>
      </c>
      <c r="G214" s="23" t="str">
        <f>IF($B214="","",(Acc!$F214*CommissionDD!$C$30))</f>
        <v/>
      </c>
      <c r="H214" s="23" t="str">
        <f t="shared" si="9"/>
        <v/>
      </c>
    </row>
    <row r="215" spans="1:8">
      <c r="A215" s="21" t="str">
        <f t="shared" si="10"/>
        <v/>
      </c>
      <c r="B215" s="1" t="str">
        <f>IF(Cus!$B215&lt;&gt;"",Cus!$A215,"")</f>
        <v/>
      </c>
      <c r="C215" s="22" t="str">
        <f>IF($B215="","",Cus!$AA215)</f>
        <v/>
      </c>
      <c r="D215" s="23" t="str">
        <f>IF($B215="","",(Acc!$H215*$C215))</f>
        <v/>
      </c>
      <c r="E215" s="24">
        <f>IF(C215&lt;=CommissionDD!$E$3,CommissionDD!$C$3,IF(C215&lt;=CommissionDD!$E$4,CommissionDD!$C$4,IF(C215&lt;=CommissionDD!$E$5,CommissionDD!$C$5,IF(C215&lt;=CommissionDD!$E$6,CommissionDD!$C$6,IF(C215&lt;=CommissionDD!$E$7,CommissionDD!$C$7,IF(C215&lt;=CommissionDD!$E$8,CommissionDD!$C$8,CommissionDD!$C$9))))))</f>
        <v>0.03</v>
      </c>
      <c r="F215" s="23" t="str">
        <f t="shared" si="11"/>
        <v/>
      </c>
      <c r="G215" s="23" t="str">
        <f>IF($B215="","",(Acc!$F215*CommissionDD!$C$30))</f>
        <v/>
      </c>
      <c r="H215" s="23" t="str">
        <f t="shared" si="9"/>
        <v/>
      </c>
    </row>
    <row r="216" spans="1:8">
      <c r="A216" s="21" t="str">
        <f t="shared" si="10"/>
        <v/>
      </c>
      <c r="B216" s="1" t="str">
        <f>IF(Cus!$B216&lt;&gt;"",Cus!$A216,"")</f>
        <v/>
      </c>
      <c r="C216" s="22" t="str">
        <f>IF($B216="","",Cus!$AA216)</f>
        <v/>
      </c>
      <c r="D216" s="23" t="str">
        <f>IF($B216="","",(Acc!$H216*$C216))</f>
        <v/>
      </c>
      <c r="E216" s="24">
        <f>IF(C216&lt;=CommissionDD!$E$3,CommissionDD!$C$3,IF(C216&lt;=CommissionDD!$E$4,CommissionDD!$C$4,IF(C216&lt;=CommissionDD!$E$5,CommissionDD!$C$5,IF(C216&lt;=CommissionDD!$E$6,CommissionDD!$C$6,IF(C216&lt;=CommissionDD!$E$7,CommissionDD!$C$7,IF(C216&lt;=CommissionDD!$E$8,CommissionDD!$C$8,CommissionDD!$C$9))))))</f>
        <v>0.03</v>
      </c>
      <c r="F216" s="23" t="str">
        <f t="shared" si="11"/>
        <v/>
      </c>
      <c r="G216" s="23" t="str">
        <f>IF($B216="","",(Acc!$F216*CommissionDD!$C$30))</f>
        <v/>
      </c>
      <c r="H216" s="23" t="str">
        <f t="shared" si="9"/>
        <v/>
      </c>
    </row>
    <row r="217" spans="1:8">
      <c r="A217" s="21" t="str">
        <f t="shared" si="10"/>
        <v/>
      </c>
      <c r="B217" s="1" t="str">
        <f>IF(Cus!$B217&lt;&gt;"",Cus!$A217,"")</f>
        <v/>
      </c>
      <c r="C217" s="22" t="str">
        <f>IF($B217="","",Cus!$AA217)</f>
        <v/>
      </c>
      <c r="D217" s="23" t="str">
        <f>IF($B217="","",(Acc!$H217*$C217))</f>
        <v/>
      </c>
      <c r="E217" s="24">
        <f>IF(C217&lt;=CommissionDD!$E$3,CommissionDD!$C$3,IF(C217&lt;=CommissionDD!$E$4,CommissionDD!$C$4,IF(C217&lt;=CommissionDD!$E$5,CommissionDD!$C$5,IF(C217&lt;=CommissionDD!$E$6,CommissionDD!$C$6,IF(C217&lt;=CommissionDD!$E$7,CommissionDD!$C$7,IF(C217&lt;=CommissionDD!$E$8,CommissionDD!$C$8,CommissionDD!$C$9))))))</f>
        <v>0.03</v>
      </c>
      <c r="F217" s="23" t="str">
        <f t="shared" si="11"/>
        <v/>
      </c>
      <c r="G217" s="23" t="str">
        <f>IF($B217="","",(Acc!$F217*CommissionDD!$C$30))</f>
        <v/>
      </c>
      <c r="H217" s="23" t="str">
        <f t="shared" si="9"/>
        <v/>
      </c>
    </row>
    <row r="218" spans="1:8">
      <c r="A218" s="21" t="str">
        <f t="shared" si="10"/>
        <v/>
      </c>
      <c r="B218" s="1" t="str">
        <f>IF(Cus!$B218&lt;&gt;"",Cus!$A218,"")</f>
        <v/>
      </c>
      <c r="C218" s="22" t="str">
        <f>IF($B218="","",Cus!$AA218)</f>
        <v/>
      </c>
      <c r="D218" s="23" t="str">
        <f>IF($B218="","",(Acc!$H218*$C218))</f>
        <v/>
      </c>
      <c r="E218" s="24">
        <f>IF(C218&lt;=CommissionDD!$E$3,CommissionDD!$C$3,IF(C218&lt;=CommissionDD!$E$4,CommissionDD!$C$4,IF(C218&lt;=CommissionDD!$E$5,CommissionDD!$C$5,IF(C218&lt;=CommissionDD!$E$6,CommissionDD!$C$6,IF(C218&lt;=CommissionDD!$E$7,CommissionDD!$C$7,IF(C218&lt;=CommissionDD!$E$8,CommissionDD!$C$8,CommissionDD!$C$9))))))</f>
        <v>0.03</v>
      </c>
      <c r="F218" s="23" t="str">
        <f t="shared" si="11"/>
        <v/>
      </c>
      <c r="G218" s="23" t="str">
        <f>IF($B218="","",(Acc!$F218*CommissionDD!$C$30))</f>
        <v/>
      </c>
      <c r="H218" s="23" t="str">
        <f t="shared" si="9"/>
        <v/>
      </c>
    </row>
    <row r="219" spans="1:8">
      <c r="A219" s="21" t="str">
        <f t="shared" si="10"/>
        <v/>
      </c>
      <c r="B219" s="1" t="str">
        <f>IF(Cus!$B219&lt;&gt;"",Cus!$A219,"")</f>
        <v/>
      </c>
      <c r="C219" s="22" t="str">
        <f>IF($B219="","",Cus!$AA219)</f>
        <v/>
      </c>
      <c r="D219" s="23" t="str">
        <f>IF($B219="","",(Acc!$H219*$C219))</f>
        <v/>
      </c>
      <c r="E219" s="24">
        <f>IF(C219&lt;=CommissionDD!$E$3,CommissionDD!$C$3,IF(C219&lt;=CommissionDD!$E$4,CommissionDD!$C$4,IF(C219&lt;=CommissionDD!$E$5,CommissionDD!$C$5,IF(C219&lt;=CommissionDD!$E$6,CommissionDD!$C$6,IF(C219&lt;=CommissionDD!$E$7,CommissionDD!$C$7,IF(C219&lt;=CommissionDD!$E$8,CommissionDD!$C$8,CommissionDD!$C$9))))))</f>
        <v>0.03</v>
      </c>
      <c r="F219" s="23" t="str">
        <f t="shared" si="11"/>
        <v/>
      </c>
      <c r="G219" s="23" t="str">
        <f>IF($B219="","",(Acc!$F219*CommissionDD!$C$30))</f>
        <v/>
      </c>
      <c r="H219" s="23" t="str">
        <f t="shared" si="9"/>
        <v/>
      </c>
    </row>
    <row r="220" spans="1:8">
      <c r="A220" s="21" t="str">
        <f t="shared" si="10"/>
        <v/>
      </c>
      <c r="B220" s="1" t="str">
        <f>IF(Cus!$B220&lt;&gt;"",Cus!$A220,"")</f>
        <v/>
      </c>
      <c r="C220" s="22" t="str">
        <f>IF($B220="","",Cus!$AA220)</f>
        <v/>
      </c>
      <c r="D220" s="23" t="str">
        <f>IF($B220="","",(Acc!$H220*$C220))</f>
        <v/>
      </c>
      <c r="E220" s="24">
        <f>IF(C220&lt;=CommissionDD!$E$3,CommissionDD!$C$3,IF(C220&lt;=CommissionDD!$E$4,CommissionDD!$C$4,IF(C220&lt;=CommissionDD!$E$5,CommissionDD!$C$5,IF(C220&lt;=CommissionDD!$E$6,CommissionDD!$C$6,IF(C220&lt;=CommissionDD!$E$7,CommissionDD!$C$7,IF(C220&lt;=CommissionDD!$E$8,CommissionDD!$C$8,CommissionDD!$C$9))))))</f>
        <v>0.03</v>
      </c>
      <c r="F220" s="23" t="str">
        <f t="shared" si="11"/>
        <v/>
      </c>
      <c r="G220" s="23" t="str">
        <f>IF($B220="","",(Acc!$F220*CommissionDD!$C$30))</f>
        <v/>
      </c>
      <c r="H220" s="23" t="str">
        <f t="shared" si="9"/>
        <v/>
      </c>
    </row>
    <row r="221" spans="1:8">
      <c r="A221" s="21" t="str">
        <f t="shared" si="10"/>
        <v/>
      </c>
      <c r="B221" s="1" t="str">
        <f>IF(Cus!$B221&lt;&gt;"",Cus!$A221,"")</f>
        <v/>
      </c>
      <c r="C221" s="22" t="str">
        <f>IF($B221="","",Cus!$AA221)</f>
        <v/>
      </c>
      <c r="D221" s="23" t="str">
        <f>IF($B221="","",(Acc!$H221*$C221))</f>
        <v/>
      </c>
      <c r="E221" s="24">
        <f>IF(C221&lt;=CommissionDD!$E$3,CommissionDD!$C$3,IF(C221&lt;=CommissionDD!$E$4,CommissionDD!$C$4,IF(C221&lt;=CommissionDD!$E$5,CommissionDD!$C$5,IF(C221&lt;=CommissionDD!$E$6,CommissionDD!$C$6,IF(C221&lt;=CommissionDD!$E$7,CommissionDD!$C$7,IF(C221&lt;=CommissionDD!$E$8,CommissionDD!$C$8,CommissionDD!$C$9))))))</f>
        <v>0.03</v>
      </c>
      <c r="F221" s="23" t="str">
        <f t="shared" si="11"/>
        <v/>
      </c>
      <c r="G221" s="23" t="str">
        <f>IF($B221="","",(Acc!$F221*CommissionDD!$C$30))</f>
        <v/>
      </c>
      <c r="H221" s="23" t="str">
        <f t="shared" si="9"/>
        <v/>
      </c>
    </row>
    <row r="222" spans="1:8">
      <c r="A222" s="21" t="str">
        <f t="shared" si="10"/>
        <v/>
      </c>
      <c r="B222" s="1" t="str">
        <f>IF(Cus!$B222&lt;&gt;"",Cus!$A222,"")</f>
        <v/>
      </c>
      <c r="C222" s="22" t="str">
        <f>IF($B222="","",Cus!$AA222)</f>
        <v/>
      </c>
      <c r="D222" s="23" t="str">
        <f>IF($B222="","",(Acc!$H222*$C222))</f>
        <v/>
      </c>
      <c r="E222" s="24">
        <f>IF(C222&lt;=CommissionDD!$E$3,CommissionDD!$C$3,IF(C222&lt;=CommissionDD!$E$4,CommissionDD!$C$4,IF(C222&lt;=CommissionDD!$E$5,CommissionDD!$C$5,IF(C222&lt;=CommissionDD!$E$6,CommissionDD!$C$6,IF(C222&lt;=CommissionDD!$E$7,CommissionDD!$C$7,IF(C222&lt;=CommissionDD!$E$8,CommissionDD!$C$8,CommissionDD!$C$9))))))</f>
        <v>0.03</v>
      </c>
      <c r="F222" s="23" t="str">
        <f t="shared" si="11"/>
        <v/>
      </c>
      <c r="G222" s="23" t="str">
        <f>IF($B222="","",(Acc!$F222*CommissionDD!$C$30))</f>
        <v/>
      </c>
      <c r="H222" s="23" t="str">
        <f t="shared" si="9"/>
        <v/>
      </c>
    </row>
    <row r="223" spans="1:8">
      <c r="A223" s="21" t="str">
        <f t="shared" si="10"/>
        <v/>
      </c>
      <c r="B223" s="1" t="str">
        <f>IF(Cus!$B223&lt;&gt;"",Cus!$A223,"")</f>
        <v/>
      </c>
      <c r="C223" s="22" t="str">
        <f>IF($B223="","",Cus!$AA223)</f>
        <v/>
      </c>
      <c r="D223" s="23" t="str">
        <f>IF($B223="","",(Acc!$H223*$C223))</f>
        <v/>
      </c>
      <c r="E223" s="24">
        <f>IF(C223&lt;=CommissionDD!$E$3,CommissionDD!$C$3,IF(C223&lt;=CommissionDD!$E$4,CommissionDD!$C$4,IF(C223&lt;=CommissionDD!$E$5,CommissionDD!$C$5,IF(C223&lt;=CommissionDD!$E$6,CommissionDD!$C$6,IF(C223&lt;=CommissionDD!$E$7,CommissionDD!$C$7,IF(C223&lt;=CommissionDD!$E$8,CommissionDD!$C$8,CommissionDD!$C$9))))))</f>
        <v>0.03</v>
      </c>
      <c r="F223" s="23" t="str">
        <f t="shared" si="11"/>
        <v/>
      </c>
      <c r="G223" s="23" t="str">
        <f>IF($B223="","",(Acc!$F223*CommissionDD!$C$30))</f>
        <v/>
      </c>
      <c r="H223" s="23" t="str">
        <f t="shared" si="9"/>
        <v/>
      </c>
    </row>
    <row r="224" spans="1:8">
      <c r="A224" s="21" t="str">
        <f t="shared" si="10"/>
        <v/>
      </c>
      <c r="B224" s="1" t="str">
        <f>IF(Cus!$B224&lt;&gt;"",Cus!$A224,"")</f>
        <v/>
      </c>
      <c r="C224" s="22" t="str">
        <f>IF($B224="","",Cus!$AA224)</f>
        <v/>
      </c>
      <c r="D224" s="23" t="str">
        <f>IF($B224="","",(Acc!$H224*$C224))</f>
        <v/>
      </c>
      <c r="E224" s="24">
        <f>IF(C224&lt;=CommissionDD!$E$3,CommissionDD!$C$3,IF(C224&lt;=CommissionDD!$E$4,CommissionDD!$C$4,IF(C224&lt;=CommissionDD!$E$5,CommissionDD!$C$5,IF(C224&lt;=CommissionDD!$E$6,CommissionDD!$C$6,IF(C224&lt;=CommissionDD!$E$7,CommissionDD!$C$7,IF(C224&lt;=CommissionDD!$E$8,CommissionDD!$C$8,CommissionDD!$C$9))))))</f>
        <v>0.03</v>
      </c>
      <c r="F224" s="23" t="str">
        <f t="shared" si="11"/>
        <v/>
      </c>
      <c r="G224" s="23" t="str">
        <f>IF($B224="","",(Acc!$F224*CommissionDD!$C$30))</f>
        <v/>
      </c>
      <c r="H224" s="23" t="str">
        <f t="shared" si="9"/>
        <v/>
      </c>
    </row>
    <row r="225" spans="1:8">
      <c r="A225" s="21" t="str">
        <f t="shared" si="10"/>
        <v/>
      </c>
      <c r="B225" s="1" t="str">
        <f>IF(Cus!$B225&lt;&gt;"",Cus!$A225,"")</f>
        <v/>
      </c>
      <c r="C225" s="22" t="str">
        <f>IF($B225="","",Cus!$AA225)</f>
        <v/>
      </c>
      <c r="D225" s="23" t="str">
        <f>IF($B225="","",(Acc!$H225*$C225))</f>
        <v/>
      </c>
      <c r="E225" s="24">
        <f>IF(C225&lt;=CommissionDD!$E$3,CommissionDD!$C$3,IF(C225&lt;=CommissionDD!$E$4,CommissionDD!$C$4,IF(C225&lt;=CommissionDD!$E$5,CommissionDD!$C$5,IF(C225&lt;=CommissionDD!$E$6,CommissionDD!$C$6,IF(C225&lt;=CommissionDD!$E$7,CommissionDD!$C$7,IF(C225&lt;=CommissionDD!$E$8,CommissionDD!$C$8,CommissionDD!$C$9))))))</f>
        <v>0.03</v>
      </c>
      <c r="F225" s="23" t="str">
        <f t="shared" si="11"/>
        <v/>
      </c>
      <c r="G225" s="23" t="str">
        <f>IF($B225="","",(Acc!$F225*CommissionDD!$C$30))</f>
        <v/>
      </c>
      <c r="H225" s="23" t="str">
        <f t="shared" si="9"/>
        <v/>
      </c>
    </row>
    <row r="226" spans="1:8">
      <c r="A226" s="21" t="str">
        <f t="shared" si="10"/>
        <v/>
      </c>
      <c r="B226" s="1" t="str">
        <f>IF(Cus!$B226&lt;&gt;"",Cus!$A226,"")</f>
        <v/>
      </c>
      <c r="C226" s="22" t="str">
        <f>IF($B226="","",Cus!$AA226)</f>
        <v/>
      </c>
      <c r="D226" s="23" t="str">
        <f>IF($B226="","",(Acc!$H226*$C226))</f>
        <v/>
      </c>
      <c r="E226" s="24">
        <f>IF(C226&lt;=CommissionDD!$E$3,CommissionDD!$C$3,IF(C226&lt;=CommissionDD!$E$4,CommissionDD!$C$4,IF(C226&lt;=CommissionDD!$E$5,CommissionDD!$C$5,IF(C226&lt;=CommissionDD!$E$6,CommissionDD!$C$6,IF(C226&lt;=CommissionDD!$E$7,CommissionDD!$C$7,IF(C226&lt;=CommissionDD!$E$8,CommissionDD!$C$8,CommissionDD!$C$9))))))</f>
        <v>0.03</v>
      </c>
      <c r="F226" s="23" t="str">
        <f t="shared" si="11"/>
        <v/>
      </c>
      <c r="G226" s="23" t="str">
        <f>IF($B226="","",(Acc!$F226*CommissionDD!$C$30))</f>
        <v/>
      </c>
      <c r="H226" s="23" t="str">
        <f t="shared" si="9"/>
        <v/>
      </c>
    </row>
    <row r="227" spans="1:8">
      <c r="A227" s="21" t="str">
        <f t="shared" si="10"/>
        <v/>
      </c>
      <c r="B227" s="1" t="str">
        <f>IF(Cus!$B227&lt;&gt;"",Cus!$A227,"")</f>
        <v/>
      </c>
      <c r="C227" s="22" t="str">
        <f>IF($B227="","",Cus!$AA227)</f>
        <v/>
      </c>
      <c r="D227" s="23" t="str">
        <f>IF($B227="","",(Acc!$H227*$C227))</f>
        <v/>
      </c>
      <c r="E227" s="24">
        <f>IF(C227&lt;=CommissionDD!$E$3,CommissionDD!$C$3,IF(C227&lt;=CommissionDD!$E$4,CommissionDD!$C$4,IF(C227&lt;=CommissionDD!$E$5,CommissionDD!$C$5,IF(C227&lt;=CommissionDD!$E$6,CommissionDD!$C$6,IF(C227&lt;=CommissionDD!$E$7,CommissionDD!$C$7,IF(C227&lt;=CommissionDD!$E$8,CommissionDD!$C$8,CommissionDD!$C$9))))))</f>
        <v>0.03</v>
      </c>
      <c r="F227" s="23" t="str">
        <f t="shared" si="11"/>
        <v/>
      </c>
      <c r="G227" s="23" t="str">
        <f>IF($B227="","",(Acc!$F227*CommissionDD!$C$30))</f>
        <v/>
      </c>
      <c r="H227" s="23" t="str">
        <f t="shared" si="9"/>
        <v/>
      </c>
    </row>
    <row r="228" spans="1:8">
      <c r="A228" s="21" t="str">
        <f t="shared" si="10"/>
        <v/>
      </c>
      <c r="B228" s="1" t="str">
        <f>IF(Cus!$B228&lt;&gt;"",Cus!$A228,"")</f>
        <v/>
      </c>
      <c r="C228" s="22" t="str">
        <f>IF($B228="","",Cus!$AA228)</f>
        <v/>
      </c>
      <c r="D228" s="23" t="str">
        <f>IF($B228="","",(Acc!$H228*$C228))</f>
        <v/>
      </c>
      <c r="E228" s="24">
        <f>IF(C228&lt;=CommissionDD!$E$3,CommissionDD!$C$3,IF(C228&lt;=CommissionDD!$E$4,CommissionDD!$C$4,IF(C228&lt;=CommissionDD!$E$5,CommissionDD!$C$5,IF(C228&lt;=CommissionDD!$E$6,CommissionDD!$C$6,IF(C228&lt;=CommissionDD!$E$7,CommissionDD!$C$7,IF(C228&lt;=CommissionDD!$E$8,CommissionDD!$C$8,CommissionDD!$C$9))))))</f>
        <v>0.03</v>
      </c>
      <c r="F228" s="23" t="str">
        <f t="shared" si="11"/>
        <v/>
      </c>
      <c r="G228" s="23" t="str">
        <f>IF($B228="","",(Acc!$F228*CommissionDD!$C$30))</f>
        <v/>
      </c>
      <c r="H228" s="23" t="str">
        <f t="shared" si="9"/>
        <v/>
      </c>
    </row>
    <row r="229" spans="1:8">
      <c r="A229" s="21" t="str">
        <f t="shared" si="10"/>
        <v/>
      </c>
      <c r="B229" s="1" t="str">
        <f>IF(Cus!$B229&lt;&gt;"",Cus!$A229,"")</f>
        <v/>
      </c>
      <c r="C229" s="22" t="str">
        <f>IF($B229="","",Cus!$AA229)</f>
        <v/>
      </c>
      <c r="D229" s="23" t="str">
        <f>IF($B229="","",(Acc!$H229*$C229))</f>
        <v/>
      </c>
      <c r="E229" s="24">
        <f>IF(C229&lt;=CommissionDD!$E$3,CommissionDD!$C$3,IF(C229&lt;=CommissionDD!$E$4,CommissionDD!$C$4,IF(C229&lt;=CommissionDD!$E$5,CommissionDD!$C$5,IF(C229&lt;=CommissionDD!$E$6,CommissionDD!$C$6,IF(C229&lt;=CommissionDD!$E$7,CommissionDD!$C$7,IF(C229&lt;=CommissionDD!$E$8,CommissionDD!$C$8,CommissionDD!$C$9))))))</f>
        <v>0.03</v>
      </c>
      <c r="F229" s="23" t="str">
        <f t="shared" si="11"/>
        <v/>
      </c>
      <c r="G229" s="23" t="str">
        <f>IF($B229="","",(Acc!$F229*CommissionDD!$C$30))</f>
        <v/>
      </c>
      <c r="H229" s="23" t="str">
        <f t="shared" si="9"/>
        <v/>
      </c>
    </row>
    <row r="230" spans="1:8">
      <c r="A230" s="21" t="str">
        <f t="shared" si="10"/>
        <v/>
      </c>
      <c r="B230" s="1" t="str">
        <f>IF(Cus!$B230&lt;&gt;"",Cus!$A230,"")</f>
        <v/>
      </c>
      <c r="C230" s="22" t="str">
        <f>IF($B230="","",Cus!$AA230)</f>
        <v/>
      </c>
      <c r="D230" s="23" t="str">
        <f>IF($B230="","",(Acc!$H230*$C230))</f>
        <v/>
      </c>
      <c r="E230" s="24">
        <f>IF(C230&lt;=CommissionDD!$E$3,CommissionDD!$C$3,IF(C230&lt;=CommissionDD!$E$4,CommissionDD!$C$4,IF(C230&lt;=CommissionDD!$E$5,CommissionDD!$C$5,IF(C230&lt;=CommissionDD!$E$6,CommissionDD!$C$6,IF(C230&lt;=CommissionDD!$E$7,CommissionDD!$C$7,IF(C230&lt;=CommissionDD!$E$8,CommissionDD!$C$8,CommissionDD!$C$9))))))</f>
        <v>0.03</v>
      </c>
      <c r="F230" s="23" t="str">
        <f t="shared" si="11"/>
        <v/>
      </c>
      <c r="G230" s="23" t="str">
        <f>IF($B230="","",(Acc!$F230*CommissionDD!$C$30))</f>
        <v/>
      </c>
      <c r="H230" s="23" t="str">
        <f t="shared" si="9"/>
        <v/>
      </c>
    </row>
    <row r="231" spans="1:8">
      <c r="A231" s="21" t="str">
        <f t="shared" si="10"/>
        <v/>
      </c>
      <c r="B231" s="1" t="str">
        <f>IF(Cus!$B231&lt;&gt;"",Cus!$A231,"")</f>
        <v/>
      </c>
      <c r="C231" s="22" t="str">
        <f>IF($B231="","",Cus!$AA231)</f>
        <v/>
      </c>
      <c r="D231" s="23" t="str">
        <f>IF($B231="","",(Acc!$H231*$C231))</f>
        <v/>
      </c>
      <c r="E231" s="24">
        <f>IF(C231&lt;=CommissionDD!$E$3,CommissionDD!$C$3,IF(C231&lt;=CommissionDD!$E$4,CommissionDD!$C$4,IF(C231&lt;=CommissionDD!$E$5,CommissionDD!$C$5,IF(C231&lt;=CommissionDD!$E$6,CommissionDD!$C$6,IF(C231&lt;=CommissionDD!$E$7,CommissionDD!$C$7,IF(C231&lt;=CommissionDD!$E$8,CommissionDD!$C$8,CommissionDD!$C$9))))))</f>
        <v>0.03</v>
      </c>
      <c r="F231" s="23" t="str">
        <f t="shared" si="11"/>
        <v/>
      </c>
      <c r="G231" s="23" t="str">
        <f>IF($B231="","",(Acc!$F231*CommissionDD!$C$30))</f>
        <v/>
      </c>
      <c r="H231" s="23" t="str">
        <f t="shared" si="9"/>
        <v/>
      </c>
    </row>
    <row r="232" spans="1:8">
      <c r="A232" s="21">
        <f t="shared" si="10"/>
        <v>231</v>
      </c>
      <c r="B232" s="1" t="str">
        <f>IF(Cus!$B232&lt;&gt;"",Cus!$A232,"")</f>
        <v>K0000231</v>
      </c>
      <c r="C232" s="22">
        <f>IF($B232="","",Cus!$AA232)</f>
        <v>3</v>
      </c>
      <c r="D232" s="23">
        <f>IF($B232="","",(Acc!$H232*$C232))</f>
        <v>1185</v>
      </c>
      <c r="E232" s="24">
        <f>IF(C232&lt;=CommissionDD!$E$3,CommissionDD!$C$3,IF(C232&lt;=CommissionDD!$E$4,CommissionDD!$C$4,IF(C232&lt;=CommissionDD!$E$5,CommissionDD!$C$5,IF(C232&lt;=CommissionDD!$E$6,CommissionDD!$C$6,IF(C232&lt;=CommissionDD!$E$7,CommissionDD!$C$7,IF(C232&lt;=CommissionDD!$E$8,CommissionDD!$C$8,CommissionDD!$C$9))))))</f>
        <v>0.12</v>
      </c>
      <c r="F232" s="23">
        <f t="shared" si="11"/>
        <v>142.19999999999999</v>
      </c>
      <c r="G232" s="23">
        <f>IF($B232="","",(Acc!$F232*CommissionDD!$C$30))</f>
        <v>150</v>
      </c>
      <c r="H232" s="23">
        <f t="shared" si="9"/>
        <v>292.2</v>
      </c>
    </row>
    <row r="233" spans="1:8">
      <c r="A233" s="21" t="str">
        <f t="shared" si="10"/>
        <v/>
      </c>
      <c r="B233" s="1" t="str">
        <f>IF(Cus!$B233&lt;&gt;"",Cus!$A233,"")</f>
        <v/>
      </c>
      <c r="C233" s="22" t="str">
        <f>IF($B233="","",Cus!$AA233)</f>
        <v/>
      </c>
      <c r="D233" s="23" t="str">
        <f>IF($B233="","",(Acc!$H233*$C233))</f>
        <v/>
      </c>
      <c r="E233" s="24">
        <f>IF(C233&lt;=CommissionDD!$E$3,CommissionDD!$C$3,IF(C233&lt;=CommissionDD!$E$4,CommissionDD!$C$4,IF(C233&lt;=CommissionDD!$E$5,CommissionDD!$C$5,IF(C233&lt;=CommissionDD!$E$6,CommissionDD!$C$6,IF(C233&lt;=CommissionDD!$E$7,CommissionDD!$C$7,IF(C233&lt;=CommissionDD!$E$8,CommissionDD!$C$8,CommissionDD!$C$9))))))</f>
        <v>0.03</v>
      </c>
      <c r="F233" s="23" t="str">
        <f t="shared" si="11"/>
        <v/>
      </c>
      <c r="G233" s="23" t="str">
        <f>IF($B233="","",(Acc!$F233*CommissionDD!$C$30))</f>
        <v/>
      </c>
      <c r="H233" s="23" t="str">
        <f t="shared" si="9"/>
        <v/>
      </c>
    </row>
    <row r="234" spans="1:8">
      <c r="A234" s="21" t="str">
        <f t="shared" si="10"/>
        <v/>
      </c>
      <c r="B234" s="1" t="str">
        <f>IF(Cus!$B234&lt;&gt;"",Cus!$A234,"")</f>
        <v/>
      </c>
      <c r="C234" s="22" t="str">
        <f>IF($B234="","",Cus!$AA234)</f>
        <v/>
      </c>
      <c r="D234" s="23" t="str">
        <f>IF($B234="","",(Acc!$H234*$C234))</f>
        <v/>
      </c>
      <c r="E234" s="24">
        <f>IF(C234&lt;=CommissionDD!$E$3,CommissionDD!$C$3,IF(C234&lt;=CommissionDD!$E$4,CommissionDD!$C$4,IF(C234&lt;=CommissionDD!$E$5,CommissionDD!$C$5,IF(C234&lt;=CommissionDD!$E$6,CommissionDD!$C$6,IF(C234&lt;=CommissionDD!$E$7,CommissionDD!$C$7,IF(C234&lt;=CommissionDD!$E$8,CommissionDD!$C$8,CommissionDD!$C$9))))))</f>
        <v>0.03</v>
      </c>
      <c r="F234" s="23" t="str">
        <f t="shared" si="11"/>
        <v/>
      </c>
      <c r="G234" s="23" t="str">
        <f>IF($B234="","",(Acc!$F234*CommissionDD!$C$30))</f>
        <v/>
      </c>
      <c r="H234" s="23" t="str">
        <f t="shared" si="9"/>
        <v/>
      </c>
    </row>
    <row r="235" spans="1:8">
      <c r="A235" s="21" t="str">
        <f t="shared" si="10"/>
        <v/>
      </c>
      <c r="B235" s="1" t="str">
        <f>IF(Cus!$B235&lt;&gt;"",Cus!$A235,"")</f>
        <v/>
      </c>
      <c r="C235" s="22" t="str">
        <f>IF($B235="","",Cus!$AA235)</f>
        <v/>
      </c>
      <c r="D235" s="23" t="str">
        <f>IF($B235="","",(Acc!$H235*$C235))</f>
        <v/>
      </c>
      <c r="E235" s="24">
        <f>IF(C235&lt;=CommissionDD!$E$3,CommissionDD!$C$3,IF(C235&lt;=CommissionDD!$E$4,CommissionDD!$C$4,IF(C235&lt;=CommissionDD!$E$5,CommissionDD!$C$5,IF(C235&lt;=CommissionDD!$E$6,CommissionDD!$C$6,IF(C235&lt;=CommissionDD!$E$7,CommissionDD!$C$7,IF(C235&lt;=CommissionDD!$E$8,CommissionDD!$C$8,CommissionDD!$C$9))))))</f>
        <v>0.03</v>
      </c>
      <c r="F235" s="23" t="str">
        <f t="shared" si="11"/>
        <v/>
      </c>
      <c r="G235" s="23" t="str">
        <f>IF($B235="","",(Acc!$F235*CommissionDD!$C$30))</f>
        <v/>
      </c>
      <c r="H235" s="23" t="str">
        <f t="shared" si="9"/>
        <v/>
      </c>
    </row>
    <row r="236" spans="1:8">
      <c r="A236" s="21" t="str">
        <f t="shared" si="10"/>
        <v/>
      </c>
      <c r="B236" s="1" t="str">
        <f>IF(Cus!$B236&lt;&gt;"",Cus!$A236,"")</f>
        <v/>
      </c>
      <c r="C236" s="22" t="str">
        <f>IF($B236="","",Cus!$AA236)</f>
        <v/>
      </c>
      <c r="D236" s="23" t="str">
        <f>IF($B236="","",(Acc!$H236*$C236))</f>
        <v/>
      </c>
      <c r="E236" s="24">
        <f>IF(C236&lt;=CommissionDD!$E$3,CommissionDD!$C$3,IF(C236&lt;=CommissionDD!$E$4,CommissionDD!$C$4,IF(C236&lt;=CommissionDD!$E$5,CommissionDD!$C$5,IF(C236&lt;=CommissionDD!$E$6,CommissionDD!$C$6,IF(C236&lt;=CommissionDD!$E$7,CommissionDD!$C$7,IF(C236&lt;=CommissionDD!$E$8,CommissionDD!$C$8,CommissionDD!$C$9))))))</f>
        <v>0.03</v>
      </c>
      <c r="F236" s="23" t="str">
        <f t="shared" si="11"/>
        <v/>
      </c>
      <c r="G236" s="23" t="str">
        <f>IF($B236="","",(Acc!$F236*CommissionDD!$C$30))</f>
        <v/>
      </c>
      <c r="H236" s="23" t="str">
        <f t="shared" si="9"/>
        <v/>
      </c>
    </row>
    <row r="237" spans="1:8">
      <c r="A237" s="21" t="str">
        <f t="shared" si="10"/>
        <v/>
      </c>
      <c r="B237" s="1" t="str">
        <f>IF(Cus!$B237&lt;&gt;"",Cus!$A237,"")</f>
        <v/>
      </c>
      <c r="C237" s="22" t="str">
        <f>IF($B237="","",Cus!$AA237)</f>
        <v/>
      </c>
      <c r="D237" s="23" t="str">
        <f>IF($B237="","",(Acc!$H237*$C237))</f>
        <v/>
      </c>
      <c r="E237" s="24">
        <f>IF(C237&lt;=CommissionDD!$E$3,CommissionDD!$C$3,IF(C237&lt;=CommissionDD!$E$4,CommissionDD!$C$4,IF(C237&lt;=CommissionDD!$E$5,CommissionDD!$C$5,IF(C237&lt;=CommissionDD!$E$6,CommissionDD!$C$6,IF(C237&lt;=CommissionDD!$E$7,CommissionDD!$C$7,IF(C237&lt;=CommissionDD!$E$8,CommissionDD!$C$8,CommissionDD!$C$9))))))</f>
        <v>0.03</v>
      </c>
      <c r="F237" s="23" t="str">
        <f t="shared" si="11"/>
        <v/>
      </c>
      <c r="G237" s="23" t="str">
        <f>IF($B237="","",(Acc!$F237*CommissionDD!$C$30))</f>
        <v/>
      </c>
      <c r="H237" s="23" t="str">
        <f t="shared" si="9"/>
        <v/>
      </c>
    </row>
    <row r="238" spans="1:8">
      <c r="A238" s="21" t="str">
        <f t="shared" si="10"/>
        <v/>
      </c>
      <c r="B238" s="1" t="str">
        <f>IF(Cus!$B238&lt;&gt;"",Cus!$A238,"")</f>
        <v/>
      </c>
      <c r="C238" s="22" t="str">
        <f>IF($B238="","",Cus!$AA238)</f>
        <v/>
      </c>
      <c r="D238" s="23" t="str">
        <f>IF($B238="","",(Acc!$H238*$C238))</f>
        <v/>
      </c>
      <c r="E238" s="24">
        <f>IF(C238&lt;=CommissionDD!$E$3,CommissionDD!$C$3,IF(C238&lt;=CommissionDD!$E$4,CommissionDD!$C$4,IF(C238&lt;=CommissionDD!$E$5,CommissionDD!$C$5,IF(C238&lt;=CommissionDD!$E$6,CommissionDD!$C$6,IF(C238&lt;=CommissionDD!$E$7,CommissionDD!$C$7,IF(C238&lt;=CommissionDD!$E$8,CommissionDD!$C$8,CommissionDD!$C$9))))))</f>
        <v>0.03</v>
      </c>
      <c r="F238" s="23" t="str">
        <f t="shared" si="11"/>
        <v/>
      </c>
      <c r="G238" s="23" t="str">
        <f>IF($B238="","",(Acc!$F238*CommissionDD!$C$30))</f>
        <v/>
      </c>
      <c r="H238" s="23" t="str">
        <f t="shared" si="9"/>
        <v/>
      </c>
    </row>
    <row r="239" spans="1:8">
      <c r="A239" s="21" t="str">
        <f t="shared" si="10"/>
        <v/>
      </c>
      <c r="B239" s="1" t="str">
        <f>IF(Cus!$B239&lt;&gt;"",Cus!$A239,"")</f>
        <v/>
      </c>
      <c r="C239" s="22" t="str">
        <f>IF($B239="","",Cus!$AA239)</f>
        <v/>
      </c>
      <c r="D239" s="23" t="str">
        <f>IF($B239="","",(Acc!$H239*$C239))</f>
        <v/>
      </c>
      <c r="E239" s="24">
        <f>IF(C239&lt;=CommissionDD!$E$3,CommissionDD!$C$3,IF(C239&lt;=CommissionDD!$E$4,CommissionDD!$C$4,IF(C239&lt;=CommissionDD!$E$5,CommissionDD!$C$5,IF(C239&lt;=CommissionDD!$E$6,CommissionDD!$C$6,IF(C239&lt;=CommissionDD!$E$7,CommissionDD!$C$7,IF(C239&lt;=CommissionDD!$E$8,CommissionDD!$C$8,CommissionDD!$C$9))))))</f>
        <v>0.03</v>
      </c>
      <c r="F239" s="23" t="str">
        <f t="shared" si="11"/>
        <v/>
      </c>
      <c r="G239" s="23" t="str">
        <f>IF($B239="","",(Acc!$F239*CommissionDD!$C$30))</f>
        <v/>
      </c>
      <c r="H239" s="23" t="str">
        <f t="shared" si="9"/>
        <v/>
      </c>
    </row>
    <row r="240" spans="1:8">
      <c r="A240" s="21" t="str">
        <f t="shared" si="10"/>
        <v/>
      </c>
      <c r="B240" s="1" t="str">
        <f>IF(Cus!$B240&lt;&gt;"",Cus!$A240,"")</f>
        <v/>
      </c>
      <c r="C240" s="22" t="str">
        <f>IF($B240="","",Cus!$AA240)</f>
        <v/>
      </c>
      <c r="D240" s="23" t="str">
        <f>IF($B240="","",(Acc!$H240*$C240))</f>
        <v/>
      </c>
      <c r="E240" s="24">
        <f>IF(C240&lt;=CommissionDD!$E$3,CommissionDD!$C$3,IF(C240&lt;=CommissionDD!$E$4,CommissionDD!$C$4,IF(C240&lt;=CommissionDD!$E$5,CommissionDD!$C$5,IF(C240&lt;=CommissionDD!$E$6,CommissionDD!$C$6,IF(C240&lt;=CommissionDD!$E$7,CommissionDD!$C$7,IF(C240&lt;=CommissionDD!$E$8,CommissionDD!$C$8,CommissionDD!$C$9))))))</f>
        <v>0.03</v>
      </c>
      <c r="F240" s="23" t="str">
        <f t="shared" si="11"/>
        <v/>
      </c>
      <c r="G240" s="23" t="str">
        <f>IF($B240="","",(Acc!$F240*CommissionDD!$C$30))</f>
        <v/>
      </c>
      <c r="H240" s="23" t="str">
        <f t="shared" si="9"/>
        <v/>
      </c>
    </row>
    <row r="241" spans="1:8">
      <c r="A241" s="21" t="str">
        <f t="shared" si="10"/>
        <v/>
      </c>
      <c r="B241" s="1" t="str">
        <f>IF(Cus!$B241&lt;&gt;"",Cus!$A241,"")</f>
        <v/>
      </c>
      <c r="C241" s="22" t="str">
        <f>IF($B241="","",Cus!$AA241)</f>
        <v/>
      </c>
      <c r="D241" s="23" t="str">
        <f>IF($B241="","",(Acc!$H241*$C241))</f>
        <v/>
      </c>
      <c r="E241" s="24">
        <f>IF(C241&lt;=CommissionDD!$E$3,CommissionDD!$C$3,IF(C241&lt;=CommissionDD!$E$4,CommissionDD!$C$4,IF(C241&lt;=CommissionDD!$E$5,CommissionDD!$C$5,IF(C241&lt;=CommissionDD!$E$6,CommissionDD!$C$6,IF(C241&lt;=CommissionDD!$E$7,CommissionDD!$C$7,IF(C241&lt;=CommissionDD!$E$8,CommissionDD!$C$8,CommissionDD!$C$9))))))</f>
        <v>0.03</v>
      </c>
      <c r="F241" s="23" t="str">
        <f t="shared" si="11"/>
        <v/>
      </c>
      <c r="G241" s="23" t="str">
        <f>IF($B241="","",(Acc!$F241*CommissionDD!$C$30))</f>
        <v/>
      </c>
      <c r="H241" s="23" t="str">
        <f t="shared" si="9"/>
        <v/>
      </c>
    </row>
    <row r="242" spans="1:8">
      <c r="A242" s="21" t="str">
        <f t="shared" si="10"/>
        <v/>
      </c>
      <c r="B242" s="1" t="str">
        <f>IF(Cus!$B242&lt;&gt;"",Cus!$A242,"")</f>
        <v/>
      </c>
      <c r="C242" s="22" t="str">
        <f>IF($B242="","",Cus!$AA242)</f>
        <v/>
      </c>
      <c r="D242" s="23" t="str">
        <f>IF($B242="","",(Acc!$H242*$C242))</f>
        <v/>
      </c>
      <c r="E242" s="24">
        <f>IF(C242&lt;=CommissionDD!$E$3,CommissionDD!$C$3,IF(C242&lt;=CommissionDD!$E$4,CommissionDD!$C$4,IF(C242&lt;=CommissionDD!$E$5,CommissionDD!$C$5,IF(C242&lt;=CommissionDD!$E$6,CommissionDD!$C$6,IF(C242&lt;=CommissionDD!$E$7,CommissionDD!$C$7,IF(C242&lt;=CommissionDD!$E$8,CommissionDD!$C$8,CommissionDD!$C$9))))))</f>
        <v>0.03</v>
      </c>
      <c r="F242" s="23" t="str">
        <f t="shared" si="11"/>
        <v/>
      </c>
      <c r="G242" s="23" t="str">
        <f>IF($B242="","",(Acc!$F242*CommissionDD!$C$30))</f>
        <v/>
      </c>
      <c r="H242" s="23" t="str">
        <f t="shared" si="9"/>
        <v/>
      </c>
    </row>
    <row r="243" spans="1:8">
      <c r="A243" s="21" t="str">
        <f t="shared" si="10"/>
        <v/>
      </c>
      <c r="B243" s="1" t="str">
        <f>IF(Cus!$B243&lt;&gt;"",Cus!$A243,"")</f>
        <v/>
      </c>
      <c r="C243" s="22" t="str">
        <f>IF($B243="","",Cus!$AA243)</f>
        <v/>
      </c>
      <c r="D243" s="23" t="str">
        <f>IF($B243="","",(Acc!$H243*$C243))</f>
        <v/>
      </c>
      <c r="E243" s="24">
        <f>IF(C243&lt;=CommissionDD!$E$3,CommissionDD!$C$3,IF(C243&lt;=CommissionDD!$E$4,CommissionDD!$C$4,IF(C243&lt;=CommissionDD!$E$5,CommissionDD!$C$5,IF(C243&lt;=CommissionDD!$E$6,CommissionDD!$C$6,IF(C243&lt;=CommissionDD!$E$7,CommissionDD!$C$7,IF(C243&lt;=CommissionDD!$E$8,CommissionDD!$C$8,CommissionDD!$C$9))))))</f>
        <v>0.03</v>
      </c>
      <c r="F243" s="23" t="str">
        <f t="shared" si="11"/>
        <v/>
      </c>
      <c r="G243" s="23" t="str">
        <f>IF($B243="","",(Acc!$F243*CommissionDD!$C$30))</f>
        <v/>
      </c>
      <c r="H243" s="23" t="str">
        <f t="shared" si="9"/>
        <v/>
      </c>
    </row>
    <row r="244" spans="1:8">
      <c r="A244" s="21" t="str">
        <f t="shared" si="10"/>
        <v/>
      </c>
      <c r="B244" s="1" t="str">
        <f>IF(Cus!$B244&lt;&gt;"",Cus!$A244,"")</f>
        <v/>
      </c>
      <c r="C244" s="22" t="str">
        <f>IF($B244="","",Cus!$AA244)</f>
        <v/>
      </c>
      <c r="D244" s="23" t="str">
        <f>IF($B244="","",(Acc!$H244*$C244))</f>
        <v/>
      </c>
      <c r="E244" s="24">
        <f>IF(C244&lt;=CommissionDD!$E$3,CommissionDD!$C$3,IF(C244&lt;=CommissionDD!$E$4,CommissionDD!$C$4,IF(C244&lt;=CommissionDD!$E$5,CommissionDD!$C$5,IF(C244&lt;=CommissionDD!$E$6,CommissionDD!$C$6,IF(C244&lt;=CommissionDD!$E$7,CommissionDD!$C$7,IF(C244&lt;=CommissionDD!$E$8,CommissionDD!$C$8,CommissionDD!$C$9))))))</f>
        <v>0.03</v>
      </c>
      <c r="F244" s="23" t="str">
        <f t="shared" si="11"/>
        <v/>
      </c>
      <c r="G244" s="23" t="str">
        <f>IF($B244="","",(Acc!$F244*CommissionDD!$C$30))</f>
        <v/>
      </c>
      <c r="H244" s="23" t="str">
        <f t="shared" si="9"/>
        <v/>
      </c>
    </row>
    <row r="245" spans="1:8">
      <c r="A245" s="21" t="str">
        <f t="shared" si="10"/>
        <v/>
      </c>
      <c r="B245" s="1" t="str">
        <f>IF(Cus!$B245&lt;&gt;"",Cus!$A245,"")</f>
        <v/>
      </c>
      <c r="C245" s="22" t="str">
        <f>IF($B245="","",Cus!$AA245)</f>
        <v/>
      </c>
      <c r="D245" s="23" t="str">
        <f>IF($B245="","",(Acc!$H245*$C245))</f>
        <v/>
      </c>
      <c r="E245" s="24">
        <f>IF(C245&lt;=CommissionDD!$E$3,CommissionDD!$C$3,IF(C245&lt;=CommissionDD!$E$4,CommissionDD!$C$4,IF(C245&lt;=CommissionDD!$E$5,CommissionDD!$C$5,IF(C245&lt;=CommissionDD!$E$6,CommissionDD!$C$6,IF(C245&lt;=CommissionDD!$E$7,CommissionDD!$C$7,IF(C245&lt;=CommissionDD!$E$8,CommissionDD!$C$8,CommissionDD!$C$9))))))</f>
        <v>0.03</v>
      </c>
      <c r="F245" s="23" t="str">
        <f t="shared" si="11"/>
        <v/>
      </c>
      <c r="G245" s="23" t="str">
        <f>IF($B245="","",(Acc!$F245*CommissionDD!$C$30))</f>
        <v/>
      </c>
      <c r="H245" s="23" t="str">
        <f t="shared" si="9"/>
        <v/>
      </c>
    </row>
    <row r="246" spans="1:8">
      <c r="A246" s="21" t="str">
        <f t="shared" si="10"/>
        <v/>
      </c>
      <c r="B246" s="1" t="str">
        <f>IF(Cus!$B246&lt;&gt;"",Cus!$A246,"")</f>
        <v/>
      </c>
      <c r="C246" s="22" t="str">
        <f>IF($B246="","",Cus!$AA246)</f>
        <v/>
      </c>
      <c r="D246" s="23" t="str">
        <f>IF($B246="","",(Acc!$H246*$C246))</f>
        <v/>
      </c>
      <c r="E246" s="24">
        <f>IF(C246&lt;=CommissionDD!$E$3,CommissionDD!$C$3,IF(C246&lt;=CommissionDD!$E$4,CommissionDD!$C$4,IF(C246&lt;=CommissionDD!$E$5,CommissionDD!$C$5,IF(C246&lt;=CommissionDD!$E$6,CommissionDD!$C$6,IF(C246&lt;=CommissionDD!$E$7,CommissionDD!$C$7,IF(C246&lt;=CommissionDD!$E$8,CommissionDD!$C$8,CommissionDD!$C$9))))))</f>
        <v>0.03</v>
      </c>
      <c r="F246" s="23" t="str">
        <f t="shared" si="11"/>
        <v/>
      </c>
      <c r="G246" s="23" t="str">
        <f>IF($B246="","",(Acc!$F246*CommissionDD!$C$30))</f>
        <v/>
      </c>
      <c r="H246" s="23" t="str">
        <f t="shared" si="9"/>
        <v/>
      </c>
    </row>
    <row r="247" spans="1:8">
      <c r="A247" s="21" t="str">
        <f t="shared" si="10"/>
        <v/>
      </c>
      <c r="B247" s="1" t="str">
        <f>IF(Cus!$B247&lt;&gt;"",Cus!$A247,"")</f>
        <v/>
      </c>
      <c r="C247" s="22" t="str">
        <f>IF($B247="","",Cus!$AA247)</f>
        <v/>
      </c>
      <c r="D247" s="23" t="str">
        <f>IF($B247="","",(Acc!$H247*$C247))</f>
        <v/>
      </c>
      <c r="E247" s="24">
        <f>IF(C247&lt;=CommissionDD!$E$3,CommissionDD!$C$3,IF(C247&lt;=CommissionDD!$E$4,CommissionDD!$C$4,IF(C247&lt;=CommissionDD!$E$5,CommissionDD!$C$5,IF(C247&lt;=CommissionDD!$E$6,CommissionDD!$C$6,IF(C247&lt;=CommissionDD!$E$7,CommissionDD!$C$7,IF(C247&lt;=CommissionDD!$E$8,CommissionDD!$C$8,CommissionDD!$C$9))))))</f>
        <v>0.03</v>
      </c>
      <c r="F247" s="23" t="str">
        <f t="shared" si="11"/>
        <v/>
      </c>
      <c r="G247" s="23" t="str">
        <f>IF($B247="","",(Acc!$F247*CommissionDD!$C$30))</f>
        <v/>
      </c>
      <c r="H247" s="23" t="str">
        <f t="shared" si="9"/>
        <v/>
      </c>
    </row>
    <row r="248" spans="1:8">
      <c r="A248" s="21" t="str">
        <f t="shared" si="10"/>
        <v/>
      </c>
      <c r="B248" s="1" t="str">
        <f>IF(Cus!$B248&lt;&gt;"",Cus!$A248,"")</f>
        <v/>
      </c>
      <c r="C248" s="22" t="str">
        <f>IF($B248="","",Cus!$AA248)</f>
        <v/>
      </c>
      <c r="D248" s="23" t="str">
        <f>IF($B248="","",(Acc!$H248*$C248))</f>
        <v/>
      </c>
      <c r="E248" s="24">
        <f>IF(C248&lt;=CommissionDD!$E$3,CommissionDD!$C$3,IF(C248&lt;=CommissionDD!$E$4,CommissionDD!$C$4,IF(C248&lt;=CommissionDD!$E$5,CommissionDD!$C$5,IF(C248&lt;=CommissionDD!$E$6,CommissionDD!$C$6,IF(C248&lt;=CommissionDD!$E$7,CommissionDD!$C$7,IF(C248&lt;=CommissionDD!$E$8,CommissionDD!$C$8,CommissionDD!$C$9))))))</f>
        <v>0.03</v>
      </c>
      <c r="F248" s="23" t="str">
        <f t="shared" si="11"/>
        <v/>
      </c>
      <c r="G248" s="23" t="str">
        <f>IF($B248="","",(Acc!$F248*CommissionDD!$C$30))</f>
        <v/>
      </c>
      <c r="H248" s="23" t="str">
        <f t="shared" si="9"/>
        <v/>
      </c>
    </row>
    <row r="249" spans="1:8">
      <c r="A249" s="21" t="str">
        <f t="shared" si="10"/>
        <v/>
      </c>
      <c r="B249" s="1" t="str">
        <f>IF(Cus!$B249&lt;&gt;"",Cus!$A249,"")</f>
        <v/>
      </c>
      <c r="C249" s="22" t="str">
        <f>IF($B249="","",Cus!$AA249)</f>
        <v/>
      </c>
      <c r="D249" s="23" t="str">
        <f>IF($B249="","",(Acc!$H249*$C249))</f>
        <v/>
      </c>
      <c r="E249" s="24">
        <f>IF(C249&lt;=CommissionDD!$E$3,CommissionDD!$C$3,IF(C249&lt;=CommissionDD!$E$4,CommissionDD!$C$4,IF(C249&lt;=CommissionDD!$E$5,CommissionDD!$C$5,IF(C249&lt;=CommissionDD!$E$6,CommissionDD!$C$6,IF(C249&lt;=CommissionDD!$E$7,CommissionDD!$C$7,IF(C249&lt;=CommissionDD!$E$8,CommissionDD!$C$8,CommissionDD!$C$9))))))</f>
        <v>0.03</v>
      </c>
      <c r="F249" s="23" t="str">
        <f t="shared" si="11"/>
        <v/>
      </c>
      <c r="G249" s="23" t="str">
        <f>IF($B249="","",(Acc!$F249*CommissionDD!$C$30))</f>
        <v/>
      </c>
      <c r="H249" s="23" t="str">
        <f t="shared" si="9"/>
        <v/>
      </c>
    </row>
    <row r="250" spans="1:8">
      <c r="A250" s="21" t="str">
        <f t="shared" si="10"/>
        <v/>
      </c>
      <c r="B250" s="1" t="str">
        <f>IF(Cus!$B250&lt;&gt;"",Cus!$A250,"")</f>
        <v/>
      </c>
      <c r="C250" s="22" t="str">
        <f>IF($B250="","",Cus!$AA250)</f>
        <v/>
      </c>
      <c r="D250" s="23" t="str">
        <f>IF($B250="","",(Acc!$H250*$C250))</f>
        <v/>
      </c>
      <c r="E250" s="24">
        <f>IF(C250&lt;=CommissionDD!$E$3,CommissionDD!$C$3,IF(C250&lt;=CommissionDD!$E$4,CommissionDD!$C$4,IF(C250&lt;=CommissionDD!$E$5,CommissionDD!$C$5,IF(C250&lt;=CommissionDD!$E$6,CommissionDD!$C$6,IF(C250&lt;=CommissionDD!$E$7,CommissionDD!$C$7,IF(C250&lt;=CommissionDD!$E$8,CommissionDD!$C$8,CommissionDD!$C$9))))))</f>
        <v>0.03</v>
      </c>
      <c r="F250" s="23" t="str">
        <f t="shared" si="11"/>
        <v/>
      </c>
      <c r="G250" s="23" t="str">
        <f>IF($B250="","",(Acc!$F250*CommissionDD!$C$30))</f>
        <v/>
      </c>
      <c r="H250" s="23" t="str">
        <f t="shared" si="9"/>
        <v/>
      </c>
    </row>
    <row r="251" spans="1:8">
      <c r="A251" s="21" t="str">
        <f t="shared" si="10"/>
        <v/>
      </c>
      <c r="B251" s="1" t="str">
        <f>IF(Cus!$B251&lt;&gt;"",Cus!$A251,"")</f>
        <v/>
      </c>
      <c r="C251" s="22" t="str">
        <f>IF($B251="","",Cus!$AA251)</f>
        <v/>
      </c>
      <c r="D251" s="23" t="str">
        <f>IF($B251="","",(Acc!$H251*$C251))</f>
        <v/>
      </c>
      <c r="E251" s="24">
        <f>IF(C251&lt;=CommissionDD!$E$3,CommissionDD!$C$3,IF(C251&lt;=CommissionDD!$E$4,CommissionDD!$C$4,IF(C251&lt;=CommissionDD!$E$5,CommissionDD!$C$5,IF(C251&lt;=CommissionDD!$E$6,CommissionDD!$C$6,IF(C251&lt;=CommissionDD!$E$7,CommissionDD!$C$7,IF(C251&lt;=CommissionDD!$E$8,CommissionDD!$C$8,CommissionDD!$C$9))))))</f>
        <v>0.03</v>
      </c>
      <c r="F251" s="23" t="str">
        <f t="shared" si="11"/>
        <v/>
      </c>
      <c r="G251" s="23" t="str">
        <f>IF($B251="","",(Acc!$F251*CommissionDD!$C$30))</f>
        <v/>
      </c>
      <c r="H251" s="23" t="str">
        <f t="shared" si="9"/>
        <v/>
      </c>
    </row>
    <row r="252" spans="1:8">
      <c r="A252" s="21" t="str">
        <f t="shared" si="10"/>
        <v/>
      </c>
      <c r="B252" s="1" t="str">
        <f>IF(Cus!$B252&lt;&gt;"",Cus!$A252,"")</f>
        <v/>
      </c>
      <c r="C252" s="22" t="str">
        <f>IF($B252="","",Cus!$AA252)</f>
        <v/>
      </c>
      <c r="D252" s="23" t="str">
        <f>IF($B252="","",(Acc!$H252*$C252))</f>
        <v/>
      </c>
      <c r="E252" s="24">
        <f>IF(C252&lt;=CommissionDD!$E$3,CommissionDD!$C$3,IF(C252&lt;=CommissionDD!$E$4,CommissionDD!$C$4,IF(C252&lt;=CommissionDD!$E$5,CommissionDD!$C$5,IF(C252&lt;=CommissionDD!$E$6,CommissionDD!$C$6,IF(C252&lt;=CommissionDD!$E$7,CommissionDD!$C$7,IF(C252&lt;=CommissionDD!$E$8,CommissionDD!$C$8,CommissionDD!$C$9))))))</f>
        <v>0.03</v>
      </c>
      <c r="F252" s="23" t="str">
        <f t="shared" si="11"/>
        <v/>
      </c>
      <c r="G252" s="23" t="str">
        <f>IF($B252="","",(Acc!$F252*CommissionDD!$C$30))</f>
        <v/>
      </c>
      <c r="H252" s="23" t="str">
        <f t="shared" si="9"/>
        <v/>
      </c>
    </row>
    <row r="253" spans="1:8">
      <c r="A253" s="21" t="str">
        <f t="shared" si="10"/>
        <v/>
      </c>
      <c r="B253" s="1" t="str">
        <f>IF(Cus!$B253&lt;&gt;"",Cus!$A253,"")</f>
        <v/>
      </c>
      <c r="C253" s="22" t="str">
        <f>IF($B253="","",Cus!$AA253)</f>
        <v/>
      </c>
      <c r="D253" s="23" t="str">
        <f>IF($B253="","",(Acc!$H253*$C253))</f>
        <v/>
      </c>
      <c r="E253" s="24">
        <f>IF(C253&lt;=CommissionDD!$E$3,CommissionDD!$C$3,IF(C253&lt;=CommissionDD!$E$4,CommissionDD!$C$4,IF(C253&lt;=CommissionDD!$E$5,CommissionDD!$C$5,IF(C253&lt;=CommissionDD!$E$6,CommissionDD!$C$6,IF(C253&lt;=CommissionDD!$E$7,CommissionDD!$C$7,IF(C253&lt;=CommissionDD!$E$8,CommissionDD!$C$8,CommissionDD!$C$9))))))</f>
        <v>0.03</v>
      </c>
      <c r="F253" s="23" t="str">
        <f t="shared" si="11"/>
        <v/>
      </c>
      <c r="G253" s="23" t="str">
        <f>IF($B253="","",(Acc!$F253*CommissionDD!$C$30))</f>
        <v/>
      </c>
      <c r="H253" s="23" t="str">
        <f t="shared" si="9"/>
        <v/>
      </c>
    </row>
    <row r="254" spans="1:8">
      <c r="A254" s="21" t="str">
        <f t="shared" si="10"/>
        <v/>
      </c>
      <c r="B254" s="1" t="str">
        <f>IF(Cus!$B254&lt;&gt;"",Cus!$A254,"")</f>
        <v/>
      </c>
      <c r="C254" s="22" t="str">
        <f>IF($B254="","",Cus!$AA254)</f>
        <v/>
      </c>
      <c r="D254" s="23" t="str">
        <f>IF($B254="","",(Acc!$H254*$C254))</f>
        <v/>
      </c>
      <c r="E254" s="24">
        <f>IF(C254&lt;=CommissionDD!$E$3,CommissionDD!$C$3,IF(C254&lt;=CommissionDD!$E$4,CommissionDD!$C$4,IF(C254&lt;=CommissionDD!$E$5,CommissionDD!$C$5,IF(C254&lt;=CommissionDD!$E$6,CommissionDD!$C$6,IF(C254&lt;=CommissionDD!$E$7,CommissionDD!$C$7,IF(C254&lt;=CommissionDD!$E$8,CommissionDD!$C$8,CommissionDD!$C$9))))))</f>
        <v>0.03</v>
      </c>
      <c r="F254" s="23" t="str">
        <f t="shared" si="11"/>
        <v/>
      </c>
      <c r="G254" s="23" t="str">
        <f>IF($B254="","",(Acc!$F254*CommissionDD!$C$30))</f>
        <v/>
      </c>
      <c r="H254" s="23" t="str">
        <f t="shared" si="9"/>
        <v/>
      </c>
    </row>
    <row r="255" spans="1:8">
      <c r="A255" s="21" t="str">
        <f t="shared" si="10"/>
        <v/>
      </c>
      <c r="B255" s="1" t="str">
        <f>IF(Cus!$B255&lt;&gt;"",Cus!$A255,"")</f>
        <v/>
      </c>
      <c r="C255" s="22" t="str">
        <f>IF($B255="","",Cus!$AA255)</f>
        <v/>
      </c>
      <c r="D255" s="23" t="str">
        <f>IF($B255="","",(Acc!$H255*$C255))</f>
        <v/>
      </c>
      <c r="E255" s="24">
        <f>IF(C255&lt;=CommissionDD!$E$3,CommissionDD!$C$3,IF(C255&lt;=CommissionDD!$E$4,CommissionDD!$C$4,IF(C255&lt;=CommissionDD!$E$5,CommissionDD!$C$5,IF(C255&lt;=CommissionDD!$E$6,CommissionDD!$C$6,IF(C255&lt;=CommissionDD!$E$7,CommissionDD!$C$7,IF(C255&lt;=CommissionDD!$E$8,CommissionDD!$C$8,CommissionDD!$C$9))))))</f>
        <v>0.03</v>
      </c>
      <c r="F255" s="23" t="str">
        <f t="shared" si="11"/>
        <v/>
      </c>
      <c r="G255" s="23" t="str">
        <f>IF($B255="","",(Acc!$F255*CommissionDD!$C$30))</f>
        <v/>
      </c>
      <c r="H255" s="23" t="str">
        <f t="shared" si="9"/>
        <v/>
      </c>
    </row>
    <row r="256" spans="1:8">
      <c r="A256" s="21" t="str">
        <f t="shared" si="10"/>
        <v/>
      </c>
      <c r="B256" s="1" t="str">
        <f>IF(Cus!$B256&lt;&gt;"",Cus!$A256,"")</f>
        <v/>
      </c>
      <c r="C256" s="22" t="str">
        <f>IF($B256="","",Cus!$AA256)</f>
        <v/>
      </c>
      <c r="D256" s="23" t="str">
        <f>IF($B256="","",(Acc!$H256*$C256))</f>
        <v/>
      </c>
      <c r="E256" s="24">
        <f>IF(C256&lt;=CommissionDD!$E$3,CommissionDD!$C$3,IF(C256&lt;=CommissionDD!$E$4,CommissionDD!$C$4,IF(C256&lt;=CommissionDD!$E$5,CommissionDD!$C$5,IF(C256&lt;=CommissionDD!$E$6,CommissionDD!$C$6,IF(C256&lt;=CommissionDD!$E$7,CommissionDD!$C$7,IF(C256&lt;=CommissionDD!$E$8,CommissionDD!$C$8,CommissionDD!$C$9))))))</f>
        <v>0.03</v>
      </c>
      <c r="F256" s="23" t="str">
        <f t="shared" si="11"/>
        <v/>
      </c>
      <c r="G256" s="23" t="str">
        <f>IF($B256="","",(Acc!$F256*CommissionDD!$C$30))</f>
        <v/>
      </c>
      <c r="H256" s="23" t="str">
        <f t="shared" si="9"/>
        <v/>
      </c>
    </row>
    <row r="257" spans="1:8">
      <c r="A257" s="21" t="str">
        <f t="shared" si="10"/>
        <v/>
      </c>
      <c r="B257" s="1" t="str">
        <f>IF(Cus!$B257&lt;&gt;"",Cus!$A257,"")</f>
        <v/>
      </c>
      <c r="C257" s="22" t="str">
        <f>IF($B257="","",Cus!$AA257)</f>
        <v/>
      </c>
      <c r="D257" s="23" t="str">
        <f>IF($B257="","",(Acc!$H257*$C257))</f>
        <v/>
      </c>
      <c r="E257" s="24">
        <f>IF(C257&lt;=CommissionDD!$E$3,CommissionDD!$C$3,IF(C257&lt;=CommissionDD!$E$4,CommissionDD!$C$4,IF(C257&lt;=CommissionDD!$E$5,CommissionDD!$C$5,IF(C257&lt;=CommissionDD!$E$6,CommissionDD!$C$6,IF(C257&lt;=CommissionDD!$E$7,CommissionDD!$C$7,IF(C257&lt;=CommissionDD!$E$8,CommissionDD!$C$8,CommissionDD!$C$9))))))</f>
        <v>0.03</v>
      </c>
      <c r="F257" s="23" t="str">
        <f t="shared" si="11"/>
        <v/>
      </c>
      <c r="G257" s="23" t="str">
        <f>IF($B257="","",(Acc!$F257*CommissionDD!$C$30))</f>
        <v/>
      </c>
      <c r="H257" s="23" t="str">
        <f t="shared" si="9"/>
        <v/>
      </c>
    </row>
    <row r="258" spans="1:8">
      <c r="A258" s="21" t="str">
        <f t="shared" si="10"/>
        <v/>
      </c>
      <c r="B258" s="1" t="str">
        <f>IF(Cus!$B258&lt;&gt;"",Cus!$A258,"")</f>
        <v/>
      </c>
      <c r="C258" s="22" t="str">
        <f>IF($B258="","",Cus!$AA258)</f>
        <v/>
      </c>
      <c r="D258" s="23" t="str">
        <f>IF($B258="","",(Acc!$H258*$C258))</f>
        <v/>
      </c>
      <c r="E258" s="24">
        <f>IF(C258&lt;=CommissionDD!$E$3,CommissionDD!$C$3,IF(C258&lt;=CommissionDD!$E$4,CommissionDD!$C$4,IF(C258&lt;=CommissionDD!$E$5,CommissionDD!$C$5,IF(C258&lt;=CommissionDD!$E$6,CommissionDD!$C$6,IF(C258&lt;=CommissionDD!$E$7,CommissionDD!$C$7,IF(C258&lt;=CommissionDD!$E$8,CommissionDD!$C$8,CommissionDD!$C$9))))))</f>
        <v>0.03</v>
      </c>
      <c r="F258" s="23" t="str">
        <f t="shared" si="11"/>
        <v/>
      </c>
      <c r="G258" s="23" t="str">
        <f>IF($B258="","",(Acc!$F258*CommissionDD!$C$30))</f>
        <v/>
      </c>
      <c r="H258" s="23" t="str">
        <f t="shared" ref="H258:H321" si="12">IF($B258="","",F258+G258)</f>
        <v/>
      </c>
    </row>
    <row r="259" spans="1:8">
      <c r="A259" s="21">
        <f t="shared" ref="A259:A322" si="13">IF($B259="","",(ROW($A258)))</f>
        <v>258</v>
      </c>
      <c r="B259" s="1" t="str">
        <f>IF(Cus!$B259&lt;&gt;"",Cus!$A259,"")</f>
        <v>K0000258</v>
      </c>
      <c r="C259" s="22">
        <f>IF($B259="","",Cus!$AA259)</f>
        <v>0</v>
      </c>
      <c r="D259" s="23">
        <f>IF($B259="","",(Acc!$H259*$C259))</f>
        <v>0</v>
      </c>
      <c r="E259" s="24">
        <f>IF(C259&lt;=CommissionDD!$E$3,CommissionDD!$C$3,IF(C259&lt;=CommissionDD!$E$4,CommissionDD!$C$4,IF(C259&lt;=CommissionDD!$E$5,CommissionDD!$C$5,IF(C259&lt;=CommissionDD!$E$6,CommissionDD!$C$6,IF(C259&lt;=CommissionDD!$E$7,CommissionDD!$C$7,IF(C259&lt;=CommissionDD!$E$8,CommissionDD!$C$8,CommissionDD!$C$9))))))</f>
        <v>0.12</v>
      </c>
      <c r="F259" s="23">
        <f t="shared" si="11"/>
        <v>0</v>
      </c>
      <c r="G259" s="23">
        <f>IF($B259="","",(Acc!$F259*CommissionDD!$C$30))</f>
        <v>150</v>
      </c>
      <c r="H259" s="23">
        <f t="shared" si="12"/>
        <v>150</v>
      </c>
    </row>
    <row r="260" spans="1:8">
      <c r="A260" s="21" t="str">
        <f t="shared" si="13"/>
        <v/>
      </c>
      <c r="B260" s="1" t="str">
        <f>IF(Cus!$B260&lt;&gt;"",Cus!$A260,"")</f>
        <v/>
      </c>
      <c r="C260" s="22" t="str">
        <f>IF($B260="","",Cus!$AA260)</f>
        <v/>
      </c>
      <c r="D260" s="23" t="str">
        <f>IF($B260="","",(Acc!$H260*$C260))</f>
        <v/>
      </c>
      <c r="E260" s="24">
        <f>IF(C260&lt;=CommissionDD!$E$3,CommissionDD!$C$3,IF(C260&lt;=CommissionDD!$E$4,CommissionDD!$C$4,IF(C260&lt;=CommissionDD!$E$5,CommissionDD!$C$5,IF(C260&lt;=CommissionDD!$E$6,CommissionDD!$C$6,IF(C260&lt;=CommissionDD!$E$7,CommissionDD!$C$7,IF(C260&lt;=CommissionDD!$E$8,CommissionDD!$C$8,CommissionDD!$C$9))))))</f>
        <v>0.03</v>
      </c>
      <c r="F260" s="23" t="str">
        <f t="shared" si="11"/>
        <v/>
      </c>
      <c r="G260" s="23" t="str">
        <f>IF($B260="","",(Acc!$F260*CommissionDD!$C$30))</f>
        <v/>
      </c>
      <c r="H260" s="23" t="str">
        <f t="shared" si="12"/>
        <v/>
      </c>
    </row>
    <row r="261" spans="1:8">
      <c r="A261" s="21" t="str">
        <f t="shared" si="13"/>
        <v/>
      </c>
      <c r="B261" s="1" t="str">
        <f>IF(Cus!$B261&lt;&gt;"",Cus!$A261,"")</f>
        <v/>
      </c>
      <c r="C261" s="22" t="str">
        <f>IF($B261="","",Cus!$AA261)</f>
        <v/>
      </c>
      <c r="D261" s="23" t="str">
        <f>IF($B261="","",(Acc!$H261*$C261))</f>
        <v/>
      </c>
      <c r="E261" s="24">
        <f>IF(C261&lt;=CommissionDD!$E$3,CommissionDD!$C$3,IF(C261&lt;=CommissionDD!$E$4,CommissionDD!$C$4,IF(C261&lt;=CommissionDD!$E$5,CommissionDD!$C$5,IF(C261&lt;=CommissionDD!$E$6,CommissionDD!$C$6,IF(C261&lt;=CommissionDD!$E$7,CommissionDD!$C$7,IF(C261&lt;=CommissionDD!$E$8,CommissionDD!$C$8,CommissionDD!$C$9))))))</f>
        <v>0.03</v>
      </c>
      <c r="F261" s="23" t="str">
        <f t="shared" ref="F261:F324" si="14">IF($B261="","",D261*E261)</f>
        <v/>
      </c>
      <c r="G261" s="23" t="str">
        <f>IF($B261="","",(Acc!$F261*CommissionDD!$C$30))</f>
        <v/>
      </c>
      <c r="H261" s="23" t="str">
        <f t="shared" si="12"/>
        <v/>
      </c>
    </row>
    <row r="262" spans="1:8">
      <c r="A262" s="21" t="str">
        <f t="shared" si="13"/>
        <v/>
      </c>
      <c r="B262" s="1" t="str">
        <f>IF(Cus!$B262&lt;&gt;"",Cus!$A262,"")</f>
        <v/>
      </c>
      <c r="C262" s="22" t="str">
        <f>IF($B262="","",Cus!$AA262)</f>
        <v/>
      </c>
      <c r="D262" s="23" t="str">
        <f>IF($B262="","",(Acc!$H262*$C262))</f>
        <v/>
      </c>
      <c r="E262" s="24">
        <f>IF(C262&lt;=CommissionDD!$E$3,CommissionDD!$C$3,IF(C262&lt;=CommissionDD!$E$4,CommissionDD!$C$4,IF(C262&lt;=CommissionDD!$E$5,CommissionDD!$C$5,IF(C262&lt;=CommissionDD!$E$6,CommissionDD!$C$6,IF(C262&lt;=CommissionDD!$E$7,CommissionDD!$C$7,IF(C262&lt;=CommissionDD!$E$8,CommissionDD!$C$8,CommissionDD!$C$9))))))</f>
        <v>0.03</v>
      </c>
      <c r="F262" s="23" t="str">
        <f t="shared" si="14"/>
        <v/>
      </c>
      <c r="G262" s="23" t="str">
        <f>IF($B262="","",(Acc!$F262*CommissionDD!$C$30))</f>
        <v/>
      </c>
      <c r="H262" s="23" t="str">
        <f t="shared" si="12"/>
        <v/>
      </c>
    </row>
    <row r="263" spans="1:8">
      <c r="A263" s="21">
        <f t="shared" si="13"/>
        <v>262</v>
      </c>
      <c r="B263" s="1" t="str">
        <f>IF(Cus!$B263&lt;&gt;"",Cus!$A263,"")</f>
        <v>K0000262</v>
      </c>
      <c r="C263" s="22">
        <f>IF($B263="","",Cus!$AA263)</f>
        <v>0</v>
      </c>
      <c r="D263" s="23">
        <f>IF($B263="","",(Acc!$H263*$C263))</f>
        <v>0</v>
      </c>
      <c r="E263" s="24">
        <f>IF(C263&lt;=CommissionDD!$E$3,CommissionDD!$C$3,IF(C263&lt;=CommissionDD!$E$4,CommissionDD!$C$4,IF(C263&lt;=CommissionDD!$E$5,CommissionDD!$C$5,IF(C263&lt;=CommissionDD!$E$6,CommissionDD!$C$6,IF(C263&lt;=CommissionDD!$E$7,CommissionDD!$C$7,IF(C263&lt;=CommissionDD!$E$8,CommissionDD!$C$8,CommissionDD!$C$9))))))</f>
        <v>0.12</v>
      </c>
      <c r="F263" s="23">
        <f t="shared" si="14"/>
        <v>0</v>
      </c>
      <c r="G263" s="23">
        <f>IF($B263="","",(Acc!$F263*CommissionDD!$C$30))</f>
        <v>0</v>
      </c>
      <c r="H263" s="23">
        <f t="shared" si="12"/>
        <v>0</v>
      </c>
    </row>
    <row r="264" spans="1:8">
      <c r="A264" s="21" t="str">
        <f t="shared" si="13"/>
        <v/>
      </c>
      <c r="B264" s="1" t="str">
        <f>IF(Cus!$B264&lt;&gt;"",Cus!$A264,"")</f>
        <v/>
      </c>
      <c r="C264" s="22" t="str">
        <f>IF($B264="","",Cus!$AA264)</f>
        <v/>
      </c>
      <c r="D264" s="23" t="str">
        <f>IF($B264="","",(Acc!$H264*$C264))</f>
        <v/>
      </c>
      <c r="E264" s="24">
        <f>IF(C264&lt;=CommissionDD!$E$3,CommissionDD!$C$3,IF(C264&lt;=CommissionDD!$E$4,CommissionDD!$C$4,IF(C264&lt;=CommissionDD!$E$5,CommissionDD!$C$5,IF(C264&lt;=CommissionDD!$E$6,CommissionDD!$C$6,IF(C264&lt;=CommissionDD!$E$7,CommissionDD!$C$7,IF(C264&lt;=CommissionDD!$E$8,CommissionDD!$C$8,CommissionDD!$C$9))))))</f>
        <v>0.03</v>
      </c>
      <c r="F264" s="23" t="str">
        <f t="shared" si="14"/>
        <v/>
      </c>
      <c r="G264" s="23" t="str">
        <f>IF($B264="","",(Acc!$F264*CommissionDD!$C$30))</f>
        <v/>
      </c>
      <c r="H264" s="23" t="str">
        <f t="shared" si="12"/>
        <v/>
      </c>
    </row>
    <row r="265" spans="1:8">
      <c r="A265" s="21" t="str">
        <f t="shared" si="13"/>
        <v/>
      </c>
      <c r="B265" s="1" t="str">
        <f>IF(Cus!$B265&lt;&gt;"",Cus!$A265,"")</f>
        <v/>
      </c>
      <c r="C265" s="22" t="str">
        <f>IF($B265="","",Cus!$AA265)</f>
        <v/>
      </c>
      <c r="D265" s="23" t="str">
        <f>IF($B265="","",(Acc!$H265*$C265))</f>
        <v/>
      </c>
      <c r="E265" s="24">
        <f>IF(C265&lt;=CommissionDD!$E$3,CommissionDD!$C$3,IF(C265&lt;=CommissionDD!$E$4,CommissionDD!$C$4,IF(C265&lt;=CommissionDD!$E$5,CommissionDD!$C$5,IF(C265&lt;=CommissionDD!$E$6,CommissionDD!$C$6,IF(C265&lt;=CommissionDD!$E$7,CommissionDD!$C$7,IF(C265&lt;=CommissionDD!$E$8,CommissionDD!$C$8,CommissionDD!$C$9))))))</f>
        <v>0.03</v>
      </c>
      <c r="F265" s="23" t="str">
        <f t="shared" si="14"/>
        <v/>
      </c>
      <c r="G265" s="23" t="str">
        <f>IF($B265="","",(Acc!$F265*CommissionDD!$C$30))</f>
        <v/>
      </c>
      <c r="H265" s="23" t="str">
        <f t="shared" si="12"/>
        <v/>
      </c>
    </row>
    <row r="266" spans="1:8">
      <c r="A266" s="21" t="str">
        <f t="shared" si="13"/>
        <v/>
      </c>
      <c r="B266" s="1" t="str">
        <f>IF(Cus!$B266&lt;&gt;"",Cus!$A266,"")</f>
        <v/>
      </c>
      <c r="C266" s="22" t="str">
        <f>IF($B266="","",Cus!$AA266)</f>
        <v/>
      </c>
      <c r="D266" s="23" t="str">
        <f>IF($B266="","",(Acc!$H266*$C266))</f>
        <v/>
      </c>
      <c r="E266" s="24">
        <f>IF(C266&lt;=CommissionDD!$E$3,CommissionDD!$C$3,IF(C266&lt;=CommissionDD!$E$4,CommissionDD!$C$4,IF(C266&lt;=CommissionDD!$E$5,CommissionDD!$C$5,IF(C266&lt;=CommissionDD!$E$6,CommissionDD!$C$6,IF(C266&lt;=CommissionDD!$E$7,CommissionDD!$C$7,IF(C266&lt;=CommissionDD!$E$8,CommissionDD!$C$8,CommissionDD!$C$9))))))</f>
        <v>0.03</v>
      </c>
      <c r="F266" s="23" t="str">
        <f t="shared" si="14"/>
        <v/>
      </c>
      <c r="G266" s="23" t="str">
        <f>IF($B266="","",(Acc!$F266*CommissionDD!$C$30))</f>
        <v/>
      </c>
      <c r="H266" s="23" t="str">
        <f t="shared" si="12"/>
        <v/>
      </c>
    </row>
    <row r="267" spans="1:8">
      <c r="A267" s="21">
        <f t="shared" si="13"/>
        <v>266</v>
      </c>
      <c r="B267" s="1" t="str">
        <f>IF(Cus!$B267&lt;&gt;"",Cus!$A267,"")</f>
        <v>K0000266</v>
      </c>
      <c r="C267" s="22">
        <f>IF($B267="","",Cus!$AA267)</f>
        <v>0</v>
      </c>
      <c r="D267" s="23">
        <f>IF($B267="","",(Acc!$H267*$C267))</f>
        <v>0</v>
      </c>
      <c r="E267" s="24">
        <f>IF(C267&lt;=CommissionDD!$E$3,CommissionDD!$C$3,IF(C267&lt;=CommissionDD!$E$4,CommissionDD!$C$4,IF(C267&lt;=CommissionDD!$E$5,CommissionDD!$C$5,IF(C267&lt;=CommissionDD!$E$6,CommissionDD!$C$6,IF(C267&lt;=CommissionDD!$E$7,CommissionDD!$C$7,IF(C267&lt;=CommissionDD!$E$8,CommissionDD!$C$8,CommissionDD!$C$9))))))</f>
        <v>0.12</v>
      </c>
      <c r="F267" s="23">
        <f t="shared" si="14"/>
        <v>0</v>
      </c>
      <c r="G267" s="23">
        <f>IF($B267="","",(Acc!$F267*CommissionDD!$C$30))</f>
        <v>0</v>
      </c>
      <c r="H267" s="23">
        <f t="shared" si="12"/>
        <v>0</v>
      </c>
    </row>
    <row r="268" spans="1:8">
      <c r="A268" s="21" t="str">
        <f t="shared" si="13"/>
        <v/>
      </c>
      <c r="B268" s="1" t="str">
        <f>IF(Cus!$B268&lt;&gt;"",Cus!$A268,"")</f>
        <v/>
      </c>
      <c r="C268" s="22" t="str">
        <f>IF($B268="","",Cus!$AA268)</f>
        <v/>
      </c>
      <c r="D268" s="23" t="str">
        <f>IF($B268="","",(Acc!$H268*$C268))</f>
        <v/>
      </c>
      <c r="E268" s="24">
        <f>IF(C268&lt;=CommissionDD!$E$3,CommissionDD!$C$3,IF(C268&lt;=CommissionDD!$E$4,CommissionDD!$C$4,IF(C268&lt;=CommissionDD!$E$5,CommissionDD!$C$5,IF(C268&lt;=CommissionDD!$E$6,CommissionDD!$C$6,IF(C268&lt;=CommissionDD!$E$7,CommissionDD!$C$7,IF(C268&lt;=CommissionDD!$E$8,CommissionDD!$C$8,CommissionDD!$C$9))))))</f>
        <v>0.03</v>
      </c>
      <c r="F268" s="23" t="str">
        <f t="shared" si="14"/>
        <v/>
      </c>
      <c r="G268" s="23" t="str">
        <f>IF($B268="","",(Acc!$F268*CommissionDD!$C$30))</f>
        <v/>
      </c>
      <c r="H268" s="23" t="str">
        <f t="shared" si="12"/>
        <v/>
      </c>
    </row>
    <row r="269" spans="1:8">
      <c r="A269" s="21" t="str">
        <f t="shared" si="13"/>
        <v/>
      </c>
      <c r="B269" s="1" t="str">
        <f>IF(Cus!$B269&lt;&gt;"",Cus!$A269,"")</f>
        <v/>
      </c>
      <c r="C269" s="22" t="str">
        <f>IF($B269="","",Cus!$AA269)</f>
        <v/>
      </c>
      <c r="D269" s="23" t="str">
        <f>IF($B269="","",(Acc!$H269*$C269))</f>
        <v/>
      </c>
      <c r="E269" s="24">
        <f>IF(C269&lt;=CommissionDD!$E$3,CommissionDD!$C$3,IF(C269&lt;=CommissionDD!$E$4,CommissionDD!$C$4,IF(C269&lt;=CommissionDD!$E$5,CommissionDD!$C$5,IF(C269&lt;=CommissionDD!$E$6,CommissionDD!$C$6,IF(C269&lt;=CommissionDD!$E$7,CommissionDD!$C$7,IF(C269&lt;=CommissionDD!$E$8,CommissionDD!$C$8,CommissionDD!$C$9))))))</f>
        <v>0.03</v>
      </c>
      <c r="F269" s="23" t="str">
        <f t="shared" si="14"/>
        <v/>
      </c>
      <c r="G269" s="23" t="str">
        <f>IF($B269="","",(Acc!$F269*CommissionDD!$C$30))</f>
        <v/>
      </c>
      <c r="H269" s="23" t="str">
        <f t="shared" si="12"/>
        <v/>
      </c>
    </row>
    <row r="270" spans="1:8">
      <c r="A270" s="21" t="str">
        <f t="shared" si="13"/>
        <v/>
      </c>
      <c r="B270" s="1" t="str">
        <f>IF(Cus!$B270&lt;&gt;"",Cus!$A270,"")</f>
        <v/>
      </c>
      <c r="C270" s="22" t="str">
        <f>IF($B270="","",Cus!$AA270)</f>
        <v/>
      </c>
      <c r="D270" s="23" t="str">
        <f>IF($B270="","",(Acc!$H270*$C270))</f>
        <v/>
      </c>
      <c r="E270" s="24">
        <f>IF(C270&lt;=CommissionDD!$E$3,CommissionDD!$C$3,IF(C270&lt;=CommissionDD!$E$4,CommissionDD!$C$4,IF(C270&lt;=CommissionDD!$E$5,CommissionDD!$C$5,IF(C270&lt;=CommissionDD!$E$6,CommissionDD!$C$6,IF(C270&lt;=CommissionDD!$E$7,CommissionDD!$C$7,IF(C270&lt;=CommissionDD!$E$8,CommissionDD!$C$8,CommissionDD!$C$9))))))</f>
        <v>0.03</v>
      </c>
      <c r="F270" s="23" t="str">
        <f t="shared" si="14"/>
        <v/>
      </c>
      <c r="G270" s="23" t="str">
        <f>IF($B270="","",(Acc!$F270*CommissionDD!$C$30))</f>
        <v/>
      </c>
      <c r="H270" s="23" t="str">
        <f t="shared" si="12"/>
        <v/>
      </c>
    </row>
    <row r="271" spans="1:8">
      <c r="A271" s="21" t="str">
        <f t="shared" si="13"/>
        <v/>
      </c>
      <c r="B271" s="1" t="str">
        <f>IF(Cus!$B271&lt;&gt;"",Cus!$A271,"")</f>
        <v/>
      </c>
      <c r="C271" s="22" t="str">
        <f>IF($B271="","",Cus!$AA271)</f>
        <v/>
      </c>
      <c r="D271" s="23" t="str">
        <f>IF($B271="","",(Acc!$H271*$C271))</f>
        <v/>
      </c>
      <c r="E271" s="24">
        <f>IF(C271&lt;=CommissionDD!$E$3,CommissionDD!$C$3,IF(C271&lt;=CommissionDD!$E$4,CommissionDD!$C$4,IF(C271&lt;=CommissionDD!$E$5,CommissionDD!$C$5,IF(C271&lt;=CommissionDD!$E$6,CommissionDD!$C$6,IF(C271&lt;=CommissionDD!$E$7,CommissionDD!$C$7,IF(C271&lt;=CommissionDD!$E$8,CommissionDD!$C$8,CommissionDD!$C$9))))))</f>
        <v>0.03</v>
      </c>
      <c r="F271" s="23" t="str">
        <f t="shared" si="14"/>
        <v/>
      </c>
      <c r="G271" s="23" t="str">
        <f>IF($B271="","",(Acc!$F271*CommissionDD!$C$30))</f>
        <v/>
      </c>
      <c r="H271" s="23" t="str">
        <f t="shared" si="12"/>
        <v/>
      </c>
    </row>
    <row r="272" spans="1:8">
      <c r="A272" s="21">
        <f t="shared" si="13"/>
        <v>271</v>
      </c>
      <c r="B272" s="1" t="str">
        <f>IF(Cus!$B272&lt;&gt;"",Cus!$A272,"")</f>
        <v>K0000271</v>
      </c>
      <c r="C272" s="22">
        <f>IF($B272="","",Cus!$AA272)</f>
        <v>0</v>
      </c>
      <c r="D272" s="23">
        <f>IF($B272="","",(Acc!$H272*$C272))</f>
        <v>0</v>
      </c>
      <c r="E272" s="24">
        <f>IF(C272&lt;=CommissionDD!$E$3,CommissionDD!$C$3,IF(C272&lt;=CommissionDD!$E$4,CommissionDD!$C$4,IF(C272&lt;=CommissionDD!$E$5,CommissionDD!$C$5,IF(C272&lt;=CommissionDD!$E$6,CommissionDD!$C$6,IF(C272&lt;=CommissionDD!$E$7,CommissionDD!$C$7,IF(C272&lt;=CommissionDD!$E$8,CommissionDD!$C$8,CommissionDD!$C$9))))))</f>
        <v>0.12</v>
      </c>
      <c r="F272" s="23">
        <f t="shared" si="14"/>
        <v>0</v>
      </c>
      <c r="G272" s="23">
        <f>IF($B272="","",(Acc!$F272*CommissionDD!$C$30))</f>
        <v>0</v>
      </c>
      <c r="H272" s="23">
        <f t="shared" si="12"/>
        <v>0</v>
      </c>
    </row>
    <row r="273" spans="1:8">
      <c r="A273" s="21" t="str">
        <f t="shared" si="13"/>
        <v/>
      </c>
      <c r="B273" s="1" t="str">
        <f>IF(Cus!$B273&lt;&gt;"",Cus!$A273,"")</f>
        <v/>
      </c>
      <c r="C273" s="22" t="str">
        <f>IF($B273="","",Cus!$AA273)</f>
        <v/>
      </c>
      <c r="D273" s="23" t="str">
        <f>IF($B273="","",(Acc!$H273*$C273))</f>
        <v/>
      </c>
      <c r="E273" s="24">
        <f>IF(C273&lt;=CommissionDD!$E$3,CommissionDD!$C$3,IF(C273&lt;=CommissionDD!$E$4,CommissionDD!$C$4,IF(C273&lt;=CommissionDD!$E$5,CommissionDD!$C$5,IF(C273&lt;=CommissionDD!$E$6,CommissionDD!$C$6,IF(C273&lt;=CommissionDD!$E$7,CommissionDD!$C$7,IF(C273&lt;=CommissionDD!$E$8,CommissionDD!$C$8,CommissionDD!$C$9))))))</f>
        <v>0.03</v>
      </c>
      <c r="F273" s="23" t="str">
        <f t="shared" si="14"/>
        <v/>
      </c>
      <c r="G273" s="23" t="str">
        <f>IF($B273="","",(Acc!$F273*CommissionDD!$C$30))</f>
        <v/>
      </c>
      <c r="H273" s="23" t="str">
        <f t="shared" si="12"/>
        <v/>
      </c>
    </row>
    <row r="274" spans="1:8">
      <c r="A274" s="21" t="str">
        <f t="shared" si="13"/>
        <v/>
      </c>
      <c r="B274" s="1" t="str">
        <f>IF(Cus!$B274&lt;&gt;"",Cus!$A274,"")</f>
        <v/>
      </c>
      <c r="C274" s="22" t="str">
        <f>IF($B274="","",Cus!$AA274)</f>
        <v/>
      </c>
      <c r="D274" s="23" t="str">
        <f>IF($B274="","",(Acc!$H274*$C274))</f>
        <v/>
      </c>
      <c r="E274" s="24">
        <f>IF(C274&lt;=CommissionDD!$E$3,CommissionDD!$C$3,IF(C274&lt;=CommissionDD!$E$4,CommissionDD!$C$4,IF(C274&lt;=CommissionDD!$E$5,CommissionDD!$C$5,IF(C274&lt;=CommissionDD!$E$6,CommissionDD!$C$6,IF(C274&lt;=CommissionDD!$E$7,CommissionDD!$C$7,IF(C274&lt;=CommissionDD!$E$8,CommissionDD!$C$8,CommissionDD!$C$9))))))</f>
        <v>0.03</v>
      </c>
      <c r="F274" s="23" t="str">
        <f t="shared" si="14"/>
        <v/>
      </c>
      <c r="G274" s="23" t="str">
        <f>IF($B274="","",(Acc!$F274*CommissionDD!$C$30))</f>
        <v/>
      </c>
      <c r="H274" s="23" t="str">
        <f t="shared" si="12"/>
        <v/>
      </c>
    </row>
    <row r="275" spans="1:8">
      <c r="A275" s="21" t="str">
        <f t="shared" si="13"/>
        <v/>
      </c>
      <c r="B275" s="1" t="str">
        <f>IF(Cus!$B275&lt;&gt;"",Cus!$A275,"")</f>
        <v/>
      </c>
      <c r="C275" s="22" t="str">
        <f>IF($B275="","",Cus!$AA275)</f>
        <v/>
      </c>
      <c r="D275" s="23" t="str">
        <f>IF($B275="","",(Acc!$H275*$C275))</f>
        <v/>
      </c>
      <c r="E275" s="24">
        <f>IF(C275&lt;=CommissionDD!$E$3,CommissionDD!$C$3,IF(C275&lt;=CommissionDD!$E$4,CommissionDD!$C$4,IF(C275&lt;=CommissionDD!$E$5,CommissionDD!$C$5,IF(C275&lt;=CommissionDD!$E$6,CommissionDD!$C$6,IF(C275&lt;=CommissionDD!$E$7,CommissionDD!$C$7,IF(C275&lt;=CommissionDD!$E$8,CommissionDD!$C$8,CommissionDD!$C$9))))))</f>
        <v>0.03</v>
      </c>
      <c r="F275" s="23" t="str">
        <f t="shared" si="14"/>
        <v/>
      </c>
      <c r="G275" s="23" t="str">
        <f>IF($B275="","",(Acc!$F275*CommissionDD!$C$30))</f>
        <v/>
      </c>
      <c r="H275" s="23" t="str">
        <f t="shared" si="12"/>
        <v/>
      </c>
    </row>
    <row r="276" spans="1:8">
      <c r="A276" s="21" t="str">
        <f t="shared" si="13"/>
        <v/>
      </c>
      <c r="B276" s="1" t="str">
        <f>IF(Cus!$B276&lt;&gt;"",Cus!$A276,"")</f>
        <v/>
      </c>
      <c r="C276" s="22" t="str">
        <f>IF($B276="","",Cus!$AA276)</f>
        <v/>
      </c>
      <c r="D276" s="23" t="str">
        <f>IF($B276="","",(Acc!$H276*$C276))</f>
        <v/>
      </c>
      <c r="E276" s="24">
        <f>IF(C276&lt;=CommissionDD!$E$3,CommissionDD!$C$3,IF(C276&lt;=CommissionDD!$E$4,CommissionDD!$C$4,IF(C276&lt;=CommissionDD!$E$5,CommissionDD!$C$5,IF(C276&lt;=CommissionDD!$E$6,CommissionDD!$C$6,IF(C276&lt;=CommissionDD!$E$7,CommissionDD!$C$7,IF(C276&lt;=CommissionDD!$E$8,CommissionDD!$C$8,CommissionDD!$C$9))))))</f>
        <v>0.03</v>
      </c>
      <c r="F276" s="23" t="str">
        <f t="shared" si="14"/>
        <v/>
      </c>
      <c r="G276" s="23" t="str">
        <f>IF($B276="","",(Acc!$F276*CommissionDD!$C$30))</f>
        <v/>
      </c>
      <c r="H276" s="23" t="str">
        <f t="shared" si="12"/>
        <v/>
      </c>
    </row>
    <row r="277" spans="1:8">
      <c r="A277" s="21" t="str">
        <f t="shared" si="13"/>
        <v/>
      </c>
      <c r="B277" s="1" t="str">
        <f>IF(Cus!$B277&lt;&gt;"",Cus!$A277,"")</f>
        <v/>
      </c>
      <c r="C277" s="22" t="str">
        <f>IF($B277="","",Cus!$AA277)</f>
        <v/>
      </c>
      <c r="D277" s="23" t="str">
        <f>IF($B277="","",(Acc!$H277*$C277))</f>
        <v/>
      </c>
      <c r="E277" s="24">
        <f>IF(C277&lt;=CommissionDD!$E$3,CommissionDD!$C$3,IF(C277&lt;=CommissionDD!$E$4,CommissionDD!$C$4,IF(C277&lt;=CommissionDD!$E$5,CommissionDD!$C$5,IF(C277&lt;=CommissionDD!$E$6,CommissionDD!$C$6,IF(C277&lt;=CommissionDD!$E$7,CommissionDD!$C$7,IF(C277&lt;=CommissionDD!$E$8,CommissionDD!$C$8,CommissionDD!$C$9))))))</f>
        <v>0.03</v>
      </c>
      <c r="F277" s="23" t="str">
        <f t="shared" si="14"/>
        <v/>
      </c>
      <c r="G277" s="23" t="str">
        <f>IF($B277="","",(Acc!$F277*CommissionDD!$C$30))</f>
        <v/>
      </c>
      <c r="H277" s="23" t="str">
        <f t="shared" si="12"/>
        <v/>
      </c>
    </row>
    <row r="278" spans="1:8">
      <c r="A278" s="21" t="str">
        <f t="shared" si="13"/>
        <v/>
      </c>
      <c r="B278" s="1" t="str">
        <f>IF(Cus!$B278&lt;&gt;"",Cus!$A278,"")</f>
        <v/>
      </c>
      <c r="C278" s="22" t="str">
        <f>IF($B278="","",Cus!$AA278)</f>
        <v/>
      </c>
      <c r="D278" s="23" t="str">
        <f>IF($B278="","",(Acc!$H278*$C278))</f>
        <v/>
      </c>
      <c r="E278" s="24">
        <f>IF(C278&lt;=CommissionDD!$E$3,CommissionDD!$C$3,IF(C278&lt;=CommissionDD!$E$4,CommissionDD!$C$4,IF(C278&lt;=CommissionDD!$E$5,CommissionDD!$C$5,IF(C278&lt;=CommissionDD!$E$6,CommissionDD!$C$6,IF(C278&lt;=CommissionDD!$E$7,CommissionDD!$C$7,IF(C278&lt;=CommissionDD!$E$8,CommissionDD!$C$8,CommissionDD!$C$9))))))</f>
        <v>0.03</v>
      </c>
      <c r="F278" s="23" t="str">
        <f t="shared" si="14"/>
        <v/>
      </c>
      <c r="G278" s="23" t="str">
        <f>IF($B278="","",(Acc!$F278*CommissionDD!$C$30))</f>
        <v/>
      </c>
      <c r="H278" s="23" t="str">
        <f t="shared" si="12"/>
        <v/>
      </c>
    </row>
    <row r="279" spans="1:8">
      <c r="A279" s="21" t="str">
        <f t="shared" si="13"/>
        <v/>
      </c>
      <c r="B279" s="1" t="str">
        <f>IF(Cus!$B279&lt;&gt;"",Cus!$A279,"")</f>
        <v/>
      </c>
      <c r="C279" s="22" t="str">
        <f>IF($B279="","",Cus!$AA279)</f>
        <v/>
      </c>
      <c r="D279" s="23" t="str">
        <f>IF($B279="","",(Acc!$H279*$C279))</f>
        <v/>
      </c>
      <c r="E279" s="24">
        <f>IF(C279&lt;=CommissionDD!$E$3,CommissionDD!$C$3,IF(C279&lt;=CommissionDD!$E$4,CommissionDD!$C$4,IF(C279&lt;=CommissionDD!$E$5,CommissionDD!$C$5,IF(C279&lt;=CommissionDD!$E$6,CommissionDD!$C$6,IF(C279&lt;=CommissionDD!$E$7,CommissionDD!$C$7,IF(C279&lt;=CommissionDD!$E$8,CommissionDD!$C$8,CommissionDD!$C$9))))))</f>
        <v>0.03</v>
      </c>
      <c r="F279" s="23" t="str">
        <f t="shared" si="14"/>
        <v/>
      </c>
      <c r="G279" s="23" t="str">
        <f>IF($B279="","",(Acc!$F279*CommissionDD!$C$30))</f>
        <v/>
      </c>
      <c r="H279" s="23" t="str">
        <f t="shared" si="12"/>
        <v/>
      </c>
    </row>
    <row r="280" spans="1:8">
      <c r="A280" s="21" t="str">
        <f t="shared" si="13"/>
        <v/>
      </c>
      <c r="B280" s="1" t="str">
        <f>IF(Cus!$B280&lt;&gt;"",Cus!$A280,"")</f>
        <v/>
      </c>
      <c r="C280" s="22" t="str">
        <f>IF($B280="","",Cus!$AA280)</f>
        <v/>
      </c>
      <c r="D280" s="23" t="str">
        <f>IF($B280="","",(Acc!$H280*$C280))</f>
        <v/>
      </c>
      <c r="E280" s="24">
        <f>IF(C280&lt;=CommissionDD!$E$3,CommissionDD!$C$3,IF(C280&lt;=CommissionDD!$E$4,CommissionDD!$C$4,IF(C280&lt;=CommissionDD!$E$5,CommissionDD!$C$5,IF(C280&lt;=CommissionDD!$E$6,CommissionDD!$C$6,IF(C280&lt;=CommissionDD!$E$7,CommissionDD!$C$7,IF(C280&lt;=CommissionDD!$E$8,CommissionDD!$C$8,CommissionDD!$C$9))))))</f>
        <v>0.03</v>
      </c>
      <c r="F280" s="23" t="str">
        <f t="shared" si="14"/>
        <v/>
      </c>
      <c r="G280" s="23" t="str">
        <f>IF($B280="","",(Acc!$F280*CommissionDD!$C$30))</f>
        <v/>
      </c>
      <c r="H280" s="23" t="str">
        <f t="shared" si="12"/>
        <v/>
      </c>
    </row>
    <row r="281" spans="1:8">
      <c r="A281" s="21" t="str">
        <f t="shared" si="13"/>
        <v/>
      </c>
      <c r="B281" s="1" t="str">
        <f>IF(Cus!$B281&lt;&gt;"",Cus!$A281,"")</f>
        <v/>
      </c>
      <c r="C281" s="22" t="str">
        <f>IF($B281="","",Cus!$AA281)</f>
        <v/>
      </c>
      <c r="D281" s="23" t="str">
        <f>IF($B281="","",(Acc!$H281*$C281))</f>
        <v/>
      </c>
      <c r="E281" s="24">
        <f>IF(C281&lt;=CommissionDD!$E$3,CommissionDD!$C$3,IF(C281&lt;=CommissionDD!$E$4,CommissionDD!$C$4,IF(C281&lt;=CommissionDD!$E$5,CommissionDD!$C$5,IF(C281&lt;=CommissionDD!$E$6,CommissionDD!$C$6,IF(C281&lt;=CommissionDD!$E$7,CommissionDD!$C$7,IF(C281&lt;=CommissionDD!$E$8,CommissionDD!$C$8,CommissionDD!$C$9))))))</f>
        <v>0.03</v>
      </c>
      <c r="F281" s="23" t="str">
        <f t="shared" si="14"/>
        <v/>
      </c>
      <c r="G281" s="23" t="str">
        <f>IF($B281="","",(Acc!$F281*CommissionDD!$C$30))</f>
        <v/>
      </c>
      <c r="H281" s="23" t="str">
        <f t="shared" si="12"/>
        <v/>
      </c>
    </row>
    <row r="282" spans="1:8">
      <c r="A282" s="21" t="str">
        <f t="shared" si="13"/>
        <v/>
      </c>
      <c r="B282" s="1" t="str">
        <f>IF(Cus!$B282&lt;&gt;"",Cus!$A282,"")</f>
        <v/>
      </c>
      <c r="C282" s="22" t="str">
        <f>IF($B282="","",Cus!$AA282)</f>
        <v/>
      </c>
      <c r="D282" s="23" t="str">
        <f>IF($B282="","",(Acc!$H282*$C282))</f>
        <v/>
      </c>
      <c r="E282" s="24">
        <f>IF(C282&lt;=CommissionDD!$E$3,CommissionDD!$C$3,IF(C282&lt;=CommissionDD!$E$4,CommissionDD!$C$4,IF(C282&lt;=CommissionDD!$E$5,CommissionDD!$C$5,IF(C282&lt;=CommissionDD!$E$6,CommissionDD!$C$6,IF(C282&lt;=CommissionDD!$E$7,CommissionDD!$C$7,IF(C282&lt;=CommissionDD!$E$8,CommissionDD!$C$8,CommissionDD!$C$9))))))</f>
        <v>0.03</v>
      </c>
      <c r="F282" s="23" t="str">
        <f t="shared" si="14"/>
        <v/>
      </c>
      <c r="G282" s="23" t="str">
        <f>IF($B282="","",(Acc!$F282*CommissionDD!$C$30))</f>
        <v/>
      </c>
      <c r="H282" s="23" t="str">
        <f t="shared" si="12"/>
        <v/>
      </c>
    </row>
    <row r="283" spans="1:8">
      <c r="A283" s="21">
        <f t="shared" si="13"/>
        <v>282</v>
      </c>
      <c r="B283" s="1" t="str">
        <f>IF(Cus!$B283&lt;&gt;"",Cus!$A283,"")</f>
        <v>K0000282</v>
      </c>
      <c r="C283" s="22">
        <f>IF($B283="","",Cus!$AA283)</f>
        <v>0</v>
      </c>
      <c r="D283" s="23">
        <f>IF($B283="","",(Acc!$H283*$C283))</f>
        <v>0</v>
      </c>
      <c r="E283" s="24">
        <f>IF(C283&lt;=CommissionDD!$E$3,CommissionDD!$C$3,IF(C283&lt;=CommissionDD!$E$4,CommissionDD!$C$4,IF(C283&lt;=CommissionDD!$E$5,CommissionDD!$C$5,IF(C283&lt;=CommissionDD!$E$6,CommissionDD!$C$6,IF(C283&lt;=CommissionDD!$E$7,CommissionDD!$C$7,IF(C283&lt;=CommissionDD!$E$8,CommissionDD!$C$8,CommissionDD!$C$9))))))</f>
        <v>0.12</v>
      </c>
      <c r="F283" s="23">
        <f t="shared" si="14"/>
        <v>0</v>
      </c>
      <c r="G283" s="23">
        <f>IF($B283="","",(Acc!$F283*CommissionDD!$C$30))</f>
        <v>0</v>
      </c>
      <c r="H283" s="23">
        <f t="shared" si="12"/>
        <v>0</v>
      </c>
    </row>
    <row r="284" spans="1:8">
      <c r="A284" s="21" t="str">
        <f t="shared" si="13"/>
        <v/>
      </c>
      <c r="B284" s="1" t="str">
        <f>IF(Cus!$B284&lt;&gt;"",Cus!$A284,"")</f>
        <v/>
      </c>
      <c r="C284" s="22" t="str">
        <f>IF($B284="","",Cus!$AA284)</f>
        <v/>
      </c>
      <c r="D284" s="23" t="str">
        <f>IF($B284="","",(Acc!$H284*$C284))</f>
        <v/>
      </c>
      <c r="E284" s="24">
        <f>IF(C284&lt;=CommissionDD!$E$3,CommissionDD!$C$3,IF(C284&lt;=CommissionDD!$E$4,CommissionDD!$C$4,IF(C284&lt;=CommissionDD!$E$5,CommissionDD!$C$5,IF(C284&lt;=CommissionDD!$E$6,CommissionDD!$C$6,IF(C284&lt;=CommissionDD!$E$7,CommissionDD!$C$7,IF(C284&lt;=CommissionDD!$E$8,CommissionDD!$C$8,CommissionDD!$C$9))))))</f>
        <v>0.03</v>
      </c>
      <c r="F284" s="23" t="str">
        <f t="shared" si="14"/>
        <v/>
      </c>
      <c r="G284" s="23" t="str">
        <f>IF($B284="","",(Acc!$F284*CommissionDD!$C$30))</f>
        <v/>
      </c>
      <c r="H284" s="23" t="str">
        <f t="shared" si="12"/>
        <v/>
      </c>
    </row>
    <row r="285" spans="1:8">
      <c r="A285" s="21" t="str">
        <f t="shared" si="13"/>
        <v/>
      </c>
      <c r="B285" s="1" t="str">
        <f>IF(Cus!$B285&lt;&gt;"",Cus!$A285,"")</f>
        <v/>
      </c>
      <c r="C285" s="22" t="str">
        <f>IF($B285="","",Cus!$AA285)</f>
        <v/>
      </c>
      <c r="D285" s="23" t="str">
        <f>IF($B285="","",(Acc!$H285*$C285))</f>
        <v/>
      </c>
      <c r="E285" s="24">
        <f>IF(C285&lt;=CommissionDD!$E$3,CommissionDD!$C$3,IF(C285&lt;=CommissionDD!$E$4,CommissionDD!$C$4,IF(C285&lt;=CommissionDD!$E$5,CommissionDD!$C$5,IF(C285&lt;=CommissionDD!$E$6,CommissionDD!$C$6,IF(C285&lt;=CommissionDD!$E$7,CommissionDD!$C$7,IF(C285&lt;=CommissionDD!$E$8,CommissionDD!$C$8,CommissionDD!$C$9))))))</f>
        <v>0.03</v>
      </c>
      <c r="F285" s="23" t="str">
        <f t="shared" si="14"/>
        <v/>
      </c>
      <c r="G285" s="23" t="str">
        <f>IF($B285="","",(Acc!$F285*CommissionDD!$C$30))</f>
        <v/>
      </c>
      <c r="H285" s="23" t="str">
        <f t="shared" si="12"/>
        <v/>
      </c>
    </row>
    <row r="286" spans="1:8">
      <c r="A286" s="21" t="str">
        <f t="shared" si="13"/>
        <v/>
      </c>
      <c r="B286" s="1" t="str">
        <f>IF(Cus!$B286&lt;&gt;"",Cus!$A286,"")</f>
        <v/>
      </c>
      <c r="C286" s="22" t="str">
        <f>IF($B286="","",Cus!$AA286)</f>
        <v/>
      </c>
      <c r="D286" s="23" t="str">
        <f>IF($B286="","",(Acc!$H286*$C286))</f>
        <v/>
      </c>
      <c r="E286" s="24">
        <f>IF(C286&lt;=CommissionDD!$E$3,CommissionDD!$C$3,IF(C286&lt;=CommissionDD!$E$4,CommissionDD!$C$4,IF(C286&lt;=CommissionDD!$E$5,CommissionDD!$C$5,IF(C286&lt;=CommissionDD!$E$6,CommissionDD!$C$6,IF(C286&lt;=CommissionDD!$E$7,CommissionDD!$C$7,IF(C286&lt;=CommissionDD!$E$8,CommissionDD!$C$8,CommissionDD!$C$9))))))</f>
        <v>0.03</v>
      </c>
      <c r="F286" s="23" t="str">
        <f t="shared" si="14"/>
        <v/>
      </c>
      <c r="G286" s="23" t="str">
        <f>IF($B286="","",(Acc!$F286*CommissionDD!$C$30))</f>
        <v/>
      </c>
      <c r="H286" s="23" t="str">
        <f t="shared" si="12"/>
        <v/>
      </c>
    </row>
    <row r="287" spans="1:8">
      <c r="A287" s="21" t="str">
        <f t="shared" si="13"/>
        <v/>
      </c>
      <c r="B287" s="1" t="str">
        <f>IF(Cus!$B287&lt;&gt;"",Cus!$A287,"")</f>
        <v/>
      </c>
      <c r="C287" s="22" t="str">
        <f>IF($B287="","",Cus!$AA287)</f>
        <v/>
      </c>
      <c r="D287" s="23" t="str">
        <f>IF($B287="","",(Acc!$H287*$C287))</f>
        <v/>
      </c>
      <c r="E287" s="24">
        <f>IF(C287&lt;=CommissionDD!$E$3,CommissionDD!$C$3,IF(C287&lt;=CommissionDD!$E$4,CommissionDD!$C$4,IF(C287&lt;=CommissionDD!$E$5,CommissionDD!$C$5,IF(C287&lt;=CommissionDD!$E$6,CommissionDD!$C$6,IF(C287&lt;=CommissionDD!$E$7,CommissionDD!$C$7,IF(C287&lt;=CommissionDD!$E$8,CommissionDD!$C$8,CommissionDD!$C$9))))))</f>
        <v>0.03</v>
      </c>
      <c r="F287" s="23" t="str">
        <f t="shared" si="14"/>
        <v/>
      </c>
      <c r="G287" s="23" t="str">
        <f>IF($B287="","",(Acc!$F287*CommissionDD!$C$30))</f>
        <v/>
      </c>
      <c r="H287" s="23" t="str">
        <f t="shared" si="12"/>
        <v/>
      </c>
    </row>
    <row r="288" spans="1:8">
      <c r="A288" s="21" t="str">
        <f t="shared" si="13"/>
        <v/>
      </c>
      <c r="B288" s="1" t="str">
        <f>IF(Cus!$B288&lt;&gt;"",Cus!$A288,"")</f>
        <v/>
      </c>
      <c r="C288" s="22" t="str">
        <f>IF($B288="","",Cus!$AA288)</f>
        <v/>
      </c>
      <c r="D288" s="23" t="str">
        <f>IF($B288="","",(Acc!#REF!*$C288))</f>
        <v/>
      </c>
      <c r="E288" s="24">
        <f>IF(C288&lt;=CommissionDD!$E$3,CommissionDD!$C$3,IF(C288&lt;=CommissionDD!$E$4,CommissionDD!$C$4,IF(C288&lt;=CommissionDD!$E$5,CommissionDD!$C$5,IF(C288&lt;=CommissionDD!$E$6,CommissionDD!$C$6,IF(C288&lt;=CommissionDD!$E$7,CommissionDD!$C$7,IF(C288&lt;=CommissionDD!$E$8,CommissionDD!$C$8,CommissionDD!$C$9))))))</f>
        <v>0.03</v>
      </c>
      <c r="F288" s="23" t="str">
        <f t="shared" si="14"/>
        <v/>
      </c>
      <c r="G288" s="23" t="str">
        <f>IF($B288="","",(Acc!#REF!*CommissionDD!$C$30))</f>
        <v/>
      </c>
      <c r="H288" s="23" t="str">
        <f t="shared" si="12"/>
        <v/>
      </c>
    </row>
    <row r="289" spans="1:8">
      <c r="A289" s="21">
        <f t="shared" si="13"/>
        <v>288</v>
      </c>
      <c r="B289" s="1" t="str">
        <f>IF(Cus!$B289&lt;&gt;"",Cus!$A289,"")</f>
        <v>K0000288</v>
      </c>
      <c r="C289" s="22">
        <f>IF($B289="","",Cus!$AA289)</f>
        <v>0</v>
      </c>
      <c r="D289" s="23">
        <f>IF($B289="","",(Acc!$H288*$C289))</f>
        <v>0</v>
      </c>
      <c r="E289" s="24">
        <f>IF(C289&lt;=CommissionDD!$E$3,CommissionDD!$C$3,IF(C289&lt;=CommissionDD!$E$4,CommissionDD!$C$4,IF(C289&lt;=CommissionDD!$E$5,CommissionDD!$C$5,IF(C289&lt;=CommissionDD!$E$6,CommissionDD!$C$6,IF(C289&lt;=CommissionDD!$E$7,CommissionDD!$C$7,IF(C289&lt;=CommissionDD!$E$8,CommissionDD!$C$8,CommissionDD!$C$9))))))</f>
        <v>0.12</v>
      </c>
      <c r="F289" s="23">
        <f t="shared" si="14"/>
        <v>0</v>
      </c>
      <c r="G289" s="23">
        <f>IF($B289="","",(Acc!$F288*CommissionDD!$C$30))</f>
        <v>0</v>
      </c>
      <c r="H289" s="23">
        <f t="shared" si="12"/>
        <v>0</v>
      </c>
    </row>
    <row r="290" spans="1:8">
      <c r="A290" s="21" t="str">
        <f t="shared" si="13"/>
        <v/>
      </c>
      <c r="B290" s="1" t="str">
        <f>IF(Cus!$B290&lt;&gt;"",Cus!$A290,"")</f>
        <v/>
      </c>
      <c r="C290" s="22" t="str">
        <f>IF($B290="","",Cus!$AA290)</f>
        <v/>
      </c>
      <c r="D290" s="23" t="str">
        <f>IF($B290="","",(Acc!$H290*$C290))</f>
        <v/>
      </c>
      <c r="E290" s="24">
        <f>IF(C290&lt;=CommissionDD!$E$3,CommissionDD!$C$3,IF(C290&lt;=CommissionDD!$E$4,CommissionDD!$C$4,IF(C290&lt;=CommissionDD!$E$5,CommissionDD!$C$5,IF(C290&lt;=CommissionDD!$E$6,CommissionDD!$C$6,IF(C290&lt;=CommissionDD!$E$7,CommissionDD!$C$7,IF(C290&lt;=CommissionDD!$E$8,CommissionDD!$C$8,CommissionDD!$C$9))))))</f>
        <v>0.03</v>
      </c>
      <c r="F290" s="23" t="str">
        <f t="shared" si="14"/>
        <v/>
      </c>
      <c r="G290" s="23" t="str">
        <f>IF($B290="","",(Acc!$F290*CommissionDD!$C$30))</f>
        <v/>
      </c>
      <c r="H290" s="23" t="str">
        <f t="shared" si="12"/>
        <v/>
      </c>
    </row>
    <row r="291" spans="1:8">
      <c r="A291" s="21" t="str">
        <f t="shared" si="13"/>
        <v/>
      </c>
      <c r="B291" s="1" t="str">
        <f>IF(Cus!$B291&lt;&gt;"",Cus!$A291,"")</f>
        <v/>
      </c>
      <c r="C291" s="22" t="str">
        <f>IF($B291="","",Cus!$AA291)</f>
        <v/>
      </c>
      <c r="D291" s="23" t="str">
        <f>IF($B291="","",(Acc!#REF!*$C291))</f>
        <v/>
      </c>
      <c r="E291" s="24">
        <f>IF(C291&lt;=CommissionDD!$E$3,CommissionDD!$C$3,IF(C291&lt;=CommissionDD!$E$4,CommissionDD!$C$4,IF(C291&lt;=CommissionDD!$E$5,CommissionDD!$C$5,IF(C291&lt;=CommissionDD!$E$6,CommissionDD!$C$6,IF(C291&lt;=CommissionDD!$E$7,CommissionDD!$C$7,IF(C291&lt;=CommissionDD!$E$8,CommissionDD!$C$8,CommissionDD!$C$9))))))</f>
        <v>0.03</v>
      </c>
      <c r="F291" s="23" t="str">
        <f t="shared" si="14"/>
        <v/>
      </c>
      <c r="G291" s="23" t="str">
        <f>IF($B291="","",(Acc!#REF!*CommissionDD!$C$30))</f>
        <v/>
      </c>
      <c r="H291" s="23" t="str">
        <f t="shared" si="12"/>
        <v/>
      </c>
    </row>
    <row r="292" spans="1:8">
      <c r="A292" s="21">
        <f t="shared" si="13"/>
        <v>291</v>
      </c>
      <c r="B292" s="1" t="str">
        <f>IF(Cus!$B292&lt;&gt;"",Cus!$A292,"")</f>
        <v>K0000291</v>
      </c>
      <c r="C292" s="22">
        <f>IF($B292="","",Cus!$AA292)</f>
        <v>0</v>
      </c>
      <c r="D292" s="23">
        <f>IF($B292="","",(Acc!$H291*$C292))</f>
        <v>0</v>
      </c>
      <c r="E292" s="24">
        <f>IF(C292&lt;=CommissionDD!$E$3,CommissionDD!$C$3,IF(C292&lt;=CommissionDD!$E$4,CommissionDD!$C$4,IF(C292&lt;=CommissionDD!$E$5,CommissionDD!$C$5,IF(C292&lt;=CommissionDD!$E$6,CommissionDD!$C$6,IF(C292&lt;=CommissionDD!$E$7,CommissionDD!$C$7,IF(C292&lt;=CommissionDD!$E$8,CommissionDD!$C$8,CommissionDD!$C$9))))))</f>
        <v>0.12</v>
      </c>
      <c r="F292" s="23">
        <f t="shared" si="14"/>
        <v>0</v>
      </c>
      <c r="G292" s="23">
        <f>IF($B292="","",(Acc!$F291*CommissionDD!$C$30))</f>
        <v>0</v>
      </c>
      <c r="H292" s="23">
        <f t="shared" si="12"/>
        <v>0</v>
      </c>
    </row>
    <row r="293" spans="1:8">
      <c r="A293" s="21" t="str">
        <f t="shared" si="13"/>
        <v/>
      </c>
      <c r="B293" s="1" t="str">
        <f>IF(Cus!$B293&lt;&gt;"",Cus!$A293,"")</f>
        <v/>
      </c>
      <c r="C293" s="22" t="str">
        <f>IF($B293="","",Cus!$AA293)</f>
        <v/>
      </c>
      <c r="D293" s="23" t="str">
        <f>IF($B293="","",(Acc!$H293*$C293))</f>
        <v/>
      </c>
      <c r="E293" s="24">
        <f>IF(C293&lt;=CommissionDD!$E$3,CommissionDD!$C$3,IF(C293&lt;=CommissionDD!$E$4,CommissionDD!$C$4,IF(C293&lt;=CommissionDD!$E$5,CommissionDD!$C$5,IF(C293&lt;=CommissionDD!$E$6,CommissionDD!$C$6,IF(C293&lt;=CommissionDD!$E$7,CommissionDD!$C$7,IF(C293&lt;=CommissionDD!$E$8,CommissionDD!$C$8,CommissionDD!$C$9))))))</f>
        <v>0.03</v>
      </c>
      <c r="F293" s="23" t="str">
        <f t="shared" si="14"/>
        <v/>
      </c>
      <c r="G293" s="23" t="str">
        <f>IF($B293="","",(Acc!$F293*CommissionDD!$C$30))</f>
        <v/>
      </c>
      <c r="H293" s="23" t="str">
        <f t="shared" si="12"/>
        <v/>
      </c>
    </row>
    <row r="294" spans="1:8">
      <c r="A294" s="21" t="str">
        <f t="shared" si="13"/>
        <v/>
      </c>
      <c r="B294" s="1" t="str">
        <f>IF(Cus!$B294&lt;&gt;"",Cus!$A294,"")</f>
        <v/>
      </c>
      <c r="C294" s="22" t="str">
        <f>IF($B294="","",Cus!$AA294)</f>
        <v/>
      </c>
      <c r="D294" s="23" t="str">
        <f>IF($B294="","",(Acc!$H294*$C294))</f>
        <v/>
      </c>
      <c r="E294" s="24">
        <f>IF(C294&lt;=CommissionDD!$E$3,CommissionDD!$C$3,IF(C294&lt;=CommissionDD!$E$4,CommissionDD!$C$4,IF(C294&lt;=CommissionDD!$E$5,CommissionDD!$C$5,IF(C294&lt;=CommissionDD!$E$6,CommissionDD!$C$6,IF(C294&lt;=CommissionDD!$E$7,CommissionDD!$C$7,IF(C294&lt;=CommissionDD!$E$8,CommissionDD!$C$8,CommissionDD!$C$9))))))</f>
        <v>0.03</v>
      </c>
      <c r="F294" s="23" t="str">
        <f t="shared" si="14"/>
        <v/>
      </c>
      <c r="G294" s="23" t="str">
        <f>IF($B294="","",(Acc!$F294*CommissionDD!$C$30))</f>
        <v/>
      </c>
      <c r="H294" s="23" t="str">
        <f t="shared" si="12"/>
        <v/>
      </c>
    </row>
    <row r="295" spans="1:8">
      <c r="A295" s="21" t="str">
        <f t="shared" si="13"/>
        <v/>
      </c>
      <c r="B295" s="1" t="str">
        <f>IF(Cus!$B295&lt;&gt;"",Cus!$A295,"")</f>
        <v/>
      </c>
      <c r="C295" s="22" t="str">
        <f>IF($B295="","",Cus!$AA295)</f>
        <v/>
      </c>
      <c r="D295" s="23" t="str">
        <f>IF($B295="","",(Acc!$H295*$C295))</f>
        <v/>
      </c>
      <c r="E295" s="24">
        <f>IF(C295&lt;=CommissionDD!$E$3,CommissionDD!$C$3,IF(C295&lt;=CommissionDD!$E$4,CommissionDD!$C$4,IF(C295&lt;=CommissionDD!$E$5,CommissionDD!$C$5,IF(C295&lt;=CommissionDD!$E$6,CommissionDD!$C$6,IF(C295&lt;=CommissionDD!$E$7,CommissionDD!$C$7,IF(C295&lt;=CommissionDD!$E$8,CommissionDD!$C$8,CommissionDD!$C$9))))))</f>
        <v>0.03</v>
      </c>
      <c r="F295" s="23" t="str">
        <f t="shared" si="14"/>
        <v/>
      </c>
      <c r="G295" s="23" t="str">
        <f>IF($B295="","",(Acc!$F295*CommissionDD!$C$30))</f>
        <v/>
      </c>
      <c r="H295" s="23" t="str">
        <f t="shared" si="12"/>
        <v/>
      </c>
    </row>
    <row r="296" spans="1:8">
      <c r="A296" s="21" t="str">
        <f t="shared" si="13"/>
        <v/>
      </c>
      <c r="B296" s="1" t="str">
        <f>IF(Cus!$B296&lt;&gt;"",Cus!$A296,"")</f>
        <v/>
      </c>
      <c r="C296" s="22" t="str">
        <f>IF($B296="","",Cus!$AA296)</f>
        <v/>
      </c>
      <c r="D296" s="23" t="str">
        <f>IF($B296="","",(Acc!$H296*$C296))</f>
        <v/>
      </c>
      <c r="E296" s="24">
        <f>IF(C296&lt;=CommissionDD!$E$3,CommissionDD!$C$3,IF(C296&lt;=CommissionDD!$E$4,CommissionDD!$C$4,IF(C296&lt;=CommissionDD!$E$5,CommissionDD!$C$5,IF(C296&lt;=CommissionDD!$E$6,CommissionDD!$C$6,IF(C296&lt;=CommissionDD!$E$7,CommissionDD!$C$7,IF(C296&lt;=CommissionDD!$E$8,CommissionDD!$C$8,CommissionDD!$C$9))))))</f>
        <v>0.03</v>
      </c>
      <c r="F296" s="23" t="str">
        <f t="shared" si="14"/>
        <v/>
      </c>
      <c r="G296" s="23" t="str">
        <f>IF($B296="","",(Acc!$F296*CommissionDD!$C$30))</f>
        <v/>
      </c>
      <c r="H296" s="23" t="str">
        <f t="shared" si="12"/>
        <v/>
      </c>
    </row>
    <row r="297" spans="1:8">
      <c r="A297" s="21" t="str">
        <f t="shared" si="13"/>
        <v/>
      </c>
      <c r="B297" s="1" t="str">
        <f>IF(Cus!$B297&lt;&gt;"",Cus!$A297,"")</f>
        <v/>
      </c>
      <c r="C297" s="22" t="str">
        <f>IF($B297="","",Cus!$AA297)</f>
        <v/>
      </c>
      <c r="D297" s="23" t="str">
        <f>IF($B297="","",(Acc!$H297*$C297))</f>
        <v/>
      </c>
      <c r="E297" s="24">
        <f>IF(C297&lt;=CommissionDD!$E$3,CommissionDD!$C$3,IF(C297&lt;=CommissionDD!$E$4,CommissionDD!$C$4,IF(C297&lt;=CommissionDD!$E$5,CommissionDD!$C$5,IF(C297&lt;=CommissionDD!$E$6,CommissionDD!$C$6,IF(C297&lt;=CommissionDD!$E$7,CommissionDD!$C$7,IF(C297&lt;=CommissionDD!$E$8,CommissionDD!$C$8,CommissionDD!$C$9))))))</f>
        <v>0.03</v>
      </c>
      <c r="F297" s="23" t="str">
        <f t="shared" si="14"/>
        <v/>
      </c>
      <c r="G297" s="23" t="str">
        <f>IF($B297="","",(Acc!$F297*CommissionDD!$C$30))</f>
        <v/>
      </c>
      <c r="H297" s="23" t="str">
        <f t="shared" si="12"/>
        <v/>
      </c>
    </row>
    <row r="298" spans="1:8">
      <c r="A298" s="21" t="str">
        <f t="shared" si="13"/>
        <v/>
      </c>
      <c r="B298" s="1" t="str">
        <f>IF(Cus!$B298&lt;&gt;"",Cus!$A298,"")</f>
        <v/>
      </c>
      <c r="C298" s="22" t="str">
        <f>IF($B298="","",Cus!$AA298)</f>
        <v/>
      </c>
      <c r="D298" s="23" t="str">
        <f>IF($B298="","",(Acc!$H298*$C298))</f>
        <v/>
      </c>
      <c r="E298" s="24">
        <f>IF(C298&lt;=CommissionDD!$E$3,CommissionDD!$C$3,IF(C298&lt;=CommissionDD!$E$4,CommissionDD!$C$4,IF(C298&lt;=CommissionDD!$E$5,CommissionDD!$C$5,IF(C298&lt;=CommissionDD!$E$6,CommissionDD!$C$6,IF(C298&lt;=CommissionDD!$E$7,CommissionDD!$C$7,IF(C298&lt;=CommissionDD!$E$8,CommissionDD!$C$8,CommissionDD!$C$9))))))</f>
        <v>0.03</v>
      </c>
      <c r="F298" s="23" t="str">
        <f t="shared" si="14"/>
        <v/>
      </c>
      <c r="G298" s="23" t="str">
        <f>IF($B298="","",(Acc!$F298*CommissionDD!$C$30))</f>
        <v/>
      </c>
      <c r="H298" s="23" t="str">
        <f t="shared" si="12"/>
        <v/>
      </c>
    </row>
    <row r="299" spans="1:8">
      <c r="A299" s="21" t="str">
        <f t="shared" si="13"/>
        <v/>
      </c>
      <c r="B299" s="1" t="str">
        <f>IF(Cus!$B299&lt;&gt;"",Cus!$A299,"")</f>
        <v/>
      </c>
      <c r="C299" s="22" t="str">
        <f>IF($B299="","",Cus!$AA299)</f>
        <v/>
      </c>
      <c r="D299" s="23" t="str">
        <f>IF($B299="","",(Acc!$H299*$C299))</f>
        <v/>
      </c>
      <c r="E299" s="24">
        <f>IF(C299&lt;=CommissionDD!$E$3,CommissionDD!$C$3,IF(C299&lt;=CommissionDD!$E$4,CommissionDD!$C$4,IF(C299&lt;=CommissionDD!$E$5,CommissionDD!$C$5,IF(C299&lt;=CommissionDD!$E$6,CommissionDD!$C$6,IF(C299&lt;=CommissionDD!$E$7,CommissionDD!$C$7,IF(C299&lt;=CommissionDD!$E$8,CommissionDD!$C$8,CommissionDD!$C$9))))))</f>
        <v>0.03</v>
      </c>
      <c r="F299" s="23" t="str">
        <f t="shared" si="14"/>
        <v/>
      </c>
      <c r="G299" s="23" t="str">
        <f>IF($B299="","",(Acc!$F299*CommissionDD!$C$30))</f>
        <v/>
      </c>
      <c r="H299" s="23" t="str">
        <f t="shared" si="12"/>
        <v/>
      </c>
    </row>
    <row r="300" spans="1:8">
      <c r="A300" s="21" t="str">
        <f t="shared" si="13"/>
        <v/>
      </c>
      <c r="B300" s="1" t="str">
        <f>IF(Cus!$B300&lt;&gt;"",Cus!$A300,"")</f>
        <v/>
      </c>
      <c r="C300" s="22" t="str">
        <f>IF($B300="","",Cus!$AA300)</f>
        <v/>
      </c>
      <c r="D300" s="23" t="str">
        <f>IF($B300="","",(Acc!$H300*$C300))</f>
        <v/>
      </c>
      <c r="E300" s="24">
        <f>IF(C300&lt;=CommissionDD!$E$3,CommissionDD!$C$3,IF(C300&lt;=CommissionDD!$E$4,CommissionDD!$C$4,IF(C300&lt;=CommissionDD!$E$5,CommissionDD!$C$5,IF(C300&lt;=CommissionDD!$E$6,CommissionDD!$C$6,IF(C300&lt;=CommissionDD!$E$7,CommissionDD!$C$7,IF(C300&lt;=CommissionDD!$E$8,CommissionDD!$C$8,CommissionDD!$C$9))))))</f>
        <v>0.03</v>
      </c>
      <c r="F300" s="23" t="str">
        <f t="shared" si="14"/>
        <v/>
      </c>
      <c r="G300" s="23" t="str">
        <f>IF($B300="","",(Acc!$F300*CommissionDD!$C$30))</f>
        <v/>
      </c>
      <c r="H300" s="23" t="str">
        <f t="shared" si="12"/>
        <v/>
      </c>
    </row>
    <row r="301" spans="1:8">
      <c r="A301" s="21" t="str">
        <f t="shared" si="13"/>
        <v/>
      </c>
      <c r="B301" s="1" t="str">
        <f>IF(Cus!$B301&lt;&gt;"",Cus!$A301,"")</f>
        <v/>
      </c>
      <c r="C301" s="22" t="str">
        <f>IF($B301="","",Cus!$AA301)</f>
        <v/>
      </c>
      <c r="D301" s="23" t="str">
        <f>IF($B301="","",(Acc!$H301*$C301))</f>
        <v/>
      </c>
      <c r="E301" s="24">
        <f>IF(C301&lt;=CommissionDD!$E$3,CommissionDD!$C$3,IF(C301&lt;=CommissionDD!$E$4,CommissionDD!$C$4,IF(C301&lt;=CommissionDD!$E$5,CommissionDD!$C$5,IF(C301&lt;=CommissionDD!$E$6,CommissionDD!$C$6,IF(C301&lt;=CommissionDD!$E$7,CommissionDD!$C$7,IF(C301&lt;=CommissionDD!$E$8,CommissionDD!$C$8,CommissionDD!$C$9))))))</f>
        <v>0.03</v>
      </c>
      <c r="F301" s="23" t="str">
        <f t="shared" si="14"/>
        <v/>
      </c>
      <c r="G301" s="23" t="str">
        <f>IF($B301="","",(Acc!$F301*CommissionDD!$C$30))</f>
        <v/>
      </c>
      <c r="H301" s="23" t="str">
        <f t="shared" si="12"/>
        <v/>
      </c>
    </row>
    <row r="302" spans="1:8">
      <c r="A302" s="21" t="str">
        <f t="shared" si="13"/>
        <v/>
      </c>
      <c r="B302" s="1" t="str">
        <f>IF(Cus!$B302&lt;&gt;"",Cus!$A302,"")</f>
        <v/>
      </c>
      <c r="C302" s="22" t="str">
        <f>IF($B302="","",Cus!$AA302)</f>
        <v/>
      </c>
      <c r="D302" s="23" t="str">
        <f>IF($B302="","",(Acc!$H302*$C302))</f>
        <v/>
      </c>
      <c r="E302" s="24">
        <f>IF(C302&lt;=CommissionDD!$E$3,CommissionDD!$C$3,IF(C302&lt;=CommissionDD!$E$4,CommissionDD!$C$4,IF(C302&lt;=CommissionDD!$E$5,CommissionDD!$C$5,IF(C302&lt;=CommissionDD!$E$6,CommissionDD!$C$6,IF(C302&lt;=CommissionDD!$E$7,CommissionDD!$C$7,IF(C302&lt;=CommissionDD!$E$8,CommissionDD!$C$8,CommissionDD!$C$9))))))</f>
        <v>0.03</v>
      </c>
      <c r="F302" s="23" t="str">
        <f t="shared" si="14"/>
        <v/>
      </c>
      <c r="G302" s="23" t="str">
        <f>IF($B302="","",(Acc!$F302*CommissionDD!$C$30))</f>
        <v/>
      </c>
      <c r="H302" s="23" t="str">
        <f t="shared" si="12"/>
        <v/>
      </c>
    </row>
    <row r="303" spans="1:8">
      <c r="A303" s="21" t="str">
        <f t="shared" si="13"/>
        <v/>
      </c>
      <c r="B303" s="1" t="str">
        <f>IF(Cus!$B303&lt;&gt;"",Cus!$A303,"")</f>
        <v/>
      </c>
      <c r="C303" s="22" t="str">
        <f>IF($B303="","",Cus!$AA303)</f>
        <v/>
      </c>
      <c r="D303" s="23" t="str">
        <f>IF($B303="","",(Acc!$H303*$C303))</f>
        <v/>
      </c>
      <c r="E303" s="24">
        <f>IF(C303&lt;=CommissionDD!$E$3,CommissionDD!$C$3,IF(C303&lt;=CommissionDD!$E$4,CommissionDD!$C$4,IF(C303&lt;=CommissionDD!$E$5,CommissionDD!$C$5,IF(C303&lt;=CommissionDD!$E$6,CommissionDD!$C$6,IF(C303&lt;=CommissionDD!$E$7,CommissionDD!$C$7,IF(C303&lt;=CommissionDD!$E$8,CommissionDD!$C$8,CommissionDD!$C$9))))))</f>
        <v>0.03</v>
      </c>
      <c r="F303" s="23" t="str">
        <f t="shared" si="14"/>
        <v/>
      </c>
      <c r="G303" s="23" t="str">
        <f>IF($B303="","",(Acc!$F303*CommissionDD!$C$30))</f>
        <v/>
      </c>
      <c r="H303" s="23" t="str">
        <f t="shared" si="12"/>
        <v/>
      </c>
    </row>
    <row r="304" spans="1:8">
      <c r="A304" s="21" t="str">
        <f t="shared" si="13"/>
        <v/>
      </c>
      <c r="B304" s="1" t="str">
        <f>IF(Cus!$B304&lt;&gt;"",Cus!$A304,"")</f>
        <v/>
      </c>
      <c r="C304" s="22" t="str">
        <f>IF($B304="","",Cus!$AA304)</f>
        <v/>
      </c>
      <c r="D304" s="23" t="str">
        <f>IF($B304="","",(Acc!$H304*$C304))</f>
        <v/>
      </c>
      <c r="E304" s="24">
        <f>IF(C304&lt;=CommissionDD!$E$3,CommissionDD!$C$3,IF(C304&lt;=CommissionDD!$E$4,CommissionDD!$C$4,IF(C304&lt;=CommissionDD!$E$5,CommissionDD!$C$5,IF(C304&lt;=CommissionDD!$E$6,CommissionDD!$C$6,IF(C304&lt;=CommissionDD!$E$7,CommissionDD!$C$7,IF(C304&lt;=CommissionDD!$E$8,CommissionDD!$C$8,CommissionDD!$C$9))))))</f>
        <v>0.03</v>
      </c>
      <c r="F304" s="23" t="str">
        <f t="shared" si="14"/>
        <v/>
      </c>
      <c r="G304" s="23" t="str">
        <f>IF($B304="","",(Acc!$F304*CommissionDD!$C$30))</f>
        <v/>
      </c>
      <c r="H304" s="23" t="str">
        <f t="shared" si="12"/>
        <v/>
      </c>
    </row>
    <row r="305" spans="1:8">
      <c r="A305" s="21" t="str">
        <f t="shared" si="13"/>
        <v/>
      </c>
      <c r="B305" s="1" t="str">
        <f>IF(Cus!$B305&lt;&gt;"",Cus!$A305,"")</f>
        <v/>
      </c>
      <c r="C305" s="22" t="str">
        <f>IF($B305="","",Cus!$AA305)</f>
        <v/>
      </c>
      <c r="D305" s="23" t="str">
        <f>IF($B305="","",(Acc!$H305*$C305))</f>
        <v/>
      </c>
      <c r="E305" s="24">
        <f>IF(C305&lt;=CommissionDD!$E$3,CommissionDD!$C$3,IF(C305&lt;=CommissionDD!$E$4,CommissionDD!$C$4,IF(C305&lt;=CommissionDD!$E$5,CommissionDD!$C$5,IF(C305&lt;=CommissionDD!$E$6,CommissionDD!$C$6,IF(C305&lt;=CommissionDD!$E$7,CommissionDD!$C$7,IF(C305&lt;=CommissionDD!$E$8,CommissionDD!$C$8,CommissionDD!$C$9))))))</f>
        <v>0.03</v>
      </c>
      <c r="F305" s="23" t="str">
        <f t="shared" si="14"/>
        <v/>
      </c>
      <c r="G305" s="23" t="str">
        <f>IF($B305="","",(Acc!$F305*CommissionDD!$C$30))</f>
        <v/>
      </c>
      <c r="H305" s="23" t="str">
        <f t="shared" si="12"/>
        <v/>
      </c>
    </row>
    <row r="306" spans="1:8">
      <c r="A306" s="21" t="str">
        <f t="shared" si="13"/>
        <v/>
      </c>
      <c r="B306" s="1" t="str">
        <f>IF(Cus!$B306&lt;&gt;"",Cus!$A306,"")</f>
        <v/>
      </c>
      <c r="C306" s="22" t="str">
        <f>IF($B306="","",Cus!$AA306)</f>
        <v/>
      </c>
      <c r="D306" s="23" t="str">
        <f>IF($B306="","",(Acc!$H306*$C306))</f>
        <v/>
      </c>
      <c r="E306" s="24">
        <f>IF(C306&lt;=CommissionDD!$E$3,CommissionDD!$C$3,IF(C306&lt;=CommissionDD!$E$4,CommissionDD!$C$4,IF(C306&lt;=CommissionDD!$E$5,CommissionDD!$C$5,IF(C306&lt;=CommissionDD!$E$6,CommissionDD!$C$6,IF(C306&lt;=CommissionDD!$E$7,CommissionDD!$C$7,IF(C306&lt;=CommissionDD!$E$8,CommissionDD!$C$8,CommissionDD!$C$9))))))</f>
        <v>0.03</v>
      </c>
      <c r="F306" s="23" t="str">
        <f t="shared" si="14"/>
        <v/>
      </c>
      <c r="G306" s="23" t="str">
        <f>IF($B306="","",(Acc!$F306*CommissionDD!$C$30))</f>
        <v/>
      </c>
      <c r="H306" s="23" t="str">
        <f t="shared" si="12"/>
        <v/>
      </c>
    </row>
    <row r="307" spans="1:8">
      <c r="A307" s="21" t="str">
        <f t="shared" si="13"/>
        <v/>
      </c>
      <c r="B307" s="1" t="str">
        <f>IF(Cus!$B307&lt;&gt;"",Cus!$A307,"")</f>
        <v/>
      </c>
      <c r="C307" s="22" t="str">
        <f>IF($B307="","",Cus!$AA307)</f>
        <v/>
      </c>
      <c r="D307" s="23" t="str">
        <f>IF($B307="","",(Acc!$H307*$C307))</f>
        <v/>
      </c>
      <c r="E307" s="24">
        <f>IF(C307&lt;=CommissionDD!$E$3,CommissionDD!$C$3,IF(C307&lt;=CommissionDD!$E$4,CommissionDD!$C$4,IF(C307&lt;=CommissionDD!$E$5,CommissionDD!$C$5,IF(C307&lt;=CommissionDD!$E$6,CommissionDD!$C$6,IF(C307&lt;=CommissionDD!$E$7,CommissionDD!$C$7,IF(C307&lt;=CommissionDD!$E$8,CommissionDD!$C$8,CommissionDD!$C$9))))))</f>
        <v>0.03</v>
      </c>
      <c r="F307" s="23" t="str">
        <f t="shared" si="14"/>
        <v/>
      </c>
      <c r="G307" s="23" t="str">
        <f>IF($B307="","",(Acc!$F307*CommissionDD!$C$30))</f>
        <v/>
      </c>
      <c r="H307" s="23" t="str">
        <f t="shared" si="12"/>
        <v/>
      </c>
    </row>
    <row r="308" spans="1:8">
      <c r="A308" s="21" t="str">
        <f t="shared" si="13"/>
        <v/>
      </c>
      <c r="B308" s="1" t="str">
        <f>IF(Cus!$B308&lt;&gt;"",Cus!$A308,"")</f>
        <v/>
      </c>
      <c r="C308" s="22" t="str">
        <f>IF($B308="","",Cus!$AA308)</f>
        <v/>
      </c>
      <c r="D308" s="23" t="str">
        <f>IF($B308="","",(Acc!$H308*$C308))</f>
        <v/>
      </c>
      <c r="E308" s="24">
        <f>IF(C308&lt;=CommissionDD!$E$3,CommissionDD!$C$3,IF(C308&lt;=CommissionDD!$E$4,CommissionDD!$C$4,IF(C308&lt;=CommissionDD!$E$5,CommissionDD!$C$5,IF(C308&lt;=CommissionDD!$E$6,CommissionDD!$C$6,IF(C308&lt;=CommissionDD!$E$7,CommissionDD!$C$7,IF(C308&lt;=CommissionDD!$E$8,CommissionDD!$C$8,CommissionDD!$C$9))))))</f>
        <v>0.03</v>
      </c>
      <c r="F308" s="23" t="str">
        <f t="shared" si="14"/>
        <v/>
      </c>
      <c r="G308" s="23" t="str">
        <f>IF($B308="","",(Acc!$F308*CommissionDD!$C$30))</f>
        <v/>
      </c>
      <c r="H308" s="23" t="str">
        <f t="shared" si="12"/>
        <v/>
      </c>
    </row>
    <row r="309" spans="1:8">
      <c r="A309" s="21" t="str">
        <f t="shared" si="13"/>
        <v/>
      </c>
      <c r="B309" s="1" t="str">
        <f>IF(Cus!$B309&lt;&gt;"",Cus!$A309,"")</f>
        <v/>
      </c>
      <c r="C309" s="22" t="str">
        <f>IF($B309="","",Cus!$AA309)</f>
        <v/>
      </c>
      <c r="D309" s="23" t="str">
        <f>IF($B309="","",(Acc!$H309*$C309))</f>
        <v/>
      </c>
      <c r="E309" s="24">
        <f>IF(C309&lt;=CommissionDD!$E$3,CommissionDD!$C$3,IF(C309&lt;=CommissionDD!$E$4,CommissionDD!$C$4,IF(C309&lt;=CommissionDD!$E$5,CommissionDD!$C$5,IF(C309&lt;=CommissionDD!$E$6,CommissionDD!$C$6,IF(C309&lt;=CommissionDD!$E$7,CommissionDD!$C$7,IF(C309&lt;=CommissionDD!$E$8,CommissionDD!$C$8,CommissionDD!$C$9))))))</f>
        <v>0.03</v>
      </c>
      <c r="F309" s="23" t="str">
        <f t="shared" si="14"/>
        <v/>
      </c>
      <c r="G309" s="23" t="str">
        <f>IF($B309="","",(Acc!$F309*CommissionDD!$C$30))</f>
        <v/>
      </c>
      <c r="H309" s="23" t="str">
        <f t="shared" si="12"/>
        <v/>
      </c>
    </row>
    <row r="310" spans="1:8">
      <c r="A310" s="21" t="str">
        <f t="shared" si="13"/>
        <v/>
      </c>
      <c r="B310" s="1" t="str">
        <f>IF(Cus!$B310&lt;&gt;"",Cus!$A310,"")</f>
        <v/>
      </c>
      <c r="C310" s="22" t="str">
        <f>IF($B310="","",Cus!$AA310)</f>
        <v/>
      </c>
      <c r="D310" s="23" t="str">
        <f>IF($B310="","",(Acc!$H310*$C310))</f>
        <v/>
      </c>
      <c r="E310" s="24">
        <f>IF(C310&lt;=CommissionDD!$E$3,CommissionDD!$C$3,IF(C310&lt;=CommissionDD!$E$4,CommissionDD!$C$4,IF(C310&lt;=CommissionDD!$E$5,CommissionDD!$C$5,IF(C310&lt;=CommissionDD!$E$6,CommissionDD!$C$6,IF(C310&lt;=CommissionDD!$E$7,CommissionDD!$C$7,IF(C310&lt;=CommissionDD!$E$8,CommissionDD!$C$8,CommissionDD!$C$9))))))</f>
        <v>0.03</v>
      </c>
      <c r="F310" s="23" t="str">
        <f t="shared" si="14"/>
        <v/>
      </c>
      <c r="G310" s="23" t="str">
        <f>IF($B310="","",(Acc!$F310*CommissionDD!$C$30))</f>
        <v/>
      </c>
      <c r="H310" s="23" t="str">
        <f t="shared" si="12"/>
        <v/>
      </c>
    </row>
    <row r="311" spans="1:8">
      <c r="A311" s="21" t="str">
        <f t="shared" si="13"/>
        <v/>
      </c>
      <c r="B311" s="1" t="str">
        <f>IF(Cus!$B311&lt;&gt;"",Cus!$A311,"")</f>
        <v/>
      </c>
      <c r="C311" s="22" t="str">
        <f>IF($B311="","",Cus!$AA311)</f>
        <v/>
      </c>
      <c r="D311" s="23" t="str">
        <f>IF($B311="","",(Acc!$H311*$C311))</f>
        <v/>
      </c>
      <c r="E311" s="24">
        <f>IF(C311&lt;=CommissionDD!$E$3,CommissionDD!$C$3,IF(C311&lt;=CommissionDD!$E$4,CommissionDD!$C$4,IF(C311&lt;=CommissionDD!$E$5,CommissionDD!$C$5,IF(C311&lt;=CommissionDD!$E$6,CommissionDD!$C$6,IF(C311&lt;=CommissionDD!$E$7,CommissionDD!$C$7,IF(C311&lt;=CommissionDD!$E$8,CommissionDD!$C$8,CommissionDD!$C$9))))))</f>
        <v>0.03</v>
      </c>
      <c r="F311" s="23" t="str">
        <f t="shared" si="14"/>
        <v/>
      </c>
      <c r="G311" s="23" t="str">
        <f>IF($B311="","",(Acc!$F311*CommissionDD!$C$30))</f>
        <v/>
      </c>
      <c r="H311" s="23" t="str">
        <f t="shared" si="12"/>
        <v/>
      </c>
    </row>
    <row r="312" spans="1:8">
      <c r="A312" s="21">
        <f t="shared" si="13"/>
        <v>311</v>
      </c>
      <c r="B312" s="1" t="str">
        <f>IF(Cus!$B312&lt;&gt;"",Cus!$A312,"")</f>
        <v>K0000311</v>
      </c>
      <c r="C312" s="22">
        <f>IF($B312="","",Cus!$AA312)</f>
        <v>0</v>
      </c>
      <c r="D312" s="23">
        <f>IF($B312="","",(Acc!$H312*$C312))</f>
        <v>0</v>
      </c>
      <c r="E312" s="24">
        <f>IF(C312&lt;=CommissionDD!$E$3,CommissionDD!$C$3,IF(C312&lt;=CommissionDD!$E$4,CommissionDD!$C$4,IF(C312&lt;=CommissionDD!$E$5,CommissionDD!$C$5,IF(C312&lt;=CommissionDD!$E$6,CommissionDD!$C$6,IF(C312&lt;=CommissionDD!$E$7,CommissionDD!$C$7,IF(C312&lt;=CommissionDD!$E$8,CommissionDD!$C$8,CommissionDD!$C$9))))))</f>
        <v>0.12</v>
      </c>
      <c r="F312" s="23">
        <f t="shared" si="14"/>
        <v>0</v>
      </c>
      <c r="G312" s="23">
        <f>IF($B312="","",(Acc!$F312*CommissionDD!$C$30))</f>
        <v>0</v>
      </c>
      <c r="H312" s="23">
        <f t="shared" si="12"/>
        <v>0</v>
      </c>
    </row>
    <row r="313" spans="1:8">
      <c r="A313" s="21" t="str">
        <f t="shared" si="13"/>
        <v/>
      </c>
      <c r="B313" s="1" t="str">
        <f>IF(Cus!$B313&lt;&gt;"",Cus!$A313,"")</f>
        <v/>
      </c>
      <c r="C313" s="22" t="str">
        <f>IF($B313="","",Cus!$AA313)</f>
        <v/>
      </c>
      <c r="D313" s="23" t="str">
        <f>IF($B313="","",(Acc!$H313*$C313))</f>
        <v/>
      </c>
      <c r="E313" s="24">
        <f>IF(C313&lt;=CommissionDD!$E$3,CommissionDD!$C$3,IF(C313&lt;=CommissionDD!$E$4,CommissionDD!$C$4,IF(C313&lt;=CommissionDD!$E$5,CommissionDD!$C$5,IF(C313&lt;=CommissionDD!$E$6,CommissionDD!$C$6,IF(C313&lt;=CommissionDD!$E$7,CommissionDD!$C$7,IF(C313&lt;=CommissionDD!$E$8,CommissionDD!$C$8,CommissionDD!$C$9))))))</f>
        <v>0.03</v>
      </c>
      <c r="F313" s="23" t="str">
        <f t="shared" si="14"/>
        <v/>
      </c>
      <c r="G313" s="23" t="str">
        <f>IF($B313="","",(Acc!$F313*CommissionDD!$C$30))</f>
        <v/>
      </c>
      <c r="H313" s="23" t="str">
        <f t="shared" si="12"/>
        <v/>
      </c>
    </row>
    <row r="314" spans="1:8">
      <c r="A314" s="21" t="str">
        <f t="shared" si="13"/>
        <v/>
      </c>
      <c r="B314" s="1" t="str">
        <f>IF(Cus!$B314&lt;&gt;"",Cus!$A314,"")</f>
        <v/>
      </c>
      <c r="C314" s="22" t="str">
        <f>IF($B314="","",Cus!$AA314)</f>
        <v/>
      </c>
      <c r="D314" s="23" t="str">
        <f>IF($B314="","",(Acc!$H314*$C314))</f>
        <v/>
      </c>
      <c r="E314" s="24">
        <f>IF(C314&lt;=CommissionDD!$E$3,CommissionDD!$C$3,IF(C314&lt;=CommissionDD!$E$4,CommissionDD!$C$4,IF(C314&lt;=CommissionDD!$E$5,CommissionDD!$C$5,IF(C314&lt;=CommissionDD!$E$6,CommissionDD!$C$6,IF(C314&lt;=CommissionDD!$E$7,CommissionDD!$C$7,IF(C314&lt;=CommissionDD!$E$8,CommissionDD!$C$8,CommissionDD!$C$9))))))</f>
        <v>0.03</v>
      </c>
      <c r="F314" s="23" t="str">
        <f t="shared" si="14"/>
        <v/>
      </c>
      <c r="G314" s="23" t="str">
        <f>IF($B314="","",(Acc!$F314*CommissionDD!$C$30))</f>
        <v/>
      </c>
      <c r="H314" s="23" t="str">
        <f t="shared" si="12"/>
        <v/>
      </c>
    </row>
    <row r="315" spans="1:8">
      <c r="A315" s="21" t="str">
        <f t="shared" si="13"/>
        <v/>
      </c>
      <c r="B315" s="1" t="str">
        <f>IF(Cus!$B315&lt;&gt;"",Cus!$A315,"")</f>
        <v/>
      </c>
      <c r="C315" s="22" t="str">
        <f>IF($B315="","",Cus!$AA315)</f>
        <v/>
      </c>
      <c r="D315" s="23" t="str">
        <f>IF($B315="","",(Acc!$H315*$C315))</f>
        <v/>
      </c>
      <c r="E315" s="24">
        <f>IF(C315&lt;=CommissionDD!$E$3,CommissionDD!$C$3,IF(C315&lt;=CommissionDD!$E$4,CommissionDD!$C$4,IF(C315&lt;=CommissionDD!$E$5,CommissionDD!$C$5,IF(C315&lt;=CommissionDD!$E$6,CommissionDD!$C$6,IF(C315&lt;=CommissionDD!$E$7,CommissionDD!$C$7,IF(C315&lt;=CommissionDD!$E$8,CommissionDD!$C$8,CommissionDD!$C$9))))))</f>
        <v>0.03</v>
      </c>
      <c r="F315" s="23" t="str">
        <f t="shared" si="14"/>
        <v/>
      </c>
      <c r="G315" s="23" t="str">
        <f>IF($B315="","",(Acc!$F315*CommissionDD!$C$30))</f>
        <v/>
      </c>
      <c r="H315" s="23" t="str">
        <f t="shared" si="12"/>
        <v/>
      </c>
    </row>
    <row r="316" spans="1:8">
      <c r="A316" s="21" t="str">
        <f t="shared" si="13"/>
        <v/>
      </c>
      <c r="B316" s="1" t="str">
        <f>IF(Cus!$B316&lt;&gt;"",Cus!$A316,"")</f>
        <v/>
      </c>
      <c r="C316" s="22" t="str">
        <f>IF($B316="","",Cus!$AA316)</f>
        <v/>
      </c>
      <c r="D316" s="23" t="str">
        <f>IF($B316="","",(Acc!$H316*$C316))</f>
        <v/>
      </c>
      <c r="E316" s="24">
        <f>IF(C316&lt;=CommissionDD!$E$3,CommissionDD!$C$3,IF(C316&lt;=CommissionDD!$E$4,CommissionDD!$C$4,IF(C316&lt;=CommissionDD!$E$5,CommissionDD!$C$5,IF(C316&lt;=CommissionDD!$E$6,CommissionDD!$C$6,IF(C316&lt;=CommissionDD!$E$7,CommissionDD!$C$7,IF(C316&lt;=CommissionDD!$E$8,CommissionDD!$C$8,CommissionDD!$C$9))))))</f>
        <v>0.03</v>
      </c>
      <c r="F316" s="23" t="str">
        <f t="shared" si="14"/>
        <v/>
      </c>
      <c r="G316" s="23" t="str">
        <f>IF($B316="","",(Acc!$F316*CommissionDD!$C$30))</f>
        <v/>
      </c>
      <c r="H316" s="23" t="str">
        <f t="shared" si="12"/>
        <v/>
      </c>
    </row>
    <row r="317" spans="1:8">
      <c r="A317" s="21" t="str">
        <f t="shared" si="13"/>
        <v/>
      </c>
      <c r="B317" s="1" t="str">
        <f>IF(Cus!$B317&lt;&gt;"",Cus!$A317,"")</f>
        <v/>
      </c>
      <c r="C317" s="22" t="str">
        <f>IF($B317="","",Cus!$AA317)</f>
        <v/>
      </c>
      <c r="D317" s="23" t="str">
        <f>IF($B317="","",(Acc!$H317*$C317))</f>
        <v/>
      </c>
      <c r="E317" s="24">
        <f>IF(C317&lt;=CommissionDD!$E$3,CommissionDD!$C$3,IF(C317&lt;=CommissionDD!$E$4,CommissionDD!$C$4,IF(C317&lt;=CommissionDD!$E$5,CommissionDD!$C$5,IF(C317&lt;=CommissionDD!$E$6,CommissionDD!$C$6,IF(C317&lt;=CommissionDD!$E$7,CommissionDD!$C$7,IF(C317&lt;=CommissionDD!$E$8,CommissionDD!$C$8,CommissionDD!$C$9))))))</f>
        <v>0.03</v>
      </c>
      <c r="F317" s="23" t="str">
        <f t="shared" si="14"/>
        <v/>
      </c>
      <c r="G317" s="23" t="str">
        <f>IF($B317="","",(Acc!$F317*CommissionDD!$C$30))</f>
        <v/>
      </c>
      <c r="H317" s="23" t="str">
        <f t="shared" si="12"/>
        <v/>
      </c>
    </row>
    <row r="318" spans="1:8">
      <c r="A318" s="21">
        <f t="shared" si="13"/>
        <v>317</v>
      </c>
      <c r="B318" s="1" t="str">
        <f>IF(Cus!$B318&lt;&gt;"",Cus!$A318,"")</f>
        <v>K0000317</v>
      </c>
      <c r="C318" s="22">
        <f>IF($B318="","",Cus!$AA318)</f>
        <v>0</v>
      </c>
      <c r="D318" s="23">
        <f>IF($B318="","",(Acc!$H318*$C318))</f>
        <v>0</v>
      </c>
      <c r="E318" s="24">
        <f>IF(C318&lt;=CommissionDD!$E$3,CommissionDD!$C$3,IF(C318&lt;=CommissionDD!$E$4,CommissionDD!$C$4,IF(C318&lt;=CommissionDD!$E$5,CommissionDD!$C$5,IF(C318&lt;=CommissionDD!$E$6,CommissionDD!$C$6,IF(C318&lt;=CommissionDD!$E$7,CommissionDD!$C$7,IF(C318&lt;=CommissionDD!$E$8,CommissionDD!$C$8,CommissionDD!$C$9))))))</f>
        <v>0.12</v>
      </c>
      <c r="F318" s="23">
        <f t="shared" si="14"/>
        <v>0</v>
      </c>
      <c r="G318" s="23">
        <f>IF($B318="","",(Acc!$F318*CommissionDD!$C$30))</f>
        <v>0</v>
      </c>
      <c r="H318" s="23">
        <f t="shared" si="12"/>
        <v>0</v>
      </c>
    </row>
    <row r="319" spans="1:8">
      <c r="A319" s="21" t="str">
        <f t="shared" si="13"/>
        <v/>
      </c>
      <c r="B319" s="1" t="str">
        <f>IF(Cus!$B319&lt;&gt;"",Cus!$A319,"")</f>
        <v/>
      </c>
      <c r="C319" s="22" t="str">
        <f>IF($B319="","",Cus!$AA319)</f>
        <v/>
      </c>
      <c r="D319" s="23" t="str">
        <f>IF($B319="","",(Acc!$H319*$C319))</f>
        <v/>
      </c>
      <c r="E319" s="24">
        <f>IF(C319&lt;=CommissionDD!$E$3,CommissionDD!$C$3,IF(C319&lt;=CommissionDD!$E$4,CommissionDD!$C$4,IF(C319&lt;=CommissionDD!$E$5,CommissionDD!$C$5,IF(C319&lt;=CommissionDD!$E$6,CommissionDD!$C$6,IF(C319&lt;=CommissionDD!$E$7,CommissionDD!$C$7,IF(C319&lt;=CommissionDD!$E$8,CommissionDD!$C$8,CommissionDD!$C$9))))))</f>
        <v>0.03</v>
      </c>
      <c r="F319" s="23" t="str">
        <f t="shared" si="14"/>
        <v/>
      </c>
      <c r="G319" s="23" t="str">
        <f>IF($B319="","",(Acc!$F319*CommissionDD!$C$30))</f>
        <v/>
      </c>
      <c r="H319" s="23" t="str">
        <f t="shared" si="12"/>
        <v/>
      </c>
    </row>
    <row r="320" spans="1:8">
      <c r="A320" s="21" t="str">
        <f t="shared" si="13"/>
        <v/>
      </c>
      <c r="B320" s="1" t="str">
        <f>IF(Cus!$B320&lt;&gt;"",Cus!$A320,"")</f>
        <v/>
      </c>
      <c r="C320" s="22" t="str">
        <f>IF($B320="","",Cus!$AA320)</f>
        <v/>
      </c>
      <c r="D320" s="23" t="str">
        <f>IF($B320="","",(Acc!$H320*$C320))</f>
        <v/>
      </c>
      <c r="E320" s="24">
        <f>IF(C320&lt;=CommissionDD!$E$3,CommissionDD!$C$3,IF(C320&lt;=CommissionDD!$E$4,CommissionDD!$C$4,IF(C320&lt;=CommissionDD!$E$5,CommissionDD!$C$5,IF(C320&lt;=CommissionDD!$E$6,CommissionDD!$C$6,IF(C320&lt;=CommissionDD!$E$7,CommissionDD!$C$7,IF(C320&lt;=CommissionDD!$E$8,CommissionDD!$C$8,CommissionDD!$C$9))))))</f>
        <v>0.03</v>
      </c>
      <c r="F320" s="23" t="str">
        <f t="shared" si="14"/>
        <v/>
      </c>
      <c r="G320" s="23" t="str">
        <f>IF($B320="","",(Acc!$F320*CommissionDD!$C$30))</f>
        <v/>
      </c>
      <c r="H320" s="23" t="str">
        <f t="shared" si="12"/>
        <v/>
      </c>
    </row>
    <row r="321" spans="1:8">
      <c r="A321" s="21" t="str">
        <f t="shared" si="13"/>
        <v/>
      </c>
      <c r="B321" s="1" t="str">
        <f>IF(Cus!$B321&lt;&gt;"",Cus!$A321,"")</f>
        <v/>
      </c>
      <c r="C321" s="22" t="str">
        <f>IF($B321="","",Cus!$AA321)</f>
        <v/>
      </c>
      <c r="D321" s="23" t="str">
        <f>IF($B321="","",(Acc!$H321*$C321))</f>
        <v/>
      </c>
      <c r="E321" s="24">
        <f>IF(C321&lt;=CommissionDD!$E$3,CommissionDD!$C$3,IF(C321&lt;=CommissionDD!$E$4,CommissionDD!$C$4,IF(C321&lt;=CommissionDD!$E$5,CommissionDD!$C$5,IF(C321&lt;=CommissionDD!$E$6,CommissionDD!$C$6,IF(C321&lt;=CommissionDD!$E$7,CommissionDD!$C$7,IF(C321&lt;=CommissionDD!$E$8,CommissionDD!$C$8,CommissionDD!$C$9))))))</f>
        <v>0.03</v>
      </c>
      <c r="F321" s="23" t="str">
        <f t="shared" si="14"/>
        <v/>
      </c>
      <c r="G321" s="23" t="str">
        <f>IF($B321="","",(Acc!$F321*CommissionDD!$C$30))</f>
        <v/>
      </c>
      <c r="H321" s="23" t="str">
        <f t="shared" si="12"/>
        <v/>
      </c>
    </row>
    <row r="322" spans="1:8">
      <c r="A322" s="21" t="str">
        <f t="shared" si="13"/>
        <v/>
      </c>
      <c r="B322" s="1" t="str">
        <f>IF(Cus!$B322&lt;&gt;"",Cus!$A322,"")</f>
        <v/>
      </c>
      <c r="C322" s="22" t="str">
        <f>IF($B322="","",Cus!$AA322)</f>
        <v/>
      </c>
      <c r="D322" s="23" t="str">
        <f>IF($B322="","",(Acc!$H322*$C322))</f>
        <v/>
      </c>
      <c r="E322" s="24">
        <f>IF(C322&lt;=CommissionDD!$E$3,CommissionDD!$C$3,IF(C322&lt;=CommissionDD!$E$4,CommissionDD!$C$4,IF(C322&lt;=CommissionDD!$E$5,CommissionDD!$C$5,IF(C322&lt;=CommissionDD!$E$6,CommissionDD!$C$6,IF(C322&lt;=CommissionDD!$E$7,CommissionDD!$C$7,IF(C322&lt;=CommissionDD!$E$8,CommissionDD!$C$8,CommissionDD!$C$9))))))</f>
        <v>0.03</v>
      </c>
      <c r="F322" s="23" t="str">
        <f t="shared" si="14"/>
        <v/>
      </c>
      <c r="G322" s="23" t="str">
        <f>IF($B322="","",(Acc!$F322*CommissionDD!$C$30))</f>
        <v/>
      </c>
      <c r="H322" s="23" t="str">
        <f t="shared" ref="H322:H385" si="15">IF($B322="","",F322+G322)</f>
        <v/>
      </c>
    </row>
    <row r="323" spans="1:8">
      <c r="A323" s="21" t="str">
        <f t="shared" ref="A323:A386" si="16">IF($B323="","",(ROW($A322)))</f>
        <v/>
      </c>
      <c r="B323" s="1" t="str">
        <f>IF(Cus!$B323&lt;&gt;"",Cus!$A323,"")</f>
        <v/>
      </c>
      <c r="C323" s="22" t="str">
        <f>IF($B323="","",Cus!$AA323)</f>
        <v/>
      </c>
      <c r="D323" s="23" t="str">
        <f>IF($B323="","",(Acc!$H323*$C323))</f>
        <v/>
      </c>
      <c r="E323" s="24">
        <f>IF(C323&lt;=CommissionDD!$E$3,CommissionDD!$C$3,IF(C323&lt;=CommissionDD!$E$4,CommissionDD!$C$4,IF(C323&lt;=CommissionDD!$E$5,CommissionDD!$C$5,IF(C323&lt;=CommissionDD!$E$6,CommissionDD!$C$6,IF(C323&lt;=CommissionDD!$E$7,CommissionDD!$C$7,IF(C323&lt;=CommissionDD!$E$8,CommissionDD!$C$8,CommissionDD!$C$9))))))</f>
        <v>0.03</v>
      </c>
      <c r="F323" s="23" t="str">
        <f t="shared" si="14"/>
        <v/>
      </c>
      <c r="G323" s="23" t="str">
        <f>IF($B323="","",(Acc!$F323*CommissionDD!$C$30))</f>
        <v/>
      </c>
      <c r="H323" s="23" t="str">
        <f t="shared" si="15"/>
        <v/>
      </c>
    </row>
    <row r="324" spans="1:8">
      <c r="A324" s="21" t="str">
        <f t="shared" si="16"/>
        <v/>
      </c>
      <c r="B324" s="1" t="str">
        <f>IF(Cus!$B324&lt;&gt;"",Cus!$A324,"")</f>
        <v/>
      </c>
      <c r="C324" s="22" t="str">
        <f>IF($B324="","",Cus!$AA324)</f>
        <v/>
      </c>
      <c r="D324" s="23" t="str">
        <f>IF($B324="","",(Acc!$H324*$C324))</f>
        <v/>
      </c>
      <c r="E324" s="24">
        <f>IF(C324&lt;=CommissionDD!$E$3,CommissionDD!$C$3,IF(C324&lt;=CommissionDD!$E$4,CommissionDD!$C$4,IF(C324&lt;=CommissionDD!$E$5,CommissionDD!$C$5,IF(C324&lt;=CommissionDD!$E$6,CommissionDD!$C$6,IF(C324&lt;=CommissionDD!$E$7,CommissionDD!$C$7,IF(C324&lt;=CommissionDD!$E$8,CommissionDD!$C$8,CommissionDD!$C$9))))))</f>
        <v>0.03</v>
      </c>
      <c r="F324" s="23" t="str">
        <f t="shared" si="14"/>
        <v/>
      </c>
      <c r="G324" s="23" t="str">
        <f>IF($B324="","",(Acc!$F324*CommissionDD!$C$30))</f>
        <v/>
      </c>
      <c r="H324" s="23" t="str">
        <f t="shared" si="15"/>
        <v/>
      </c>
    </row>
    <row r="325" spans="1:8">
      <c r="A325" s="21" t="str">
        <f t="shared" si="16"/>
        <v/>
      </c>
      <c r="B325" s="1" t="str">
        <f>IF(Cus!$B325&lt;&gt;"",Cus!$A325,"")</f>
        <v/>
      </c>
      <c r="C325" s="22" t="str">
        <f>IF($B325="","",Cus!$AA325)</f>
        <v/>
      </c>
      <c r="D325" s="23" t="str">
        <f>IF($B325="","",(Acc!$H325*$C325))</f>
        <v/>
      </c>
      <c r="E325" s="24">
        <f>IF(C325&lt;=CommissionDD!$E$3,CommissionDD!$C$3,IF(C325&lt;=CommissionDD!$E$4,CommissionDD!$C$4,IF(C325&lt;=CommissionDD!$E$5,CommissionDD!$C$5,IF(C325&lt;=CommissionDD!$E$6,CommissionDD!$C$6,IF(C325&lt;=CommissionDD!$E$7,CommissionDD!$C$7,IF(C325&lt;=CommissionDD!$E$8,CommissionDD!$C$8,CommissionDD!$C$9))))))</f>
        <v>0.03</v>
      </c>
      <c r="F325" s="23" t="str">
        <f t="shared" ref="F325:F388" si="17">IF($B325="","",D325*E325)</f>
        <v/>
      </c>
      <c r="G325" s="23" t="str">
        <f>IF($B325="","",(Acc!$F325*CommissionDD!$C$30))</f>
        <v/>
      </c>
      <c r="H325" s="23" t="str">
        <f t="shared" si="15"/>
        <v/>
      </c>
    </row>
    <row r="326" spans="1:8">
      <c r="A326" s="21" t="str">
        <f t="shared" si="16"/>
        <v/>
      </c>
      <c r="B326" s="1" t="str">
        <f>IF(Cus!$B326&lt;&gt;"",Cus!$A326,"")</f>
        <v/>
      </c>
      <c r="C326" s="22" t="str">
        <f>IF($B326="","",Cus!$AA326)</f>
        <v/>
      </c>
      <c r="D326" s="23" t="str">
        <f>IF($B326="","",(Acc!$H326*$C326))</f>
        <v/>
      </c>
      <c r="E326" s="24">
        <f>IF(C326&lt;=CommissionDD!$E$3,CommissionDD!$C$3,IF(C326&lt;=CommissionDD!$E$4,CommissionDD!$C$4,IF(C326&lt;=CommissionDD!$E$5,CommissionDD!$C$5,IF(C326&lt;=CommissionDD!$E$6,CommissionDD!$C$6,IF(C326&lt;=CommissionDD!$E$7,CommissionDD!$C$7,IF(C326&lt;=CommissionDD!$E$8,CommissionDD!$C$8,CommissionDD!$C$9))))))</f>
        <v>0.03</v>
      </c>
      <c r="F326" s="23" t="str">
        <f t="shared" si="17"/>
        <v/>
      </c>
      <c r="G326" s="23" t="str">
        <f>IF($B326="","",(Acc!$F326*CommissionDD!$C$30))</f>
        <v/>
      </c>
      <c r="H326" s="23" t="str">
        <f t="shared" si="15"/>
        <v/>
      </c>
    </row>
    <row r="327" spans="1:8">
      <c r="A327" s="21" t="str">
        <f t="shared" si="16"/>
        <v/>
      </c>
      <c r="B327" s="1" t="str">
        <f>IF(Cus!$B327&lt;&gt;"",Cus!$A327,"")</f>
        <v/>
      </c>
      <c r="C327" s="22" t="str">
        <f>IF($B327="","",Cus!$AA327)</f>
        <v/>
      </c>
      <c r="D327" s="23" t="str">
        <f>IF($B327="","",(Acc!$H327*$C327))</f>
        <v/>
      </c>
      <c r="E327" s="24">
        <f>IF(C327&lt;=CommissionDD!$E$3,CommissionDD!$C$3,IF(C327&lt;=CommissionDD!$E$4,CommissionDD!$C$4,IF(C327&lt;=CommissionDD!$E$5,CommissionDD!$C$5,IF(C327&lt;=CommissionDD!$E$6,CommissionDD!$C$6,IF(C327&lt;=CommissionDD!$E$7,CommissionDD!$C$7,IF(C327&lt;=CommissionDD!$E$8,CommissionDD!$C$8,CommissionDD!$C$9))))))</f>
        <v>0.03</v>
      </c>
      <c r="F327" s="23" t="str">
        <f t="shared" si="17"/>
        <v/>
      </c>
      <c r="G327" s="23" t="str">
        <f>IF($B327="","",(Acc!$F327*CommissionDD!$C$30))</f>
        <v/>
      </c>
      <c r="H327" s="23" t="str">
        <f t="shared" si="15"/>
        <v/>
      </c>
    </row>
    <row r="328" spans="1:8">
      <c r="A328" s="21" t="str">
        <f t="shared" si="16"/>
        <v/>
      </c>
      <c r="B328" s="1" t="str">
        <f>IF(Cus!$B328&lt;&gt;"",Cus!$A328,"")</f>
        <v/>
      </c>
      <c r="C328" s="22" t="str">
        <f>IF($B328="","",Cus!$AA328)</f>
        <v/>
      </c>
      <c r="D328" s="23" t="str">
        <f>IF($B328="","",(Acc!$H328*$C328))</f>
        <v/>
      </c>
      <c r="E328" s="24">
        <f>IF(C328&lt;=CommissionDD!$E$3,CommissionDD!$C$3,IF(C328&lt;=CommissionDD!$E$4,CommissionDD!$C$4,IF(C328&lt;=CommissionDD!$E$5,CommissionDD!$C$5,IF(C328&lt;=CommissionDD!$E$6,CommissionDD!$C$6,IF(C328&lt;=CommissionDD!$E$7,CommissionDD!$C$7,IF(C328&lt;=CommissionDD!$E$8,CommissionDD!$C$8,CommissionDD!$C$9))))))</f>
        <v>0.03</v>
      </c>
      <c r="F328" s="23" t="str">
        <f t="shared" si="17"/>
        <v/>
      </c>
      <c r="G328" s="23" t="str">
        <f>IF($B328="","",(Acc!$F328*CommissionDD!$C$30))</f>
        <v/>
      </c>
      <c r="H328" s="23" t="str">
        <f t="shared" si="15"/>
        <v/>
      </c>
    </row>
    <row r="329" spans="1:8">
      <c r="A329" s="21" t="str">
        <f t="shared" si="16"/>
        <v/>
      </c>
      <c r="B329" s="1" t="str">
        <f>IF(Cus!$B329&lt;&gt;"",Cus!$A329,"")</f>
        <v/>
      </c>
      <c r="C329" s="22" t="str">
        <f>IF($B329="","",Cus!$AA329)</f>
        <v/>
      </c>
      <c r="D329" s="23" t="str">
        <f>IF($B329="","",(Acc!$H329*$C329))</f>
        <v/>
      </c>
      <c r="E329" s="24">
        <f>IF(C329&lt;=CommissionDD!$E$3,CommissionDD!$C$3,IF(C329&lt;=CommissionDD!$E$4,CommissionDD!$C$4,IF(C329&lt;=CommissionDD!$E$5,CommissionDD!$C$5,IF(C329&lt;=CommissionDD!$E$6,CommissionDD!$C$6,IF(C329&lt;=CommissionDD!$E$7,CommissionDD!$C$7,IF(C329&lt;=CommissionDD!$E$8,CommissionDD!$C$8,CommissionDD!$C$9))))))</f>
        <v>0.03</v>
      </c>
      <c r="F329" s="23" t="str">
        <f t="shared" si="17"/>
        <v/>
      </c>
      <c r="G329" s="23" t="str">
        <f>IF($B329="","",(Acc!$F329*CommissionDD!$C$30))</f>
        <v/>
      </c>
      <c r="H329" s="23" t="str">
        <f t="shared" si="15"/>
        <v/>
      </c>
    </row>
    <row r="330" spans="1:8">
      <c r="A330" s="21" t="str">
        <f t="shared" si="16"/>
        <v/>
      </c>
      <c r="B330" s="1" t="str">
        <f>IF(Cus!$B330&lt;&gt;"",Cus!$A330,"")</f>
        <v/>
      </c>
      <c r="C330" s="22" t="str">
        <f>IF($B330="","",Cus!$AA330)</f>
        <v/>
      </c>
      <c r="D330" s="23" t="str">
        <f>IF($B330="","",(Acc!$H330*$C330))</f>
        <v/>
      </c>
      <c r="E330" s="24">
        <f>IF(C330&lt;=CommissionDD!$E$3,CommissionDD!$C$3,IF(C330&lt;=CommissionDD!$E$4,CommissionDD!$C$4,IF(C330&lt;=CommissionDD!$E$5,CommissionDD!$C$5,IF(C330&lt;=CommissionDD!$E$6,CommissionDD!$C$6,IF(C330&lt;=CommissionDD!$E$7,CommissionDD!$C$7,IF(C330&lt;=CommissionDD!$E$8,CommissionDD!$C$8,CommissionDD!$C$9))))))</f>
        <v>0.03</v>
      </c>
      <c r="F330" s="23" t="str">
        <f t="shared" si="17"/>
        <v/>
      </c>
      <c r="G330" s="23" t="str">
        <f>IF($B330="","",(Acc!$F330*CommissionDD!$C$30))</f>
        <v/>
      </c>
      <c r="H330" s="23" t="str">
        <f t="shared" si="15"/>
        <v/>
      </c>
    </row>
    <row r="331" spans="1:8">
      <c r="A331" s="21" t="str">
        <f t="shared" si="16"/>
        <v/>
      </c>
      <c r="B331" s="1" t="str">
        <f>IF(Cus!$B331&lt;&gt;"",Cus!$A331,"")</f>
        <v/>
      </c>
      <c r="C331" s="22" t="str">
        <f>IF($B331="","",Cus!$AA331)</f>
        <v/>
      </c>
      <c r="D331" s="23" t="str">
        <f>IF($B331="","",(Acc!$H331*$C331))</f>
        <v/>
      </c>
      <c r="E331" s="24">
        <f>IF(C331&lt;=CommissionDD!$E$3,CommissionDD!$C$3,IF(C331&lt;=CommissionDD!$E$4,CommissionDD!$C$4,IF(C331&lt;=CommissionDD!$E$5,CommissionDD!$C$5,IF(C331&lt;=CommissionDD!$E$6,CommissionDD!$C$6,IF(C331&lt;=CommissionDD!$E$7,CommissionDD!$C$7,IF(C331&lt;=CommissionDD!$E$8,CommissionDD!$C$8,CommissionDD!$C$9))))))</f>
        <v>0.03</v>
      </c>
      <c r="F331" s="23" t="str">
        <f t="shared" si="17"/>
        <v/>
      </c>
      <c r="G331" s="23" t="str">
        <f>IF($B331="","",(Acc!$F331*CommissionDD!$C$30))</f>
        <v/>
      </c>
      <c r="H331" s="23" t="str">
        <f t="shared" si="15"/>
        <v/>
      </c>
    </row>
    <row r="332" spans="1:8">
      <c r="A332" s="21" t="str">
        <f t="shared" si="16"/>
        <v/>
      </c>
      <c r="B332" s="1" t="str">
        <f>IF(Cus!$B332&lt;&gt;"",Cus!$A332,"")</f>
        <v/>
      </c>
      <c r="C332" s="22" t="str">
        <f>IF($B332="","",Cus!$AA332)</f>
        <v/>
      </c>
      <c r="D332" s="23" t="str">
        <f>IF($B332="","",(Acc!$H332*$C332))</f>
        <v/>
      </c>
      <c r="E332" s="24">
        <f>IF(C332&lt;=CommissionDD!$E$3,CommissionDD!$C$3,IF(C332&lt;=CommissionDD!$E$4,CommissionDD!$C$4,IF(C332&lt;=CommissionDD!$E$5,CommissionDD!$C$5,IF(C332&lt;=CommissionDD!$E$6,CommissionDD!$C$6,IF(C332&lt;=CommissionDD!$E$7,CommissionDD!$C$7,IF(C332&lt;=CommissionDD!$E$8,CommissionDD!$C$8,CommissionDD!$C$9))))))</f>
        <v>0.03</v>
      </c>
      <c r="F332" s="23" t="str">
        <f t="shared" si="17"/>
        <v/>
      </c>
      <c r="G332" s="23" t="str">
        <f>IF($B332="","",(Acc!$F332*CommissionDD!$C$30))</f>
        <v/>
      </c>
      <c r="H332" s="23" t="str">
        <f t="shared" si="15"/>
        <v/>
      </c>
    </row>
    <row r="333" spans="1:8">
      <c r="A333" s="21" t="str">
        <f t="shared" si="16"/>
        <v/>
      </c>
      <c r="B333" s="1" t="str">
        <f>IF(Cus!$B333&lt;&gt;"",Cus!$A333,"")</f>
        <v/>
      </c>
      <c r="C333" s="22" t="str">
        <f>IF($B333="","",Cus!$AA333)</f>
        <v/>
      </c>
      <c r="D333" s="23" t="str">
        <f>IF($B333="","",(Acc!$H333*$C333))</f>
        <v/>
      </c>
      <c r="E333" s="24">
        <f>IF(C333&lt;=CommissionDD!$E$3,CommissionDD!$C$3,IF(C333&lt;=CommissionDD!$E$4,CommissionDD!$C$4,IF(C333&lt;=CommissionDD!$E$5,CommissionDD!$C$5,IF(C333&lt;=CommissionDD!$E$6,CommissionDD!$C$6,IF(C333&lt;=CommissionDD!$E$7,CommissionDD!$C$7,IF(C333&lt;=CommissionDD!$E$8,CommissionDD!$C$8,CommissionDD!$C$9))))))</f>
        <v>0.03</v>
      </c>
      <c r="F333" s="23" t="str">
        <f t="shared" si="17"/>
        <v/>
      </c>
      <c r="G333" s="23" t="str">
        <f>IF($B333="","",(Acc!$F333*CommissionDD!$C$30))</f>
        <v/>
      </c>
      <c r="H333" s="23" t="str">
        <f t="shared" si="15"/>
        <v/>
      </c>
    </row>
    <row r="334" spans="1:8">
      <c r="A334" s="21" t="str">
        <f t="shared" si="16"/>
        <v/>
      </c>
      <c r="B334" s="1" t="str">
        <f>IF(Cus!$B334&lt;&gt;"",Cus!$A334,"")</f>
        <v/>
      </c>
      <c r="C334" s="22" t="str">
        <f>IF($B334="","",Cus!$AA334)</f>
        <v/>
      </c>
      <c r="D334" s="23" t="str">
        <f>IF($B334="","",(Acc!$H334*$C334))</f>
        <v/>
      </c>
      <c r="E334" s="24">
        <f>IF(C334&lt;=CommissionDD!$E$3,CommissionDD!$C$3,IF(C334&lt;=CommissionDD!$E$4,CommissionDD!$C$4,IF(C334&lt;=CommissionDD!$E$5,CommissionDD!$C$5,IF(C334&lt;=CommissionDD!$E$6,CommissionDD!$C$6,IF(C334&lt;=CommissionDD!$E$7,CommissionDD!$C$7,IF(C334&lt;=CommissionDD!$E$8,CommissionDD!$C$8,CommissionDD!$C$9))))))</f>
        <v>0.03</v>
      </c>
      <c r="F334" s="23" t="str">
        <f t="shared" si="17"/>
        <v/>
      </c>
      <c r="G334" s="23" t="str">
        <f>IF($B334="","",(Acc!$F334*CommissionDD!$C$30))</f>
        <v/>
      </c>
      <c r="H334" s="23" t="str">
        <f t="shared" si="15"/>
        <v/>
      </c>
    </row>
    <row r="335" spans="1:8">
      <c r="A335" s="21" t="str">
        <f t="shared" si="16"/>
        <v/>
      </c>
      <c r="B335" s="1" t="str">
        <f>IF(Cus!$B335&lt;&gt;"",Cus!$A335,"")</f>
        <v/>
      </c>
      <c r="C335" s="22" t="str">
        <f>IF($B335="","",Cus!$AA335)</f>
        <v/>
      </c>
      <c r="D335" s="23" t="str">
        <f>IF($B335="","",(Acc!$H335*$C335))</f>
        <v/>
      </c>
      <c r="E335" s="24">
        <f>IF(C335&lt;=CommissionDD!$E$3,CommissionDD!$C$3,IF(C335&lt;=CommissionDD!$E$4,CommissionDD!$C$4,IF(C335&lt;=CommissionDD!$E$5,CommissionDD!$C$5,IF(C335&lt;=CommissionDD!$E$6,CommissionDD!$C$6,IF(C335&lt;=CommissionDD!$E$7,CommissionDD!$C$7,IF(C335&lt;=CommissionDD!$E$8,CommissionDD!$C$8,CommissionDD!$C$9))))))</f>
        <v>0.03</v>
      </c>
      <c r="F335" s="23" t="str">
        <f t="shared" si="17"/>
        <v/>
      </c>
      <c r="G335" s="23" t="str">
        <f>IF($B335="","",(Acc!$F335*CommissionDD!$C$30))</f>
        <v/>
      </c>
      <c r="H335" s="23" t="str">
        <f t="shared" si="15"/>
        <v/>
      </c>
    </row>
    <row r="336" spans="1:8">
      <c r="A336" s="21" t="str">
        <f t="shared" si="16"/>
        <v/>
      </c>
      <c r="B336" s="1" t="str">
        <f>IF(Cus!$B336&lt;&gt;"",Cus!$A336,"")</f>
        <v/>
      </c>
      <c r="C336" s="22" t="str">
        <f>IF($B336="","",Cus!$AA336)</f>
        <v/>
      </c>
      <c r="D336" s="23" t="str">
        <f>IF($B336="","",(Acc!$H336*$C336))</f>
        <v/>
      </c>
      <c r="E336" s="24">
        <f>IF(C336&lt;=CommissionDD!$E$3,CommissionDD!$C$3,IF(C336&lt;=CommissionDD!$E$4,CommissionDD!$C$4,IF(C336&lt;=CommissionDD!$E$5,CommissionDD!$C$5,IF(C336&lt;=CommissionDD!$E$6,CommissionDD!$C$6,IF(C336&lt;=CommissionDD!$E$7,CommissionDD!$C$7,IF(C336&lt;=CommissionDD!$E$8,CommissionDD!$C$8,CommissionDD!$C$9))))))</f>
        <v>0.03</v>
      </c>
      <c r="F336" s="23" t="str">
        <f t="shared" si="17"/>
        <v/>
      </c>
      <c r="G336" s="23" t="str">
        <f>IF($B336="","",(Acc!$F336*CommissionDD!$C$30))</f>
        <v/>
      </c>
      <c r="H336" s="23" t="str">
        <f t="shared" si="15"/>
        <v/>
      </c>
    </row>
    <row r="337" spans="1:8">
      <c r="A337" s="21" t="str">
        <f t="shared" si="16"/>
        <v/>
      </c>
      <c r="B337" s="1" t="str">
        <f>IF(Cus!$B337&lt;&gt;"",Cus!$A337,"")</f>
        <v/>
      </c>
      <c r="C337" s="22" t="str">
        <f>IF($B337="","",Cus!$AA337)</f>
        <v/>
      </c>
      <c r="D337" s="23" t="str">
        <f>IF($B337="","",(Acc!$H337*$C337))</f>
        <v/>
      </c>
      <c r="E337" s="24">
        <f>IF(C337&lt;=CommissionDD!$E$3,CommissionDD!$C$3,IF(C337&lt;=CommissionDD!$E$4,CommissionDD!$C$4,IF(C337&lt;=CommissionDD!$E$5,CommissionDD!$C$5,IF(C337&lt;=CommissionDD!$E$6,CommissionDD!$C$6,IF(C337&lt;=CommissionDD!$E$7,CommissionDD!$C$7,IF(C337&lt;=CommissionDD!$E$8,CommissionDD!$C$8,CommissionDD!$C$9))))))</f>
        <v>0.03</v>
      </c>
      <c r="F337" s="23" t="str">
        <f t="shared" si="17"/>
        <v/>
      </c>
      <c r="G337" s="23" t="str">
        <f>IF($B337="","",(Acc!$F337*CommissionDD!$C$30))</f>
        <v/>
      </c>
      <c r="H337" s="23" t="str">
        <f t="shared" si="15"/>
        <v/>
      </c>
    </row>
    <row r="338" spans="1:8">
      <c r="A338" s="21" t="str">
        <f t="shared" si="16"/>
        <v/>
      </c>
      <c r="B338" s="1" t="str">
        <f>IF(Cus!$B338&lt;&gt;"",Cus!$A338,"")</f>
        <v/>
      </c>
      <c r="C338" s="22" t="str">
        <f>IF($B338="","",Cus!$AA338)</f>
        <v/>
      </c>
      <c r="D338" s="23" t="str">
        <f>IF($B338="","",(Acc!$H338*$C338))</f>
        <v/>
      </c>
      <c r="E338" s="24">
        <f>IF(C338&lt;=CommissionDD!$E$3,CommissionDD!$C$3,IF(C338&lt;=CommissionDD!$E$4,CommissionDD!$C$4,IF(C338&lt;=CommissionDD!$E$5,CommissionDD!$C$5,IF(C338&lt;=CommissionDD!$E$6,CommissionDD!$C$6,IF(C338&lt;=CommissionDD!$E$7,CommissionDD!$C$7,IF(C338&lt;=CommissionDD!$E$8,CommissionDD!$C$8,CommissionDD!$C$9))))))</f>
        <v>0.03</v>
      </c>
      <c r="F338" s="23" t="str">
        <f t="shared" si="17"/>
        <v/>
      </c>
      <c r="G338" s="23" t="str">
        <f>IF($B338="","",(Acc!$F338*CommissionDD!$C$30))</f>
        <v/>
      </c>
      <c r="H338" s="23" t="str">
        <f t="shared" si="15"/>
        <v/>
      </c>
    </row>
    <row r="339" spans="1:8">
      <c r="A339" s="21" t="str">
        <f t="shared" si="16"/>
        <v/>
      </c>
      <c r="B339" s="1" t="str">
        <f>IF(Cus!$B339&lt;&gt;"",Cus!$A339,"")</f>
        <v/>
      </c>
      <c r="C339" s="22" t="str">
        <f>IF($B339="","",Cus!$AA339)</f>
        <v/>
      </c>
      <c r="D339" s="23" t="str">
        <f>IF($B339="","",(Acc!$H339*$C339))</f>
        <v/>
      </c>
      <c r="E339" s="24">
        <f>IF(C339&lt;=CommissionDD!$E$3,CommissionDD!$C$3,IF(C339&lt;=CommissionDD!$E$4,CommissionDD!$C$4,IF(C339&lt;=CommissionDD!$E$5,CommissionDD!$C$5,IF(C339&lt;=CommissionDD!$E$6,CommissionDD!$C$6,IF(C339&lt;=CommissionDD!$E$7,CommissionDD!$C$7,IF(C339&lt;=CommissionDD!$E$8,CommissionDD!$C$8,CommissionDD!$C$9))))))</f>
        <v>0.03</v>
      </c>
      <c r="F339" s="23" t="str">
        <f t="shared" si="17"/>
        <v/>
      </c>
      <c r="G339" s="23" t="str">
        <f>IF($B339="","",(Acc!$F339*CommissionDD!$C$30))</f>
        <v/>
      </c>
      <c r="H339" s="23" t="str">
        <f t="shared" si="15"/>
        <v/>
      </c>
    </row>
    <row r="340" spans="1:8">
      <c r="A340" s="21" t="str">
        <f t="shared" si="16"/>
        <v/>
      </c>
      <c r="B340" s="1" t="str">
        <f>IF(Cus!$B340&lt;&gt;"",Cus!$A340,"")</f>
        <v/>
      </c>
      <c r="C340" s="22" t="str">
        <f>IF($B340="","",Cus!$AA340)</f>
        <v/>
      </c>
      <c r="D340" s="23" t="str">
        <f>IF($B340="","",(Acc!$H340*$C340))</f>
        <v/>
      </c>
      <c r="E340" s="24">
        <f>IF(C340&lt;=CommissionDD!$E$3,CommissionDD!$C$3,IF(C340&lt;=CommissionDD!$E$4,CommissionDD!$C$4,IF(C340&lt;=CommissionDD!$E$5,CommissionDD!$C$5,IF(C340&lt;=CommissionDD!$E$6,CommissionDD!$C$6,IF(C340&lt;=CommissionDD!$E$7,CommissionDD!$C$7,IF(C340&lt;=CommissionDD!$E$8,CommissionDD!$C$8,CommissionDD!$C$9))))))</f>
        <v>0.03</v>
      </c>
      <c r="F340" s="23" t="str">
        <f t="shared" si="17"/>
        <v/>
      </c>
      <c r="G340" s="23" t="str">
        <f>IF($B340="","",(Acc!$F340*CommissionDD!$C$30))</f>
        <v/>
      </c>
      <c r="H340" s="23" t="str">
        <f t="shared" si="15"/>
        <v/>
      </c>
    </row>
    <row r="341" spans="1:8">
      <c r="A341" s="21" t="str">
        <f t="shared" si="16"/>
        <v/>
      </c>
      <c r="B341" s="1" t="str">
        <f>IF(Cus!$B341&lt;&gt;"",Cus!$A341,"")</f>
        <v/>
      </c>
      <c r="C341" s="22" t="str">
        <f>IF($B341="","",Cus!$AA341)</f>
        <v/>
      </c>
      <c r="D341" s="23" t="str">
        <f>IF($B341="","",(Acc!$H341*$C341))</f>
        <v/>
      </c>
      <c r="E341" s="24">
        <f>IF(C341&lt;=CommissionDD!$E$3,CommissionDD!$C$3,IF(C341&lt;=CommissionDD!$E$4,CommissionDD!$C$4,IF(C341&lt;=CommissionDD!$E$5,CommissionDD!$C$5,IF(C341&lt;=CommissionDD!$E$6,CommissionDD!$C$6,IF(C341&lt;=CommissionDD!$E$7,CommissionDD!$C$7,IF(C341&lt;=CommissionDD!$E$8,CommissionDD!$C$8,CommissionDD!$C$9))))))</f>
        <v>0.03</v>
      </c>
      <c r="F341" s="23" t="str">
        <f t="shared" si="17"/>
        <v/>
      </c>
      <c r="G341" s="23" t="str">
        <f>IF($B341="","",(Acc!$F341*CommissionDD!$C$30))</f>
        <v/>
      </c>
      <c r="H341" s="23" t="str">
        <f t="shared" si="15"/>
        <v/>
      </c>
    </row>
    <row r="342" spans="1:8">
      <c r="A342" s="21" t="str">
        <f t="shared" si="16"/>
        <v/>
      </c>
      <c r="B342" s="1" t="str">
        <f>IF(Cus!$B342&lt;&gt;"",Cus!$A342,"")</f>
        <v/>
      </c>
      <c r="C342" s="22" t="str">
        <f>IF($B342="","",Cus!$AA342)</f>
        <v/>
      </c>
      <c r="D342" s="23" t="str">
        <f>IF($B342="","",(Acc!$H342*$C342))</f>
        <v/>
      </c>
      <c r="E342" s="24">
        <f>IF(C342&lt;=CommissionDD!$E$3,CommissionDD!$C$3,IF(C342&lt;=CommissionDD!$E$4,CommissionDD!$C$4,IF(C342&lt;=CommissionDD!$E$5,CommissionDD!$C$5,IF(C342&lt;=CommissionDD!$E$6,CommissionDD!$C$6,IF(C342&lt;=CommissionDD!$E$7,CommissionDD!$C$7,IF(C342&lt;=CommissionDD!$E$8,CommissionDD!$C$8,CommissionDD!$C$9))))))</f>
        <v>0.03</v>
      </c>
      <c r="F342" s="23" t="str">
        <f t="shared" si="17"/>
        <v/>
      </c>
      <c r="G342" s="23" t="str">
        <f>IF($B342="","",(Acc!$F342*CommissionDD!$C$30))</f>
        <v/>
      </c>
      <c r="H342" s="23" t="str">
        <f t="shared" si="15"/>
        <v/>
      </c>
    </row>
    <row r="343" spans="1:8">
      <c r="A343" s="21" t="str">
        <f t="shared" si="16"/>
        <v/>
      </c>
      <c r="B343" s="1" t="str">
        <f>IF(Cus!$B343&lt;&gt;"",Cus!$A343,"")</f>
        <v/>
      </c>
      <c r="C343" s="22" t="str">
        <f>IF($B343="","",Cus!$AA343)</f>
        <v/>
      </c>
      <c r="D343" s="23" t="str">
        <f>IF($B343="","",(Acc!$H343*$C343))</f>
        <v/>
      </c>
      <c r="E343" s="24">
        <f>IF(C343&lt;=CommissionDD!$E$3,CommissionDD!$C$3,IF(C343&lt;=CommissionDD!$E$4,CommissionDD!$C$4,IF(C343&lt;=CommissionDD!$E$5,CommissionDD!$C$5,IF(C343&lt;=CommissionDD!$E$6,CommissionDD!$C$6,IF(C343&lt;=CommissionDD!$E$7,CommissionDD!$C$7,IF(C343&lt;=CommissionDD!$E$8,CommissionDD!$C$8,CommissionDD!$C$9))))))</f>
        <v>0.03</v>
      </c>
      <c r="F343" s="23" t="str">
        <f t="shared" si="17"/>
        <v/>
      </c>
      <c r="G343" s="23" t="str">
        <f>IF($B343="","",(Acc!$F343*CommissionDD!$C$30))</f>
        <v/>
      </c>
      <c r="H343" s="23" t="str">
        <f t="shared" si="15"/>
        <v/>
      </c>
    </row>
    <row r="344" spans="1:8">
      <c r="A344" s="21" t="str">
        <f t="shared" si="16"/>
        <v/>
      </c>
      <c r="B344" s="1" t="str">
        <f>IF(Cus!$B344&lt;&gt;"",Cus!$A344,"")</f>
        <v/>
      </c>
      <c r="C344" s="22" t="str">
        <f>IF($B344="","",Cus!$AA344)</f>
        <v/>
      </c>
      <c r="D344" s="23" t="str">
        <f>IF($B344="","",(Acc!$H344*$C344))</f>
        <v/>
      </c>
      <c r="E344" s="24">
        <f>IF(C344&lt;=CommissionDD!$E$3,CommissionDD!$C$3,IF(C344&lt;=CommissionDD!$E$4,CommissionDD!$C$4,IF(C344&lt;=CommissionDD!$E$5,CommissionDD!$C$5,IF(C344&lt;=CommissionDD!$E$6,CommissionDD!$C$6,IF(C344&lt;=CommissionDD!$E$7,CommissionDD!$C$7,IF(C344&lt;=CommissionDD!$E$8,CommissionDD!$C$8,CommissionDD!$C$9))))))</f>
        <v>0.03</v>
      </c>
      <c r="F344" s="23" t="str">
        <f t="shared" si="17"/>
        <v/>
      </c>
      <c r="G344" s="23" t="str">
        <f>IF($B344="","",(Acc!$F344*CommissionDD!$C$30))</f>
        <v/>
      </c>
      <c r="H344" s="23" t="str">
        <f t="shared" si="15"/>
        <v/>
      </c>
    </row>
    <row r="345" spans="1:8">
      <c r="A345" s="21" t="str">
        <f t="shared" si="16"/>
        <v/>
      </c>
      <c r="B345" s="1" t="str">
        <f>IF(Cus!$B345&lt;&gt;"",Cus!$A345,"")</f>
        <v/>
      </c>
      <c r="C345" s="22" t="str">
        <f>IF($B345="","",Cus!$AA345)</f>
        <v/>
      </c>
      <c r="D345" s="23" t="str">
        <f>IF($B345="","",(Acc!$H345*$C345))</f>
        <v/>
      </c>
      <c r="E345" s="24">
        <f>IF(C345&lt;=CommissionDD!$E$3,CommissionDD!$C$3,IF(C345&lt;=CommissionDD!$E$4,CommissionDD!$C$4,IF(C345&lt;=CommissionDD!$E$5,CommissionDD!$C$5,IF(C345&lt;=CommissionDD!$E$6,CommissionDD!$C$6,IF(C345&lt;=CommissionDD!$E$7,CommissionDD!$C$7,IF(C345&lt;=CommissionDD!$E$8,CommissionDD!$C$8,CommissionDD!$C$9))))))</f>
        <v>0.03</v>
      </c>
      <c r="F345" s="23" t="str">
        <f t="shared" si="17"/>
        <v/>
      </c>
      <c r="G345" s="23" t="str">
        <f>IF($B345="","",(Acc!$F345*CommissionDD!$C$30))</f>
        <v/>
      </c>
      <c r="H345" s="23" t="str">
        <f t="shared" si="15"/>
        <v/>
      </c>
    </row>
    <row r="346" spans="1:8">
      <c r="A346" s="21" t="str">
        <f t="shared" si="16"/>
        <v/>
      </c>
      <c r="B346" s="1" t="str">
        <f>IF(Cus!$B346&lt;&gt;"",Cus!$A346,"")</f>
        <v/>
      </c>
      <c r="C346" s="22" t="str">
        <f>IF($B346="","",Cus!$AA346)</f>
        <v/>
      </c>
      <c r="D346" s="23" t="str">
        <f>IF($B346="","",(Acc!$H346*$C346))</f>
        <v/>
      </c>
      <c r="E346" s="24">
        <f>IF(C346&lt;=CommissionDD!$E$3,CommissionDD!$C$3,IF(C346&lt;=CommissionDD!$E$4,CommissionDD!$C$4,IF(C346&lt;=CommissionDD!$E$5,CommissionDD!$C$5,IF(C346&lt;=CommissionDD!$E$6,CommissionDD!$C$6,IF(C346&lt;=CommissionDD!$E$7,CommissionDD!$C$7,IF(C346&lt;=CommissionDD!$E$8,CommissionDD!$C$8,CommissionDD!$C$9))))))</f>
        <v>0.03</v>
      </c>
      <c r="F346" s="23" t="str">
        <f t="shared" si="17"/>
        <v/>
      </c>
      <c r="G346" s="23" t="str">
        <f>IF($B346="","",(Acc!$F346*CommissionDD!$C$30))</f>
        <v/>
      </c>
      <c r="H346" s="23" t="str">
        <f t="shared" si="15"/>
        <v/>
      </c>
    </row>
    <row r="347" spans="1:8">
      <c r="A347" s="21" t="str">
        <f t="shared" si="16"/>
        <v/>
      </c>
      <c r="B347" s="1" t="str">
        <f>IF(Cus!$B347&lt;&gt;"",Cus!$A347,"")</f>
        <v/>
      </c>
      <c r="C347" s="22" t="str">
        <f>IF($B347="","",Cus!$AA347)</f>
        <v/>
      </c>
      <c r="D347" s="23" t="str">
        <f>IF($B347="","",(Acc!$H347*$C347))</f>
        <v/>
      </c>
      <c r="E347" s="24">
        <f>IF(C347&lt;=CommissionDD!$E$3,CommissionDD!$C$3,IF(C347&lt;=CommissionDD!$E$4,CommissionDD!$C$4,IF(C347&lt;=CommissionDD!$E$5,CommissionDD!$C$5,IF(C347&lt;=CommissionDD!$E$6,CommissionDD!$C$6,IF(C347&lt;=CommissionDD!$E$7,CommissionDD!$C$7,IF(C347&lt;=CommissionDD!$E$8,CommissionDD!$C$8,CommissionDD!$C$9))))))</f>
        <v>0.03</v>
      </c>
      <c r="F347" s="23" t="str">
        <f t="shared" si="17"/>
        <v/>
      </c>
      <c r="G347" s="23" t="str">
        <f>IF($B347="","",(Acc!$F347*CommissionDD!$C$30))</f>
        <v/>
      </c>
      <c r="H347" s="23" t="str">
        <f t="shared" si="15"/>
        <v/>
      </c>
    </row>
    <row r="348" spans="1:8">
      <c r="A348" s="21" t="str">
        <f t="shared" si="16"/>
        <v/>
      </c>
      <c r="B348" s="1" t="str">
        <f>IF(Cus!$B348&lt;&gt;"",Cus!$A348,"")</f>
        <v/>
      </c>
      <c r="C348" s="22" t="str">
        <f>IF($B348="","",Cus!$AA348)</f>
        <v/>
      </c>
      <c r="D348" s="23" t="str">
        <f>IF($B348="","",(Acc!$H348*$C348))</f>
        <v/>
      </c>
      <c r="E348" s="24">
        <f>IF(C348&lt;=CommissionDD!$E$3,CommissionDD!$C$3,IF(C348&lt;=CommissionDD!$E$4,CommissionDD!$C$4,IF(C348&lt;=CommissionDD!$E$5,CommissionDD!$C$5,IF(C348&lt;=CommissionDD!$E$6,CommissionDD!$C$6,IF(C348&lt;=CommissionDD!$E$7,CommissionDD!$C$7,IF(C348&lt;=CommissionDD!$E$8,CommissionDD!$C$8,CommissionDD!$C$9))))))</f>
        <v>0.03</v>
      </c>
      <c r="F348" s="23" t="str">
        <f t="shared" si="17"/>
        <v/>
      </c>
      <c r="G348" s="23" t="str">
        <f>IF($B348="","",(Acc!$F348*CommissionDD!$C$30))</f>
        <v/>
      </c>
      <c r="H348" s="23" t="str">
        <f t="shared" si="15"/>
        <v/>
      </c>
    </row>
    <row r="349" spans="1:8">
      <c r="A349" s="21" t="str">
        <f t="shared" si="16"/>
        <v/>
      </c>
      <c r="B349" s="1" t="str">
        <f>IF(Cus!$B349&lt;&gt;"",Cus!$A349,"")</f>
        <v/>
      </c>
      <c r="C349" s="22" t="str">
        <f>IF($B349="","",Cus!$AA349)</f>
        <v/>
      </c>
      <c r="D349" s="23" t="str">
        <f>IF($B349="","",(Acc!$H349*$C349))</f>
        <v/>
      </c>
      <c r="E349" s="24">
        <f>IF(C349&lt;=CommissionDD!$E$3,CommissionDD!$C$3,IF(C349&lt;=CommissionDD!$E$4,CommissionDD!$C$4,IF(C349&lt;=CommissionDD!$E$5,CommissionDD!$C$5,IF(C349&lt;=CommissionDD!$E$6,CommissionDD!$C$6,IF(C349&lt;=CommissionDD!$E$7,CommissionDD!$C$7,IF(C349&lt;=CommissionDD!$E$8,CommissionDD!$C$8,CommissionDD!$C$9))))))</f>
        <v>0.03</v>
      </c>
      <c r="F349" s="23" t="str">
        <f t="shared" si="17"/>
        <v/>
      </c>
      <c r="G349" s="23" t="str">
        <f>IF($B349="","",(Acc!$F349*CommissionDD!$C$30))</f>
        <v/>
      </c>
      <c r="H349" s="23" t="str">
        <f t="shared" si="15"/>
        <v/>
      </c>
    </row>
    <row r="350" spans="1:8">
      <c r="A350" s="21" t="str">
        <f t="shared" si="16"/>
        <v/>
      </c>
      <c r="B350" s="1" t="str">
        <f>IF(Cus!$B350&lt;&gt;"",Cus!$A350,"")</f>
        <v/>
      </c>
      <c r="C350" s="22" t="str">
        <f>IF($B350="","",Cus!$AA350)</f>
        <v/>
      </c>
      <c r="D350" s="23" t="str">
        <f>IF($B350="","",(Acc!$H350*$C350))</f>
        <v/>
      </c>
      <c r="E350" s="24">
        <f>IF(C350&lt;=CommissionDD!$E$3,CommissionDD!$C$3,IF(C350&lt;=CommissionDD!$E$4,CommissionDD!$C$4,IF(C350&lt;=CommissionDD!$E$5,CommissionDD!$C$5,IF(C350&lt;=CommissionDD!$E$6,CommissionDD!$C$6,IF(C350&lt;=CommissionDD!$E$7,CommissionDD!$C$7,IF(C350&lt;=CommissionDD!$E$8,CommissionDD!$C$8,CommissionDD!$C$9))))))</f>
        <v>0.03</v>
      </c>
      <c r="F350" s="23" t="str">
        <f t="shared" si="17"/>
        <v/>
      </c>
      <c r="G350" s="23" t="str">
        <f>IF($B350="","",(Acc!$F350*CommissionDD!$C$30))</f>
        <v/>
      </c>
      <c r="H350" s="23" t="str">
        <f t="shared" si="15"/>
        <v/>
      </c>
    </row>
    <row r="351" spans="1:8">
      <c r="A351" s="21" t="str">
        <f t="shared" si="16"/>
        <v/>
      </c>
      <c r="B351" s="1" t="str">
        <f>IF(Cus!$B351&lt;&gt;"",Cus!$A351,"")</f>
        <v/>
      </c>
      <c r="C351" s="22" t="str">
        <f>IF($B351="","",Cus!$AA351)</f>
        <v/>
      </c>
      <c r="D351" s="23" t="str">
        <f>IF($B351="","",(Acc!$H351*$C351))</f>
        <v/>
      </c>
      <c r="E351" s="24">
        <f>IF(C351&lt;=CommissionDD!$E$3,CommissionDD!$C$3,IF(C351&lt;=CommissionDD!$E$4,CommissionDD!$C$4,IF(C351&lt;=CommissionDD!$E$5,CommissionDD!$C$5,IF(C351&lt;=CommissionDD!$E$6,CommissionDD!$C$6,IF(C351&lt;=CommissionDD!$E$7,CommissionDD!$C$7,IF(C351&lt;=CommissionDD!$E$8,CommissionDD!$C$8,CommissionDD!$C$9))))))</f>
        <v>0.03</v>
      </c>
      <c r="F351" s="23" t="str">
        <f t="shared" si="17"/>
        <v/>
      </c>
      <c r="G351" s="23" t="str">
        <f>IF($B351="","",(Acc!$F351*CommissionDD!$C$30))</f>
        <v/>
      </c>
      <c r="H351" s="23" t="str">
        <f t="shared" si="15"/>
        <v/>
      </c>
    </row>
    <row r="352" spans="1:8">
      <c r="A352" s="21" t="str">
        <f t="shared" si="16"/>
        <v/>
      </c>
      <c r="B352" s="1" t="str">
        <f>IF(Cus!$B352&lt;&gt;"",Cus!$A352,"")</f>
        <v/>
      </c>
      <c r="C352" s="22" t="str">
        <f>IF($B352="","",Cus!$AA352)</f>
        <v/>
      </c>
      <c r="D352" s="23" t="str">
        <f>IF($B352="","",(Acc!$H352*$C352))</f>
        <v/>
      </c>
      <c r="E352" s="24">
        <f>IF(C352&lt;=CommissionDD!$E$3,CommissionDD!$C$3,IF(C352&lt;=CommissionDD!$E$4,CommissionDD!$C$4,IF(C352&lt;=CommissionDD!$E$5,CommissionDD!$C$5,IF(C352&lt;=CommissionDD!$E$6,CommissionDD!$C$6,IF(C352&lt;=CommissionDD!$E$7,CommissionDD!$C$7,IF(C352&lt;=CommissionDD!$E$8,CommissionDD!$C$8,CommissionDD!$C$9))))))</f>
        <v>0.03</v>
      </c>
      <c r="F352" s="23" t="str">
        <f t="shared" si="17"/>
        <v/>
      </c>
      <c r="G352" s="23" t="str">
        <f>IF($B352="","",(Acc!$F352*CommissionDD!$C$30))</f>
        <v/>
      </c>
      <c r="H352" s="23" t="str">
        <f t="shared" si="15"/>
        <v/>
      </c>
    </row>
    <row r="353" spans="1:8">
      <c r="A353" s="21" t="str">
        <f t="shared" si="16"/>
        <v/>
      </c>
      <c r="B353" s="1" t="str">
        <f>IF(Cus!$B353&lt;&gt;"",Cus!$A353,"")</f>
        <v/>
      </c>
      <c r="C353" s="22" t="str">
        <f>IF($B353="","",Cus!$AA353)</f>
        <v/>
      </c>
      <c r="D353" s="23" t="str">
        <f>IF($B353="","",(Acc!$H353*$C353))</f>
        <v/>
      </c>
      <c r="E353" s="24">
        <f>IF(C353&lt;=CommissionDD!$E$3,CommissionDD!$C$3,IF(C353&lt;=CommissionDD!$E$4,CommissionDD!$C$4,IF(C353&lt;=CommissionDD!$E$5,CommissionDD!$C$5,IF(C353&lt;=CommissionDD!$E$6,CommissionDD!$C$6,IF(C353&lt;=CommissionDD!$E$7,CommissionDD!$C$7,IF(C353&lt;=CommissionDD!$E$8,CommissionDD!$C$8,CommissionDD!$C$9))))))</f>
        <v>0.03</v>
      </c>
      <c r="F353" s="23" t="str">
        <f t="shared" si="17"/>
        <v/>
      </c>
      <c r="G353" s="23" t="str">
        <f>IF($B353="","",(Acc!$F353*CommissionDD!$C$30))</f>
        <v/>
      </c>
      <c r="H353" s="23" t="str">
        <f t="shared" si="15"/>
        <v/>
      </c>
    </row>
    <row r="354" spans="1:8">
      <c r="A354" s="21" t="str">
        <f t="shared" si="16"/>
        <v/>
      </c>
      <c r="B354" s="1" t="str">
        <f>IF(Cus!$B354&lt;&gt;"",Cus!$A354,"")</f>
        <v/>
      </c>
      <c r="C354" s="22" t="str">
        <f>IF($B354="","",Cus!$AA354)</f>
        <v/>
      </c>
      <c r="D354" s="23" t="str">
        <f>IF($B354="","",(Acc!$H354*$C354))</f>
        <v/>
      </c>
      <c r="E354" s="24">
        <f>IF(C354&lt;=CommissionDD!$E$3,CommissionDD!$C$3,IF(C354&lt;=CommissionDD!$E$4,CommissionDD!$C$4,IF(C354&lt;=CommissionDD!$E$5,CommissionDD!$C$5,IF(C354&lt;=CommissionDD!$E$6,CommissionDD!$C$6,IF(C354&lt;=CommissionDD!$E$7,CommissionDD!$C$7,IF(C354&lt;=CommissionDD!$E$8,CommissionDD!$C$8,CommissionDD!$C$9))))))</f>
        <v>0.03</v>
      </c>
      <c r="F354" s="23" t="str">
        <f t="shared" si="17"/>
        <v/>
      </c>
      <c r="G354" s="23" t="str">
        <f>IF($B354="","",(Acc!$F354*CommissionDD!$C$30))</f>
        <v/>
      </c>
      <c r="H354" s="23" t="str">
        <f t="shared" si="15"/>
        <v/>
      </c>
    </row>
    <row r="355" spans="1:8">
      <c r="A355" s="21" t="str">
        <f t="shared" si="16"/>
        <v/>
      </c>
      <c r="B355" s="1" t="str">
        <f>IF(Cus!$B355&lt;&gt;"",Cus!$A355,"")</f>
        <v/>
      </c>
      <c r="C355" s="22" t="str">
        <f>IF($B355="","",Cus!$AA355)</f>
        <v/>
      </c>
      <c r="D355" s="23" t="str">
        <f>IF($B355="","",(Acc!$H355*$C355))</f>
        <v/>
      </c>
      <c r="E355" s="24">
        <f>IF(C355&lt;=CommissionDD!$E$3,CommissionDD!$C$3,IF(C355&lt;=CommissionDD!$E$4,CommissionDD!$C$4,IF(C355&lt;=CommissionDD!$E$5,CommissionDD!$C$5,IF(C355&lt;=CommissionDD!$E$6,CommissionDD!$C$6,IF(C355&lt;=CommissionDD!$E$7,CommissionDD!$C$7,IF(C355&lt;=CommissionDD!$E$8,CommissionDD!$C$8,CommissionDD!$C$9))))))</f>
        <v>0.03</v>
      </c>
      <c r="F355" s="23" t="str">
        <f t="shared" si="17"/>
        <v/>
      </c>
      <c r="G355" s="23" t="str">
        <f>IF($B355="","",(Acc!$F355*CommissionDD!$C$30))</f>
        <v/>
      </c>
      <c r="H355" s="23" t="str">
        <f t="shared" si="15"/>
        <v/>
      </c>
    </row>
    <row r="356" spans="1:8">
      <c r="A356" s="21" t="str">
        <f t="shared" si="16"/>
        <v/>
      </c>
      <c r="B356" s="1" t="str">
        <f>IF(Cus!$B356&lt;&gt;"",Cus!$A356,"")</f>
        <v/>
      </c>
      <c r="C356" s="22" t="str">
        <f>IF($B356="","",Cus!$AA356)</f>
        <v/>
      </c>
      <c r="D356" s="23" t="str">
        <f>IF($B356="","",(Acc!$H356*$C356))</f>
        <v/>
      </c>
      <c r="E356" s="24">
        <f>IF(C356&lt;=CommissionDD!$E$3,CommissionDD!$C$3,IF(C356&lt;=CommissionDD!$E$4,CommissionDD!$C$4,IF(C356&lt;=CommissionDD!$E$5,CommissionDD!$C$5,IF(C356&lt;=CommissionDD!$E$6,CommissionDD!$C$6,IF(C356&lt;=CommissionDD!$E$7,CommissionDD!$C$7,IF(C356&lt;=CommissionDD!$E$8,CommissionDD!$C$8,CommissionDD!$C$9))))))</f>
        <v>0.03</v>
      </c>
      <c r="F356" s="23" t="str">
        <f t="shared" si="17"/>
        <v/>
      </c>
      <c r="G356" s="23" t="str">
        <f>IF($B356="","",(Acc!$F356*CommissionDD!$C$30))</f>
        <v/>
      </c>
      <c r="H356" s="23" t="str">
        <f t="shared" si="15"/>
        <v/>
      </c>
    </row>
    <row r="357" spans="1:8">
      <c r="A357" s="21" t="str">
        <f t="shared" si="16"/>
        <v/>
      </c>
      <c r="B357" s="1" t="str">
        <f>IF(Cus!$B357&lt;&gt;"",Cus!$A357,"")</f>
        <v/>
      </c>
      <c r="C357" s="22" t="str">
        <f>IF($B357="","",Cus!$AA357)</f>
        <v/>
      </c>
      <c r="D357" s="23" t="str">
        <f>IF($B357="","",(Acc!$H357*$C357))</f>
        <v/>
      </c>
      <c r="E357" s="24">
        <f>IF(C357&lt;=CommissionDD!$E$3,CommissionDD!$C$3,IF(C357&lt;=CommissionDD!$E$4,CommissionDD!$C$4,IF(C357&lt;=CommissionDD!$E$5,CommissionDD!$C$5,IF(C357&lt;=CommissionDD!$E$6,CommissionDD!$C$6,IF(C357&lt;=CommissionDD!$E$7,CommissionDD!$C$7,IF(C357&lt;=CommissionDD!$E$8,CommissionDD!$C$8,CommissionDD!$C$9))))))</f>
        <v>0.03</v>
      </c>
      <c r="F357" s="23" t="str">
        <f t="shared" si="17"/>
        <v/>
      </c>
      <c r="G357" s="23" t="str">
        <f>IF($B357="","",(Acc!$F357*CommissionDD!$C$30))</f>
        <v/>
      </c>
      <c r="H357" s="23" t="str">
        <f t="shared" si="15"/>
        <v/>
      </c>
    </row>
    <row r="358" spans="1:8">
      <c r="A358" s="21" t="str">
        <f t="shared" si="16"/>
        <v/>
      </c>
      <c r="B358" s="1" t="str">
        <f>IF(Cus!$B358&lt;&gt;"",Cus!$A358,"")</f>
        <v/>
      </c>
      <c r="C358" s="22" t="str">
        <f>IF($B358="","",Cus!$AA358)</f>
        <v/>
      </c>
      <c r="D358" s="23" t="str">
        <f>IF($B358="","",(Acc!$H358*$C358))</f>
        <v/>
      </c>
      <c r="E358" s="24">
        <f>IF(C358&lt;=CommissionDD!$E$3,CommissionDD!$C$3,IF(C358&lt;=CommissionDD!$E$4,CommissionDD!$C$4,IF(C358&lt;=CommissionDD!$E$5,CommissionDD!$C$5,IF(C358&lt;=CommissionDD!$E$6,CommissionDD!$C$6,IF(C358&lt;=CommissionDD!$E$7,CommissionDD!$C$7,IF(C358&lt;=CommissionDD!$E$8,CommissionDD!$C$8,CommissionDD!$C$9))))))</f>
        <v>0.03</v>
      </c>
      <c r="F358" s="23" t="str">
        <f t="shared" si="17"/>
        <v/>
      </c>
      <c r="G358" s="23" t="str">
        <f>IF($B358="","",(Acc!$F358*CommissionDD!$C$30))</f>
        <v/>
      </c>
      <c r="H358" s="23" t="str">
        <f t="shared" si="15"/>
        <v/>
      </c>
    </row>
    <row r="359" spans="1:8">
      <c r="A359" s="21" t="str">
        <f t="shared" si="16"/>
        <v/>
      </c>
      <c r="B359" s="1" t="str">
        <f>IF(Cus!$B359&lt;&gt;"",Cus!$A359,"")</f>
        <v/>
      </c>
      <c r="C359" s="22" t="str">
        <f>IF($B359="","",Cus!$AA359)</f>
        <v/>
      </c>
      <c r="D359" s="23" t="str">
        <f>IF($B359="","",(Acc!$H359*$C359))</f>
        <v/>
      </c>
      <c r="E359" s="24">
        <f>IF(C359&lt;=CommissionDD!$E$3,CommissionDD!$C$3,IF(C359&lt;=CommissionDD!$E$4,CommissionDD!$C$4,IF(C359&lt;=CommissionDD!$E$5,CommissionDD!$C$5,IF(C359&lt;=CommissionDD!$E$6,CommissionDD!$C$6,IF(C359&lt;=CommissionDD!$E$7,CommissionDD!$C$7,IF(C359&lt;=CommissionDD!$E$8,CommissionDD!$C$8,CommissionDD!$C$9))))))</f>
        <v>0.03</v>
      </c>
      <c r="F359" s="23" t="str">
        <f t="shared" si="17"/>
        <v/>
      </c>
      <c r="G359" s="23" t="str">
        <f>IF($B359="","",(Acc!$F359*CommissionDD!$C$30))</f>
        <v/>
      </c>
      <c r="H359" s="23" t="str">
        <f t="shared" si="15"/>
        <v/>
      </c>
    </row>
    <row r="360" spans="1:8">
      <c r="A360" s="21" t="str">
        <f t="shared" si="16"/>
        <v/>
      </c>
      <c r="B360" s="1" t="str">
        <f>IF(Cus!$B360&lt;&gt;"",Cus!$A360,"")</f>
        <v/>
      </c>
      <c r="C360" s="22" t="str">
        <f>IF($B360="","",Cus!$AA360)</f>
        <v/>
      </c>
      <c r="D360" s="23" t="str">
        <f>IF($B360="","",(Acc!$H360*$C360))</f>
        <v/>
      </c>
      <c r="E360" s="24">
        <f>IF(C360&lt;=CommissionDD!$E$3,CommissionDD!$C$3,IF(C360&lt;=CommissionDD!$E$4,CommissionDD!$C$4,IF(C360&lt;=CommissionDD!$E$5,CommissionDD!$C$5,IF(C360&lt;=CommissionDD!$E$6,CommissionDD!$C$6,IF(C360&lt;=CommissionDD!$E$7,CommissionDD!$C$7,IF(C360&lt;=CommissionDD!$E$8,CommissionDD!$C$8,CommissionDD!$C$9))))))</f>
        <v>0.03</v>
      </c>
      <c r="F360" s="23" t="str">
        <f t="shared" si="17"/>
        <v/>
      </c>
      <c r="G360" s="23" t="str">
        <f>IF($B360="","",(Acc!$F360*CommissionDD!$C$30))</f>
        <v/>
      </c>
      <c r="H360" s="23" t="str">
        <f t="shared" si="15"/>
        <v/>
      </c>
    </row>
    <row r="361" spans="1:8">
      <c r="A361" s="21" t="str">
        <f t="shared" si="16"/>
        <v/>
      </c>
      <c r="B361" s="1" t="str">
        <f>IF(Cus!$B361&lt;&gt;"",Cus!$A361,"")</f>
        <v/>
      </c>
      <c r="C361" s="22" t="str">
        <f>IF($B361="","",Cus!$AA361)</f>
        <v/>
      </c>
      <c r="D361" s="23" t="str">
        <f>IF($B361="","",(Acc!$H361*$C361))</f>
        <v/>
      </c>
      <c r="E361" s="24">
        <f>IF(C361&lt;=CommissionDD!$E$3,CommissionDD!$C$3,IF(C361&lt;=CommissionDD!$E$4,CommissionDD!$C$4,IF(C361&lt;=CommissionDD!$E$5,CommissionDD!$C$5,IF(C361&lt;=CommissionDD!$E$6,CommissionDD!$C$6,IF(C361&lt;=CommissionDD!$E$7,CommissionDD!$C$7,IF(C361&lt;=CommissionDD!$E$8,CommissionDD!$C$8,CommissionDD!$C$9))))))</f>
        <v>0.03</v>
      </c>
      <c r="F361" s="23" t="str">
        <f t="shared" si="17"/>
        <v/>
      </c>
      <c r="G361" s="23" t="str">
        <f>IF($B361="","",(Acc!$F361*CommissionDD!$C$30))</f>
        <v/>
      </c>
      <c r="H361" s="23" t="str">
        <f t="shared" si="15"/>
        <v/>
      </c>
    </row>
    <row r="362" spans="1:8">
      <c r="A362" s="21" t="str">
        <f t="shared" si="16"/>
        <v/>
      </c>
      <c r="B362" s="1" t="str">
        <f>IF(Cus!$B362&lt;&gt;"",Cus!$A362,"")</f>
        <v/>
      </c>
      <c r="C362" s="22" t="str">
        <f>IF($B362="","",Cus!$AA362)</f>
        <v/>
      </c>
      <c r="D362" s="23" t="str">
        <f>IF($B362="","",(Acc!$H362*$C362))</f>
        <v/>
      </c>
      <c r="E362" s="24">
        <f>IF(C362&lt;=CommissionDD!$E$3,CommissionDD!$C$3,IF(C362&lt;=CommissionDD!$E$4,CommissionDD!$C$4,IF(C362&lt;=CommissionDD!$E$5,CommissionDD!$C$5,IF(C362&lt;=CommissionDD!$E$6,CommissionDD!$C$6,IF(C362&lt;=CommissionDD!$E$7,CommissionDD!$C$7,IF(C362&lt;=CommissionDD!$E$8,CommissionDD!$C$8,CommissionDD!$C$9))))))</f>
        <v>0.03</v>
      </c>
      <c r="F362" s="23" t="str">
        <f t="shared" si="17"/>
        <v/>
      </c>
      <c r="G362" s="23" t="str">
        <f>IF($B362="","",(Acc!$F362*CommissionDD!$C$30))</f>
        <v/>
      </c>
      <c r="H362" s="23" t="str">
        <f t="shared" si="15"/>
        <v/>
      </c>
    </row>
    <row r="363" spans="1:8">
      <c r="A363" s="21" t="str">
        <f t="shared" si="16"/>
        <v/>
      </c>
      <c r="B363" s="1" t="str">
        <f>IF(Cus!$B363&lt;&gt;"",Cus!$A363,"")</f>
        <v/>
      </c>
      <c r="C363" s="22" t="str">
        <f>IF($B363="","",Cus!$AA363)</f>
        <v/>
      </c>
      <c r="D363" s="23" t="str">
        <f>IF($B363="","",(Acc!$H363*$C363))</f>
        <v/>
      </c>
      <c r="E363" s="24">
        <f>IF(C363&lt;=CommissionDD!$E$3,CommissionDD!$C$3,IF(C363&lt;=CommissionDD!$E$4,CommissionDD!$C$4,IF(C363&lt;=CommissionDD!$E$5,CommissionDD!$C$5,IF(C363&lt;=CommissionDD!$E$6,CommissionDD!$C$6,IF(C363&lt;=CommissionDD!$E$7,CommissionDD!$C$7,IF(C363&lt;=CommissionDD!$E$8,CommissionDD!$C$8,CommissionDD!$C$9))))))</f>
        <v>0.03</v>
      </c>
      <c r="F363" s="23" t="str">
        <f t="shared" si="17"/>
        <v/>
      </c>
      <c r="G363" s="23" t="str">
        <f>IF($B363="","",(Acc!$F363*CommissionDD!$C$30))</f>
        <v/>
      </c>
      <c r="H363" s="23" t="str">
        <f t="shared" si="15"/>
        <v/>
      </c>
    </row>
    <row r="364" spans="1:8">
      <c r="A364" s="21" t="str">
        <f t="shared" si="16"/>
        <v/>
      </c>
      <c r="B364" s="1" t="str">
        <f>IF(Cus!$B364&lt;&gt;"",Cus!$A364,"")</f>
        <v/>
      </c>
      <c r="C364" s="22" t="str">
        <f>IF($B364="","",Cus!$AA364)</f>
        <v/>
      </c>
      <c r="D364" s="23" t="str">
        <f>IF($B364="","",(Acc!$H364*$C364))</f>
        <v/>
      </c>
      <c r="E364" s="24">
        <f>IF(C364&lt;=CommissionDD!$E$3,CommissionDD!$C$3,IF(C364&lt;=CommissionDD!$E$4,CommissionDD!$C$4,IF(C364&lt;=CommissionDD!$E$5,CommissionDD!$C$5,IF(C364&lt;=CommissionDD!$E$6,CommissionDD!$C$6,IF(C364&lt;=CommissionDD!$E$7,CommissionDD!$C$7,IF(C364&lt;=CommissionDD!$E$8,CommissionDD!$C$8,CommissionDD!$C$9))))))</f>
        <v>0.03</v>
      </c>
      <c r="F364" s="23" t="str">
        <f t="shared" si="17"/>
        <v/>
      </c>
      <c r="G364" s="23" t="str">
        <f>IF($B364="","",(Acc!$F364*CommissionDD!$C$30))</f>
        <v/>
      </c>
      <c r="H364" s="23" t="str">
        <f t="shared" si="15"/>
        <v/>
      </c>
    </row>
    <row r="365" spans="1:8">
      <c r="A365" s="21" t="str">
        <f t="shared" si="16"/>
        <v/>
      </c>
      <c r="B365" s="1" t="str">
        <f>IF(Cus!$B365&lt;&gt;"",Cus!$A365,"")</f>
        <v/>
      </c>
      <c r="C365" s="22" t="str">
        <f>IF($B365="","",Cus!$AA365)</f>
        <v/>
      </c>
      <c r="D365" s="23" t="str">
        <f>IF($B365="","",(Acc!$H365*$C365))</f>
        <v/>
      </c>
      <c r="E365" s="24">
        <f>IF(C365&lt;=CommissionDD!$E$3,CommissionDD!$C$3,IF(C365&lt;=CommissionDD!$E$4,CommissionDD!$C$4,IF(C365&lt;=CommissionDD!$E$5,CommissionDD!$C$5,IF(C365&lt;=CommissionDD!$E$6,CommissionDD!$C$6,IF(C365&lt;=CommissionDD!$E$7,CommissionDD!$C$7,IF(C365&lt;=CommissionDD!$E$8,CommissionDD!$C$8,CommissionDD!$C$9))))))</f>
        <v>0.03</v>
      </c>
      <c r="F365" s="23" t="str">
        <f t="shared" si="17"/>
        <v/>
      </c>
      <c r="G365" s="23" t="str">
        <f>IF($B365="","",(Acc!$F365*CommissionDD!$C$30))</f>
        <v/>
      </c>
      <c r="H365" s="23" t="str">
        <f t="shared" si="15"/>
        <v/>
      </c>
    </row>
    <row r="366" spans="1:8">
      <c r="A366" s="21" t="str">
        <f t="shared" si="16"/>
        <v/>
      </c>
      <c r="B366" s="1" t="str">
        <f>IF(Cus!$B366&lt;&gt;"",Cus!$A366,"")</f>
        <v/>
      </c>
      <c r="C366" s="22" t="str">
        <f>IF($B366="","",Cus!$AA366)</f>
        <v/>
      </c>
      <c r="D366" s="23" t="str">
        <f>IF($B366="","",(Acc!$H366*$C366))</f>
        <v/>
      </c>
      <c r="E366" s="24">
        <f>IF(C366&lt;=CommissionDD!$E$3,CommissionDD!$C$3,IF(C366&lt;=CommissionDD!$E$4,CommissionDD!$C$4,IF(C366&lt;=CommissionDD!$E$5,CommissionDD!$C$5,IF(C366&lt;=CommissionDD!$E$6,CommissionDD!$C$6,IF(C366&lt;=CommissionDD!$E$7,CommissionDD!$C$7,IF(C366&lt;=CommissionDD!$E$8,CommissionDD!$C$8,CommissionDD!$C$9))))))</f>
        <v>0.03</v>
      </c>
      <c r="F366" s="23" t="str">
        <f t="shared" si="17"/>
        <v/>
      </c>
      <c r="G366" s="23" t="str">
        <f>IF($B366="","",(Acc!$F366*CommissionDD!$C$30))</f>
        <v/>
      </c>
      <c r="H366" s="23" t="str">
        <f t="shared" si="15"/>
        <v/>
      </c>
    </row>
    <row r="367" spans="1:8">
      <c r="A367" s="21" t="str">
        <f t="shared" si="16"/>
        <v/>
      </c>
      <c r="B367" s="1" t="str">
        <f>IF(Cus!$B367&lt;&gt;"",Cus!$A367,"")</f>
        <v/>
      </c>
      <c r="C367" s="22" t="str">
        <f>IF($B367="","",Cus!$AA367)</f>
        <v/>
      </c>
      <c r="D367" s="23" t="str">
        <f>IF($B367="","",(Acc!$H367*$C367))</f>
        <v/>
      </c>
      <c r="E367" s="24">
        <f>IF(C367&lt;=CommissionDD!$E$3,CommissionDD!$C$3,IF(C367&lt;=CommissionDD!$E$4,CommissionDD!$C$4,IF(C367&lt;=CommissionDD!$E$5,CommissionDD!$C$5,IF(C367&lt;=CommissionDD!$E$6,CommissionDD!$C$6,IF(C367&lt;=CommissionDD!$E$7,CommissionDD!$C$7,IF(C367&lt;=CommissionDD!$E$8,CommissionDD!$C$8,CommissionDD!$C$9))))))</f>
        <v>0.03</v>
      </c>
      <c r="F367" s="23" t="str">
        <f t="shared" si="17"/>
        <v/>
      </c>
      <c r="G367" s="23" t="str">
        <f>IF($B367="","",(Acc!$F367*CommissionDD!$C$30))</f>
        <v/>
      </c>
      <c r="H367" s="23" t="str">
        <f t="shared" si="15"/>
        <v/>
      </c>
    </row>
    <row r="368" spans="1:8">
      <c r="A368" s="21" t="str">
        <f t="shared" si="16"/>
        <v/>
      </c>
      <c r="B368" s="1" t="str">
        <f>IF(Cus!$B368&lt;&gt;"",Cus!$A368,"")</f>
        <v/>
      </c>
      <c r="C368" s="22" t="str">
        <f>IF($B368="","",Cus!$AA368)</f>
        <v/>
      </c>
      <c r="D368" s="23" t="str">
        <f>IF($B368="","",(Acc!$H368*$C368))</f>
        <v/>
      </c>
      <c r="E368" s="24">
        <f>IF(C368&lt;=CommissionDD!$E$3,CommissionDD!$C$3,IF(C368&lt;=CommissionDD!$E$4,CommissionDD!$C$4,IF(C368&lt;=CommissionDD!$E$5,CommissionDD!$C$5,IF(C368&lt;=CommissionDD!$E$6,CommissionDD!$C$6,IF(C368&lt;=CommissionDD!$E$7,CommissionDD!$C$7,IF(C368&lt;=CommissionDD!$E$8,CommissionDD!$C$8,CommissionDD!$C$9))))))</f>
        <v>0.03</v>
      </c>
      <c r="F368" s="23" t="str">
        <f t="shared" si="17"/>
        <v/>
      </c>
      <c r="G368" s="23" t="str">
        <f>IF($B368="","",(Acc!$F368*CommissionDD!$C$30))</f>
        <v/>
      </c>
      <c r="H368" s="23" t="str">
        <f t="shared" si="15"/>
        <v/>
      </c>
    </row>
    <row r="369" spans="1:8">
      <c r="A369" s="21" t="str">
        <f t="shared" si="16"/>
        <v/>
      </c>
      <c r="B369" s="1" t="str">
        <f>IF(Cus!$B369&lt;&gt;"",Cus!$A369,"")</f>
        <v/>
      </c>
      <c r="C369" s="22" t="str">
        <f>IF($B369="","",Cus!$AA369)</f>
        <v/>
      </c>
      <c r="D369" s="23" t="str">
        <f>IF($B369="","",(Acc!$H369*$C369))</f>
        <v/>
      </c>
      <c r="E369" s="24">
        <f>IF(C369&lt;=CommissionDD!$E$3,CommissionDD!$C$3,IF(C369&lt;=CommissionDD!$E$4,CommissionDD!$C$4,IF(C369&lt;=CommissionDD!$E$5,CommissionDD!$C$5,IF(C369&lt;=CommissionDD!$E$6,CommissionDD!$C$6,IF(C369&lt;=CommissionDD!$E$7,CommissionDD!$C$7,IF(C369&lt;=CommissionDD!$E$8,CommissionDD!$C$8,CommissionDD!$C$9))))))</f>
        <v>0.03</v>
      </c>
      <c r="F369" s="23" t="str">
        <f t="shared" si="17"/>
        <v/>
      </c>
      <c r="G369" s="23" t="str">
        <f>IF($B369="","",(Acc!$F369*CommissionDD!$C$30))</f>
        <v/>
      </c>
      <c r="H369" s="23" t="str">
        <f t="shared" si="15"/>
        <v/>
      </c>
    </row>
    <row r="370" spans="1:8">
      <c r="A370" s="21" t="str">
        <f t="shared" si="16"/>
        <v/>
      </c>
      <c r="B370" s="1" t="str">
        <f>IF(Cus!$B370&lt;&gt;"",Cus!$A370,"")</f>
        <v/>
      </c>
      <c r="C370" s="22" t="str">
        <f>IF($B370="","",Cus!$AA370)</f>
        <v/>
      </c>
      <c r="D370" s="23" t="str">
        <f>IF($B370="","",(Acc!$H370*$C370))</f>
        <v/>
      </c>
      <c r="E370" s="24">
        <f>IF(C370&lt;=CommissionDD!$E$3,CommissionDD!$C$3,IF(C370&lt;=CommissionDD!$E$4,CommissionDD!$C$4,IF(C370&lt;=CommissionDD!$E$5,CommissionDD!$C$5,IF(C370&lt;=CommissionDD!$E$6,CommissionDD!$C$6,IF(C370&lt;=CommissionDD!$E$7,CommissionDD!$C$7,IF(C370&lt;=CommissionDD!$E$8,CommissionDD!$C$8,CommissionDD!$C$9))))))</f>
        <v>0.03</v>
      </c>
      <c r="F370" s="23" t="str">
        <f t="shared" si="17"/>
        <v/>
      </c>
      <c r="G370" s="23" t="str">
        <f>IF($B370="","",(Acc!$F370*CommissionDD!$C$30))</f>
        <v/>
      </c>
      <c r="H370" s="23" t="str">
        <f t="shared" si="15"/>
        <v/>
      </c>
    </row>
    <row r="371" spans="1:8">
      <c r="A371" s="21" t="str">
        <f t="shared" si="16"/>
        <v/>
      </c>
      <c r="B371" s="1" t="str">
        <f>IF(Cus!$B371&lt;&gt;"",Cus!$A371,"")</f>
        <v/>
      </c>
      <c r="C371" s="22" t="str">
        <f>IF($B371="","",Cus!$AA371)</f>
        <v/>
      </c>
      <c r="D371" s="23" t="str">
        <f>IF($B371="","",(Acc!$H371*$C371))</f>
        <v/>
      </c>
      <c r="E371" s="24">
        <f>IF(C371&lt;=CommissionDD!$E$3,CommissionDD!$C$3,IF(C371&lt;=CommissionDD!$E$4,CommissionDD!$C$4,IF(C371&lt;=CommissionDD!$E$5,CommissionDD!$C$5,IF(C371&lt;=CommissionDD!$E$6,CommissionDD!$C$6,IF(C371&lt;=CommissionDD!$E$7,CommissionDD!$C$7,IF(C371&lt;=CommissionDD!$E$8,CommissionDD!$C$8,CommissionDD!$C$9))))))</f>
        <v>0.03</v>
      </c>
      <c r="F371" s="23" t="str">
        <f t="shared" si="17"/>
        <v/>
      </c>
      <c r="G371" s="23" t="str">
        <f>IF($B371="","",(Acc!$F371*CommissionDD!$C$30))</f>
        <v/>
      </c>
      <c r="H371" s="23" t="str">
        <f t="shared" si="15"/>
        <v/>
      </c>
    </row>
    <row r="372" spans="1:8">
      <c r="A372" s="21" t="str">
        <f t="shared" si="16"/>
        <v/>
      </c>
      <c r="B372" s="1" t="str">
        <f>IF(Cus!$B372&lt;&gt;"",Cus!$A372,"")</f>
        <v/>
      </c>
      <c r="C372" s="22" t="str">
        <f>IF($B372="","",Cus!$AA372)</f>
        <v/>
      </c>
      <c r="D372" s="23" t="str">
        <f>IF($B372="","",(Acc!$H372*$C372))</f>
        <v/>
      </c>
      <c r="E372" s="24">
        <f>IF(C372&lt;=CommissionDD!$E$3,CommissionDD!$C$3,IF(C372&lt;=CommissionDD!$E$4,CommissionDD!$C$4,IF(C372&lt;=CommissionDD!$E$5,CommissionDD!$C$5,IF(C372&lt;=CommissionDD!$E$6,CommissionDD!$C$6,IF(C372&lt;=CommissionDD!$E$7,CommissionDD!$C$7,IF(C372&lt;=CommissionDD!$E$8,CommissionDD!$C$8,CommissionDD!$C$9))))))</f>
        <v>0.03</v>
      </c>
      <c r="F372" s="23" t="str">
        <f t="shared" si="17"/>
        <v/>
      </c>
      <c r="G372" s="23" t="str">
        <f>IF($B372="","",(Acc!$F372*CommissionDD!$C$30))</f>
        <v/>
      </c>
      <c r="H372" s="23" t="str">
        <f t="shared" si="15"/>
        <v/>
      </c>
    </row>
    <row r="373" spans="1:8">
      <c r="A373" s="21" t="str">
        <f t="shared" si="16"/>
        <v/>
      </c>
      <c r="B373" s="1" t="str">
        <f>IF(Cus!$B373&lt;&gt;"",Cus!$A373,"")</f>
        <v/>
      </c>
      <c r="C373" s="22" t="str">
        <f>IF($B373="","",Cus!$AA373)</f>
        <v/>
      </c>
      <c r="D373" s="23" t="str">
        <f>IF($B373="","",(Acc!$H373*$C373))</f>
        <v/>
      </c>
      <c r="E373" s="24">
        <f>IF(C373&lt;=CommissionDD!$E$3,CommissionDD!$C$3,IF(C373&lt;=CommissionDD!$E$4,CommissionDD!$C$4,IF(C373&lt;=CommissionDD!$E$5,CommissionDD!$C$5,IF(C373&lt;=CommissionDD!$E$6,CommissionDD!$C$6,IF(C373&lt;=CommissionDD!$E$7,CommissionDD!$C$7,IF(C373&lt;=CommissionDD!$E$8,CommissionDD!$C$8,CommissionDD!$C$9))))))</f>
        <v>0.03</v>
      </c>
      <c r="F373" s="23" t="str">
        <f t="shared" si="17"/>
        <v/>
      </c>
      <c r="G373" s="23" t="str">
        <f>IF($B373="","",(Acc!$F373*CommissionDD!$C$30))</f>
        <v/>
      </c>
      <c r="H373" s="23" t="str">
        <f t="shared" si="15"/>
        <v/>
      </c>
    </row>
    <row r="374" spans="1:8">
      <c r="A374" s="21" t="str">
        <f t="shared" si="16"/>
        <v/>
      </c>
      <c r="B374" s="1" t="str">
        <f>IF(Cus!$B374&lt;&gt;"",Cus!$A374,"")</f>
        <v/>
      </c>
      <c r="C374" s="22" t="str">
        <f>IF($B374="","",Cus!$AA374)</f>
        <v/>
      </c>
      <c r="D374" s="23" t="str">
        <f>IF($B374="","",(Acc!$H374*$C374))</f>
        <v/>
      </c>
      <c r="E374" s="24">
        <f>IF(C374&lt;=CommissionDD!$E$3,CommissionDD!$C$3,IF(C374&lt;=CommissionDD!$E$4,CommissionDD!$C$4,IF(C374&lt;=CommissionDD!$E$5,CommissionDD!$C$5,IF(C374&lt;=CommissionDD!$E$6,CommissionDD!$C$6,IF(C374&lt;=CommissionDD!$E$7,CommissionDD!$C$7,IF(C374&lt;=CommissionDD!$E$8,CommissionDD!$C$8,CommissionDD!$C$9))))))</f>
        <v>0.03</v>
      </c>
      <c r="F374" s="23" t="str">
        <f t="shared" si="17"/>
        <v/>
      </c>
      <c r="G374" s="23" t="str">
        <f>IF($B374="","",(Acc!$F374*CommissionDD!$C$30))</f>
        <v/>
      </c>
      <c r="H374" s="23" t="str">
        <f t="shared" si="15"/>
        <v/>
      </c>
    </row>
    <row r="375" spans="1:8">
      <c r="A375" s="21" t="str">
        <f t="shared" si="16"/>
        <v/>
      </c>
      <c r="B375" s="1" t="str">
        <f>IF(Cus!$B375&lt;&gt;"",Cus!$A375,"")</f>
        <v/>
      </c>
      <c r="C375" s="22" t="str">
        <f>IF($B375="","",Cus!$AA375)</f>
        <v/>
      </c>
      <c r="D375" s="23" t="str">
        <f>IF($B375="","",(Acc!$H375*$C375))</f>
        <v/>
      </c>
      <c r="E375" s="24">
        <f>IF(C375&lt;=CommissionDD!$E$3,CommissionDD!$C$3,IF(C375&lt;=CommissionDD!$E$4,CommissionDD!$C$4,IF(C375&lt;=CommissionDD!$E$5,CommissionDD!$C$5,IF(C375&lt;=CommissionDD!$E$6,CommissionDD!$C$6,IF(C375&lt;=CommissionDD!$E$7,CommissionDD!$C$7,IF(C375&lt;=CommissionDD!$E$8,CommissionDD!$C$8,CommissionDD!$C$9))))))</f>
        <v>0.03</v>
      </c>
      <c r="F375" s="23" t="str">
        <f t="shared" si="17"/>
        <v/>
      </c>
      <c r="G375" s="23" t="str">
        <f>IF($B375="","",(Acc!$F375*CommissionDD!$C$30))</f>
        <v/>
      </c>
      <c r="H375" s="23" t="str">
        <f t="shared" si="15"/>
        <v/>
      </c>
    </row>
    <row r="376" spans="1:8">
      <c r="A376" s="21" t="str">
        <f t="shared" si="16"/>
        <v/>
      </c>
      <c r="B376" s="1" t="str">
        <f>IF(Cus!$B376&lt;&gt;"",Cus!$A376,"")</f>
        <v/>
      </c>
      <c r="C376" s="22" t="str">
        <f>IF($B376="","",Cus!$AA376)</f>
        <v/>
      </c>
      <c r="D376" s="23" t="str">
        <f>IF($B376="","",(Acc!$H376*$C376))</f>
        <v/>
      </c>
      <c r="E376" s="24">
        <f>IF(C376&lt;=CommissionDD!$E$3,CommissionDD!$C$3,IF(C376&lt;=CommissionDD!$E$4,CommissionDD!$C$4,IF(C376&lt;=CommissionDD!$E$5,CommissionDD!$C$5,IF(C376&lt;=CommissionDD!$E$6,CommissionDD!$C$6,IF(C376&lt;=CommissionDD!$E$7,CommissionDD!$C$7,IF(C376&lt;=CommissionDD!$E$8,CommissionDD!$C$8,CommissionDD!$C$9))))))</f>
        <v>0.03</v>
      </c>
      <c r="F376" s="23" t="str">
        <f t="shared" si="17"/>
        <v/>
      </c>
      <c r="G376" s="23" t="str">
        <f>IF($B376="","",(Acc!$F376*CommissionDD!$C$30))</f>
        <v/>
      </c>
      <c r="H376" s="23" t="str">
        <f t="shared" si="15"/>
        <v/>
      </c>
    </row>
    <row r="377" spans="1:8">
      <c r="A377" s="21" t="str">
        <f t="shared" si="16"/>
        <v/>
      </c>
      <c r="B377" s="1" t="str">
        <f>IF(Cus!$B377&lt;&gt;"",Cus!$A377,"")</f>
        <v/>
      </c>
      <c r="C377" s="22" t="str">
        <f>IF($B377="","",Cus!$AA377)</f>
        <v/>
      </c>
      <c r="D377" s="23" t="str">
        <f>IF($B377="","",(Acc!$H377*$C377))</f>
        <v/>
      </c>
      <c r="E377" s="24">
        <f>IF(C377&lt;=CommissionDD!$E$3,CommissionDD!$C$3,IF(C377&lt;=CommissionDD!$E$4,CommissionDD!$C$4,IF(C377&lt;=CommissionDD!$E$5,CommissionDD!$C$5,IF(C377&lt;=CommissionDD!$E$6,CommissionDD!$C$6,IF(C377&lt;=CommissionDD!$E$7,CommissionDD!$C$7,IF(C377&lt;=CommissionDD!$E$8,CommissionDD!$C$8,CommissionDD!$C$9))))))</f>
        <v>0.03</v>
      </c>
      <c r="F377" s="23" t="str">
        <f t="shared" si="17"/>
        <v/>
      </c>
      <c r="G377" s="23" t="str">
        <f>IF($B377="","",(Acc!$F377*CommissionDD!$C$30))</f>
        <v/>
      </c>
      <c r="H377" s="23" t="str">
        <f t="shared" si="15"/>
        <v/>
      </c>
    </row>
    <row r="378" spans="1:8">
      <c r="A378" s="21" t="str">
        <f t="shared" si="16"/>
        <v/>
      </c>
      <c r="B378" s="1" t="str">
        <f>IF(Cus!$B378&lt;&gt;"",Cus!$A378,"")</f>
        <v/>
      </c>
      <c r="C378" s="22" t="str">
        <f>IF($B378="","",Cus!$AA378)</f>
        <v/>
      </c>
      <c r="D378" s="23" t="str">
        <f>IF($B378="","",(Acc!$H378*$C378))</f>
        <v/>
      </c>
      <c r="E378" s="24">
        <f>IF(C378&lt;=CommissionDD!$E$3,CommissionDD!$C$3,IF(C378&lt;=CommissionDD!$E$4,CommissionDD!$C$4,IF(C378&lt;=CommissionDD!$E$5,CommissionDD!$C$5,IF(C378&lt;=CommissionDD!$E$6,CommissionDD!$C$6,IF(C378&lt;=CommissionDD!$E$7,CommissionDD!$C$7,IF(C378&lt;=CommissionDD!$E$8,CommissionDD!$C$8,CommissionDD!$C$9))))))</f>
        <v>0.03</v>
      </c>
      <c r="F378" s="23" t="str">
        <f t="shared" si="17"/>
        <v/>
      </c>
      <c r="G378" s="23" t="str">
        <f>IF($B378="","",(Acc!$F378*CommissionDD!$C$30))</f>
        <v/>
      </c>
      <c r="H378" s="23" t="str">
        <f t="shared" si="15"/>
        <v/>
      </c>
    </row>
    <row r="379" spans="1:8">
      <c r="A379" s="21" t="str">
        <f t="shared" si="16"/>
        <v/>
      </c>
      <c r="B379" s="1" t="str">
        <f>IF(Cus!$B379&lt;&gt;"",Cus!$A379,"")</f>
        <v/>
      </c>
      <c r="C379" s="22" t="str">
        <f>IF($B379="","",Cus!$AA379)</f>
        <v/>
      </c>
      <c r="D379" s="23" t="str">
        <f>IF($B379="","",(Acc!$H379*$C379))</f>
        <v/>
      </c>
      <c r="E379" s="24">
        <f>IF(C379&lt;=CommissionDD!$E$3,CommissionDD!$C$3,IF(C379&lt;=CommissionDD!$E$4,CommissionDD!$C$4,IF(C379&lt;=CommissionDD!$E$5,CommissionDD!$C$5,IF(C379&lt;=CommissionDD!$E$6,CommissionDD!$C$6,IF(C379&lt;=CommissionDD!$E$7,CommissionDD!$C$7,IF(C379&lt;=CommissionDD!$E$8,CommissionDD!$C$8,CommissionDD!$C$9))))))</f>
        <v>0.03</v>
      </c>
      <c r="F379" s="23" t="str">
        <f t="shared" si="17"/>
        <v/>
      </c>
      <c r="G379" s="23" t="str">
        <f>IF($B379="","",(Acc!$F379*CommissionDD!$C$30))</f>
        <v/>
      </c>
      <c r="H379" s="23" t="str">
        <f t="shared" si="15"/>
        <v/>
      </c>
    </row>
    <row r="380" spans="1:8">
      <c r="A380" s="21" t="str">
        <f t="shared" si="16"/>
        <v/>
      </c>
      <c r="B380" s="1" t="str">
        <f>IF(Cus!$B380&lt;&gt;"",Cus!$A380,"")</f>
        <v/>
      </c>
      <c r="C380" s="22" t="str">
        <f>IF($B380="","",Cus!$AA380)</f>
        <v/>
      </c>
      <c r="D380" s="23" t="str">
        <f>IF($B380="","",(Acc!$H380*$C380))</f>
        <v/>
      </c>
      <c r="E380" s="24">
        <f>IF(C380&lt;=CommissionDD!$E$3,CommissionDD!$C$3,IF(C380&lt;=CommissionDD!$E$4,CommissionDD!$C$4,IF(C380&lt;=CommissionDD!$E$5,CommissionDD!$C$5,IF(C380&lt;=CommissionDD!$E$6,CommissionDD!$C$6,IF(C380&lt;=CommissionDD!$E$7,CommissionDD!$C$7,IF(C380&lt;=CommissionDD!$E$8,CommissionDD!$C$8,CommissionDD!$C$9))))))</f>
        <v>0.03</v>
      </c>
      <c r="F380" s="23" t="str">
        <f t="shared" si="17"/>
        <v/>
      </c>
      <c r="G380" s="23" t="str">
        <f>IF($B380="","",(Acc!$F380*CommissionDD!$C$30))</f>
        <v/>
      </c>
      <c r="H380" s="23" t="str">
        <f t="shared" si="15"/>
        <v/>
      </c>
    </row>
    <row r="381" spans="1:8">
      <c r="A381" s="21" t="str">
        <f t="shared" si="16"/>
        <v/>
      </c>
      <c r="B381" s="1" t="str">
        <f>IF(Cus!$B381&lt;&gt;"",Cus!$A381,"")</f>
        <v/>
      </c>
      <c r="C381" s="22" t="str">
        <f>IF($B381="","",Cus!$AA381)</f>
        <v/>
      </c>
      <c r="D381" s="23" t="str">
        <f>IF($B381="","",(Acc!$H381*$C381))</f>
        <v/>
      </c>
      <c r="E381" s="24">
        <f>IF(C381&lt;=CommissionDD!$E$3,CommissionDD!$C$3,IF(C381&lt;=CommissionDD!$E$4,CommissionDD!$C$4,IF(C381&lt;=CommissionDD!$E$5,CommissionDD!$C$5,IF(C381&lt;=CommissionDD!$E$6,CommissionDD!$C$6,IF(C381&lt;=CommissionDD!$E$7,CommissionDD!$C$7,IF(C381&lt;=CommissionDD!$E$8,CommissionDD!$C$8,CommissionDD!$C$9))))))</f>
        <v>0.03</v>
      </c>
      <c r="F381" s="23" t="str">
        <f t="shared" si="17"/>
        <v/>
      </c>
      <c r="G381" s="23" t="str">
        <f>IF($B381="","",(Acc!$F381*CommissionDD!$C$30))</f>
        <v/>
      </c>
      <c r="H381" s="23" t="str">
        <f t="shared" si="15"/>
        <v/>
      </c>
    </row>
    <row r="382" spans="1:8">
      <c r="A382" s="21" t="str">
        <f t="shared" si="16"/>
        <v/>
      </c>
      <c r="B382" s="1" t="str">
        <f>IF(Cus!$B382&lt;&gt;"",Cus!$A382,"")</f>
        <v/>
      </c>
      <c r="C382" s="22" t="str">
        <f>IF($B382="","",Cus!$AA382)</f>
        <v/>
      </c>
      <c r="D382" s="23" t="str">
        <f>IF($B382="","",(Acc!$H382*$C382))</f>
        <v/>
      </c>
      <c r="E382" s="24">
        <f>IF(C382&lt;=CommissionDD!$E$3,CommissionDD!$C$3,IF(C382&lt;=CommissionDD!$E$4,CommissionDD!$C$4,IF(C382&lt;=CommissionDD!$E$5,CommissionDD!$C$5,IF(C382&lt;=CommissionDD!$E$6,CommissionDD!$C$6,IF(C382&lt;=CommissionDD!$E$7,CommissionDD!$C$7,IF(C382&lt;=CommissionDD!$E$8,CommissionDD!$C$8,CommissionDD!$C$9))))))</f>
        <v>0.03</v>
      </c>
      <c r="F382" s="23" t="str">
        <f t="shared" si="17"/>
        <v/>
      </c>
      <c r="G382" s="23" t="str">
        <f>IF($B382="","",(Acc!$F382*CommissionDD!$C$30))</f>
        <v/>
      </c>
      <c r="H382" s="23" t="str">
        <f t="shared" si="15"/>
        <v/>
      </c>
    </row>
    <row r="383" spans="1:8">
      <c r="A383" s="21" t="str">
        <f t="shared" si="16"/>
        <v/>
      </c>
      <c r="B383" s="1" t="str">
        <f>IF(Cus!$B383&lt;&gt;"",Cus!$A383,"")</f>
        <v/>
      </c>
      <c r="C383" s="22" t="str">
        <f>IF($B383="","",Cus!$AA383)</f>
        <v/>
      </c>
      <c r="D383" s="23" t="str">
        <f>IF($B383="","",(Acc!$H383*$C383))</f>
        <v/>
      </c>
      <c r="E383" s="24">
        <f>IF(C383&lt;=CommissionDD!$E$3,CommissionDD!$C$3,IF(C383&lt;=CommissionDD!$E$4,CommissionDD!$C$4,IF(C383&lt;=CommissionDD!$E$5,CommissionDD!$C$5,IF(C383&lt;=CommissionDD!$E$6,CommissionDD!$C$6,IF(C383&lt;=CommissionDD!$E$7,CommissionDD!$C$7,IF(C383&lt;=CommissionDD!$E$8,CommissionDD!$C$8,CommissionDD!$C$9))))))</f>
        <v>0.03</v>
      </c>
      <c r="F383" s="23" t="str">
        <f t="shared" si="17"/>
        <v/>
      </c>
      <c r="G383" s="23" t="str">
        <f>IF($B383="","",(Acc!$F383*CommissionDD!$C$30))</f>
        <v/>
      </c>
      <c r="H383" s="23" t="str">
        <f t="shared" si="15"/>
        <v/>
      </c>
    </row>
    <row r="384" spans="1:8">
      <c r="A384" s="21" t="str">
        <f t="shared" si="16"/>
        <v/>
      </c>
      <c r="B384" s="1" t="str">
        <f>IF(Cus!$B384&lt;&gt;"",Cus!$A384,"")</f>
        <v/>
      </c>
      <c r="C384" s="22" t="str">
        <f>IF($B384="","",Cus!$AA384)</f>
        <v/>
      </c>
      <c r="D384" s="23" t="str">
        <f>IF($B384="","",(Acc!$H384*$C384))</f>
        <v/>
      </c>
      <c r="E384" s="24">
        <f>IF(C384&lt;=CommissionDD!$E$3,CommissionDD!$C$3,IF(C384&lt;=CommissionDD!$E$4,CommissionDD!$C$4,IF(C384&lt;=CommissionDD!$E$5,CommissionDD!$C$5,IF(C384&lt;=CommissionDD!$E$6,CommissionDD!$C$6,IF(C384&lt;=CommissionDD!$E$7,CommissionDD!$C$7,IF(C384&lt;=CommissionDD!$E$8,CommissionDD!$C$8,CommissionDD!$C$9))))))</f>
        <v>0.03</v>
      </c>
      <c r="F384" s="23" t="str">
        <f t="shared" si="17"/>
        <v/>
      </c>
      <c r="G384" s="23" t="str">
        <f>IF($B384="","",(Acc!$F384*CommissionDD!$C$30))</f>
        <v/>
      </c>
      <c r="H384" s="23" t="str">
        <f t="shared" si="15"/>
        <v/>
      </c>
    </row>
    <row r="385" spans="1:8">
      <c r="A385" s="21" t="str">
        <f t="shared" si="16"/>
        <v/>
      </c>
      <c r="B385" s="1" t="str">
        <f>IF(Cus!$B385&lt;&gt;"",Cus!$A385,"")</f>
        <v/>
      </c>
      <c r="C385" s="22" t="str">
        <f>IF($B385="","",Cus!$AA385)</f>
        <v/>
      </c>
      <c r="D385" s="23" t="str">
        <f>IF($B385="","",(Acc!$H385*$C385))</f>
        <v/>
      </c>
      <c r="E385" s="24">
        <f>IF(C385&lt;=CommissionDD!$E$3,CommissionDD!$C$3,IF(C385&lt;=CommissionDD!$E$4,CommissionDD!$C$4,IF(C385&lt;=CommissionDD!$E$5,CommissionDD!$C$5,IF(C385&lt;=CommissionDD!$E$6,CommissionDD!$C$6,IF(C385&lt;=CommissionDD!$E$7,CommissionDD!$C$7,IF(C385&lt;=CommissionDD!$E$8,CommissionDD!$C$8,CommissionDD!$C$9))))))</f>
        <v>0.03</v>
      </c>
      <c r="F385" s="23" t="str">
        <f t="shared" si="17"/>
        <v/>
      </c>
      <c r="G385" s="23" t="str">
        <f>IF($B385="","",(Acc!$F385*CommissionDD!$C$30))</f>
        <v/>
      </c>
      <c r="H385" s="23" t="str">
        <f t="shared" si="15"/>
        <v/>
      </c>
    </row>
    <row r="386" spans="1:8">
      <c r="A386" s="21" t="str">
        <f t="shared" si="16"/>
        <v/>
      </c>
      <c r="B386" s="1" t="str">
        <f>IF(Cus!$B386&lt;&gt;"",Cus!$A386,"")</f>
        <v/>
      </c>
      <c r="C386" s="22" t="str">
        <f>IF($B386="","",Cus!$AA386)</f>
        <v/>
      </c>
      <c r="D386" s="23" t="str">
        <f>IF($B386="","",(Acc!$H386*$C386))</f>
        <v/>
      </c>
      <c r="E386" s="24">
        <f>IF(C386&lt;=CommissionDD!$E$3,CommissionDD!$C$3,IF(C386&lt;=CommissionDD!$E$4,CommissionDD!$C$4,IF(C386&lt;=CommissionDD!$E$5,CommissionDD!$C$5,IF(C386&lt;=CommissionDD!$E$6,CommissionDD!$C$6,IF(C386&lt;=CommissionDD!$E$7,CommissionDD!$C$7,IF(C386&lt;=CommissionDD!$E$8,CommissionDD!$C$8,CommissionDD!$C$9))))))</f>
        <v>0.03</v>
      </c>
      <c r="F386" s="23" t="str">
        <f t="shared" si="17"/>
        <v/>
      </c>
      <c r="G386" s="23" t="str">
        <f>IF($B386="","",(Acc!$F386*CommissionDD!$C$30))</f>
        <v/>
      </c>
      <c r="H386" s="23" t="str">
        <f t="shared" ref="H386:H449" si="18">IF($B386="","",F386+G386)</f>
        <v/>
      </c>
    </row>
    <row r="387" spans="1:8">
      <c r="A387" s="21" t="str">
        <f t="shared" ref="A387:A450" si="19">IF($B387="","",(ROW($A386)))</f>
        <v/>
      </c>
      <c r="B387" s="1" t="str">
        <f>IF(Cus!$B387&lt;&gt;"",Cus!$A387,"")</f>
        <v/>
      </c>
      <c r="C387" s="22" t="str">
        <f>IF($B387="","",Cus!$AA387)</f>
        <v/>
      </c>
      <c r="D387" s="23" t="str">
        <f>IF($B387="","",(Acc!$H387*$C387))</f>
        <v/>
      </c>
      <c r="E387" s="24">
        <f>IF(C387&lt;=CommissionDD!$E$3,CommissionDD!$C$3,IF(C387&lt;=CommissionDD!$E$4,CommissionDD!$C$4,IF(C387&lt;=CommissionDD!$E$5,CommissionDD!$C$5,IF(C387&lt;=CommissionDD!$E$6,CommissionDD!$C$6,IF(C387&lt;=CommissionDD!$E$7,CommissionDD!$C$7,IF(C387&lt;=CommissionDD!$E$8,CommissionDD!$C$8,CommissionDD!$C$9))))))</f>
        <v>0.03</v>
      </c>
      <c r="F387" s="23" t="str">
        <f t="shared" si="17"/>
        <v/>
      </c>
      <c r="G387" s="23" t="str">
        <f>IF($B387="","",(Acc!$F387*CommissionDD!$C$30))</f>
        <v/>
      </c>
      <c r="H387" s="23" t="str">
        <f t="shared" si="18"/>
        <v/>
      </c>
    </row>
    <row r="388" spans="1:8">
      <c r="A388" s="21" t="str">
        <f t="shared" si="19"/>
        <v/>
      </c>
      <c r="B388" s="1" t="str">
        <f>IF(Cus!$B388&lt;&gt;"",Cus!$A388,"")</f>
        <v/>
      </c>
      <c r="C388" s="22" t="str">
        <f>IF($B388="","",Cus!$AA388)</f>
        <v/>
      </c>
      <c r="D388" s="23" t="str">
        <f>IF($B388="","",(Acc!$H388*$C388))</f>
        <v/>
      </c>
      <c r="E388" s="24">
        <f>IF(C388&lt;=CommissionDD!$E$3,CommissionDD!$C$3,IF(C388&lt;=CommissionDD!$E$4,CommissionDD!$C$4,IF(C388&lt;=CommissionDD!$E$5,CommissionDD!$C$5,IF(C388&lt;=CommissionDD!$E$6,CommissionDD!$C$6,IF(C388&lt;=CommissionDD!$E$7,CommissionDD!$C$7,IF(C388&lt;=CommissionDD!$E$8,CommissionDD!$C$8,CommissionDD!$C$9))))))</f>
        <v>0.03</v>
      </c>
      <c r="F388" s="23" t="str">
        <f t="shared" si="17"/>
        <v/>
      </c>
      <c r="G388" s="23" t="str">
        <f>IF($B388="","",(Acc!$F388*CommissionDD!$C$30))</f>
        <v/>
      </c>
      <c r="H388" s="23" t="str">
        <f t="shared" si="18"/>
        <v/>
      </c>
    </row>
    <row r="389" spans="1:8">
      <c r="A389" s="21" t="str">
        <f t="shared" si="19"/>
        <v/>
      </c>
      <c r="B389" s="1" t="str">
        <f>IF(Cus!$B389&lt;&gt;"",Cus!$A389,"")</f>
        <v/>
      </c>
      <c r="C389" s="22" t="str">
        <f>IF($B389="","",Cus!$AA389)</f>
        <v/>
      </c>
      <c r="D389" s="23" t="str">
        <f>IF($B389="","",(Acc!$H389*$C389))</f>
        <v/>
      </c>
      <c r="E389" s="24">
        <f>IF(C389&lt;=CommissionDD!$E$3,CommissionDD!$C$3,IF(C389&lt;=CommissionDD!$E$4,CommissionDD!$C$4,IF(C389&lt;=CommissionDD!$E$5,CommissionDD!$C$5,IF(C389&lt;=CommissionDD!$E$6,CommissionDD!$C$6,IF(C389&lt;=CommissionDD!$E$7,CommissionDD!$C$7,IF(C389&lt;=CommissionDD!$E$8,CommissionDD!$C$8,CommissionDD!$C$9))))))</f>
        <v>0.03</v>
      </c>
      <c r="F389" s="23" t="str">
        <f t="shared" ref="F389:F452" si="20">IF($B389="","",D389*E389)</f>
        <v/>
      </c>
      <c r="G389" s="23" t="str">
        <f>IF($B389="","",(Acc!$F389*CommissionDD!$C$30))</f>
        <v/>
      </c>
      <c r="H389" s="23" t="str">
        <f t="shared" si="18"/>
        <v/>
      </c>
    </row>
    <row r="390" spans="1:8">
      <c r="A390" s="21" t="str">
        <f t="shared" si="19"/>
        <v/>
      </c>
      <c r="B390" s="1" t="str">
        <f>IF(Cus!$B390&lt;&gt;"",Cus!$A390,"")</f>
        <v/>
      </c>
      <c r="C390" s="22" t="str">
        <f>IF($B390="","",Cus!$AA390)</f>
        <v/>
      </c>
      <c r="D390" s="23" t="str">
        <f>IF($B390="","",(Acc!$H390*$C390))</f>
        <v/>
      </c>
      <c r="E390" s="24">
        <f>IF(C390&lt;=CommissionDD!$E$3,CommissionDD!$C$3,IF(C390&lt;=CommissionDD!$E$4,CommissionDD!$C$4,IF(C390&lt;=CommissionDD!$E$5,CommissionDD!$C$5,IF(C390&lt;=CommissionDD!$E$6,CommissionDD!$C$6,IF(C390&lt;=CommissionDD!$E$7,CommissionDD!$C$7,IF(C390&lt;=CommissionDD!$E$8,CommissionDD!$C$8,CommissionDD!$C$9))))))</f>
        <v>0.03</v>
      </c>
      <c r="F390" s="23" t="str">
        <f t="shared" si="20"/>
        <v/>
      </c>
      <c r="G390" s="23" t="str">
        <f>IF($B390="","",(Acc!$F390*CommissionDD!$C$30))</f>
        <v/>
      </c>
      <c r="H390" s="23" t="str">
        <f t="shared" si="18"/>
        <v/>
      </c>
    </row>
    <row r="391" spans="1:8">
      <c r="A391" s="21" t="str">
        <f t="shared" si="19"/>
        <v/>
      </c>
      <c r="B391" s="1" t="str">
        <f>IF(Cus!$B391&lt;&gt;"",Cus!$A391,"")</f>
        <v/>
      </c>
      <c r="C391" s="22" t="str">
        <f>IF($B391="","",Cus!$AA391)</f>
        <v/>
      </c>
      <c r="D391" s="23" t="str">
        <f>IF($B391="","",(Acc!$H391*$C391))</f>
        <v/>
      </c>
      <c r="E391" s="24">
        <f>IF(C391&lt;=CommissionDD!$E$3,CommissionDD!$C$3,IF(C391&lt;=CommissionDD!$E$4,CommissionDD!$C$4,IF(C391&lt;=CommissionDD!$E$5,CommissionDD!$C$5,IF(C391&lt;=CommissionDD!$E$6,CommissionDD!$C$6,IF(C391&lt;=CommissionDD!$E$7,CommissionDD!$C$7,IF(C391&lt;=CommissionDD!$E$8,CommissionDD!$C$8,CommissionDD!$C$9))))))</f>
        <v>0.03</v>
      </c>
      <c r="F391" s="23" t="str">
        <f t="shared" si="20"/>
        <v/>
      </c>
      <c r="G391" s="23" t="str">
        <f>IF($B391="","",(Acc!$F391*CommissionDD!$C$30))</f>
        <v/>
      </c>
      <c r="H391" s="23" t="str">
        <f t="shared" si="18"/>
        <v/>
      </c>
    </row>
    <row r="392" spans="1:8">
      <c r="A392" s="21" t="str">
        <f t="shared" si="19"/>
        <v/>
      </c>
      <c r="B392" s="1" t="str">
        <f>IF(Cus!$B392&lt;&gt;"",Cus!$A392,"")</f>
        <v/>
      </c>
      <c r="C392" s="22" t="str">
        <f>IF($B392="","",Cus!$AA392)</f>
        <v/>
      </c>
      <c r="D392" s="23" t="str">
        <f>IF($B392="","",(Acc!$H392*$C392))</f>
        <v/>
      </c>
      <c r="E392" s="24">
        <f>IF(C392&lt;=CommissionDD!$E$3,CommissionDD!$C$3,IF(C392&lt;=CommissionDD!$E$4,CommissionDD!$C$4,IF(C392&lt;=CommissionDD!$E$5,CommissionDD!$C$5,IF(C392&lt;=CommissionDD!$E$6,CommissionDD!$C$6,IF(C392&lt;=CommissionDD!$E$7,CommissionDD!$C$7,IF(C392&lt;=CommissionDD!$E$8,CommissionDD!$C$8,CommissionDD!$C$9))))))</f>
        <v>0.03</v>
      </c>
      <c r="F392" s="23" t="str">
        <f t="shared" si="20"/>
        <v/>
      </c>
      <c r="G392" s="23" t="str">
        <f>IF($B392="","",(Acc!$F392*CommissionDD!$C$30))</f>
        <v/>
      </c>
      <c r="H392" s="23" t="str">
        <f t="shared" si="18"/>
        <v/>
      </c>
    </row>
    <row r="393" spans="1:8">
      <c r="A393" s="21" t="str">
        <f t="shared" si="19"/>
        <v/>
      </c>
      <c r="B393" s="1" t="str">
        <f>IF(Cus!$B393&lt;&gt;"",Cus!$A393,"")</f>
        <v/>
      </c>
      <c r="C393" s="22" t="str">
        <f>IF($B393="","",Cus!$AA393)</f>
        <v/>
      </c>
      <c r="D393" s="23" t="str">
        <f>IF($B393="","",(Acc!$H393*$C393))</f>
        <v/>
      </c>
      <c r="E393" s="24">
        <f>IF(C393&lt;=CommissionDD!$E$3,CommissionDD!$C$3,IF(C393&lt;=CommissionDD!$E$4,CommissionDD!$C$4,IF(C393&lt;=CommissionDD!$E$5,CommissionDD!$C$5,IF(C393&lt;=CommissionDD!$E$6,CommissionDD!$C$6,IF(C393&lt;=CommissionDD!$E$7,CommissionDD!$C$7,IF(C393&lt;=CommissionDD!$E$8,CommissionDD!$C$8,CommissionDD!$C$9))))))</f>
        <v>0.03</v>
      </c>
      <c r="F393" s="23" t="str">
        <f t="shared" si="20"/>
        <v/>
      </c>
      <c r="G393" s="23" t="str">
        <f>IF($B393="","",(Acc!$F393*CommissionDD!$C$30))</f>
        <v/>
      </c>
      <c r="H393" s="23" t="str">
        <f t="shared" si="18"/>
        <v/>
      </c>
    </row>
    <row r="394" spans="1:8">
      <c r="A394" s="21" t="str">
        <f t="shared" si="19"/>
        <v/>
      </c>
      <c r="B394" s="1" t="str">
        <f>IF(Cus!$B394&lt;&gt;"",Cus!$A394,"")</f>
        <v/>
      </c>
      <c r="C394" s="22" t="str">
        <f>IF($B394="","",Cus!$AA394)</f>
        <v/>
      </c>
      <c r="D394" s="23" t="str">
        <f>IF($B394="","",(Acc!$H394*$C394))</f>
        <v/>
      </c>
      <c r="E394" s="24">
        <f>IF(C394&lt;=CommissionDD!$E$3,CommissionDD!$C$3,IF(C394&lt;=CommissionDD!$E$4,CommissionDD!$C$4,IF(C394&lt;=CommissionDD!$E$5,CommissionDD!$C$5,IF(C394&lt;=CommissionDD!$E$6,CommissionDD!$C$6,IF(C394&lt;=CommissionDD!$E$7,CommissionDD!$C$7,IF(C394&lt;=CommissionDD!$E$8,CommissionDD!$C$8,CommissionDD!$C$9))))))</f>
        <v>0.03</v>
      </c>
      <c r="F394" s="23" t="str">
        <f t="shared" si="20"/>
        <v/>
      </c>
      <c r="G394" s="23" t="str">
        <f>IF($B394="","",(Acc!$F394*CommissionDD!$C$30))</f>
        <v/>
      </c>
      <c r="H394" s="23" t="str">
        <f t="shared" si="18"/>
        <v/>
      </c>
    </row>
    <row r="395" spans="1:8">
      <c r="A395" s="21" t="str">
        <f t="shared" si="19"/>
        <v/>
      </c>
      <c r="B395" s="1" t="str">
        <f>IF(Cus!$B395&lt;&gt;"",Cus!$A395,"")</f>
        <v/>
      </c>
      <c r="C395" s="22" t="str">
        <f>IF($B395="","",Cus!$AA395)</f>
        <v/>
      </c>
      <c r="D395" s="23" t="str">
        <f>IF($B395="","",(Acc!$H395*$C395))</f>
        <v/>
      </c>
      <c r="E395" s="24">
        <f>IF(C395&lt;=CommissionDD!$E$3,CommissionDD!$C$3,IF(C395&lt;=CommissionDD!$E$4,CommissionDD!$C$4,IF(C395&lt;=CommissionDD!$E$5,CommissionDD!$C$5,IF(C395&lt;=CommissionDD!$E$6,CommissionDD!$C$6,IF(C395&lt;=CommissionDD!$E$7,CommissionDD!$C$7,IF(C395&lt;=CommissionDD!$E$8,CommissionDD!$C$8,CommissionDD!$C$9))))))</f>
        <v>0.03</v>
      </c>
      <c r="F395" s="23" t="str">
        <f t="shared" si="20"/>
        <v/>
      </c>
      <c r="G395" s="23" t="str">
        <f>IF($B395="","",(Acc!$F395*CommissionDD!$C$30))</f>
        <v/>
      </c>
      <c r="H395" s="23" t="str">
        <f t="shared" si="18"/>
        <v/>
      </c>
    </row>
    <row r="396" spans="1:8">
      <c r="A396" s="21" t="str">
        <f t="shared" si="19"/>
        <v/>
      </c>
      <c r="B396" s="1" t="str">
        <f>IF(Cus!$B396&lt;&gt;"",Cus!$A396,"")</f>
        <v/>
      </c>
      <c r="C396" s="22" t="str">
        <f>IF($B396="","",Cus!$AA396)</f>
        <v/>
      </c>
      <c r="D396" s="23" t="str">
        <f>IF($B396="","",(Acc!$H396*$C396))</f>
        <v/>
      </c>
      <c r="E396" s="24">
        <f>IF(C396&lt;=CommissionDD!$E$3,CommissionDD!$C$3,IF(C396&lt;=CommissionDD!$E$4,CommissionDD!$C$4,IF(C396&lt;=CommissionDD!$E$5,CommissionDD!$C$5,IF(C396&lt;=CommissionDD!$E$6,CommissionDD!$C$6,IF(C396&lt;=CommissionDD!$E$7,CommissionDD!$C$7,IF(C396&lt;=CommissionDD!$E$8,CommissionDD!$C$8,CommissionDD!$C$9))))))</f>
        <v>0.03</v>
      </c>
      <c r="F396" s="23" t="str">
        <f t="shared" si="20"/>
        <v/>
      </c>
      <c r="G396" s="23" t="str">
        <f>IF($B396="","",(Acc!$F396*CommissionDD!$C$30))</f>
        <v/>
      </c>
      <c r="H396" s="23" t="str">
        <f t="shared" si="18"/>
        <v/>
      </c>
    </row>
    <row r="397" spans="1:8">
      <c r="A397" s="21" t="str">
        <f t="shared" si="19"/>
        <v/>
      </c>
      <c r="B397" s="1" t="str">
        <f>IF(Cus!$B397&lt;&gt;"",Cus!$A397,"")</f>
        <v/>
      </c>
      <c r="C397" s="22" t="str">
        <f>IF($B397="","",Cus!$AA397)</f>
        <v/>
      </c>
      <c r="D397" s="23" t="str">
        <f>IF($B397="","",(Acc!$H397*$C397))</f>
        <v/>
      </c>
      <c r="E397" s="24">
        <f>IF(C397&lt;=CommissionDD!$E$3,CommissionDD!$C$3,IF(C397&lt;=CommissionDD!$E$4,CommissionDD!$C$4,IF(C397&lt;=CommissionDD!$E$5,CommissionDD!$C$5,IF(C397&lt;=CommissionDD!$E$6,CommissionDD!$C$6,IF(C397&lt;=CommissionDD!$E$7,CommissionDD!$C$7,IF(C397&lt;=CommissionDD!$E$8,CommissionDD!$C$8,CommissionDD!$C$9))))))</f>
        <v>0.03</v>
      </c>
      <c r="F397" s="23" t="str">
        <f t="shared" si="20"/>
        <v/>
      </c>
      <c r="G397" s="23" t="str">
        <f>IF($B397="","",(Acc!$F397*CommissionDD!$C$30))</f>
        <v/>
      </c>
      <c r="H397" s="23" t="str">
        <f t="shared" si="18"/>
        <v/>
      </c>
    </row>
    <row r="398" spans="1:8">
      <c r="A398" s="21" t="str">
        <f t="shared" si="19"/>
        <v/>
      </c>
      <c r="B398" s="1" t="str">
        <f>IF(Cus!$B398&lt;&gt;"",Cus!$A398,"")</f>
        <v/>
      </c>
      <c r="C398" s="22" t="str">
        <f>IF($B398="","",Cus!$AA398)</f>
        <v/>
      </c>
      <c r="D398" s="23" t="str">
        <f>IF($B398="","",(Acc!$H398*$C398))</f>
        <v/>
      </c>
      <c r="E398" s="24">
        <f>IF(C398&lt;=CommissionDD!$E$3,CommissionDD!$C$3,IF(C398&lt;=CommissionDD!$E$4,CommissionDD!$C$4,IF(C398&lt;=CommissionDD!$E$5,CommissionDD!$C$5,IF(C398&lt;=CommissionDD!$E$6,CommissionDD!$C$6,IF(C398&lt;=CommissionDD!$E$7,CommissionDD!$C$7,IF(C398&lt;=CommissionDD!$E$8,CommissionDD!$C$8,CommissionDD!$C$9))))))</f>
        <v>0.03</v>
      </c>
      <c r="F398" s="23" t="str">
        <f t="shared" si="20"/>
        <v/>
      </c>
      <c r="G398" s="23" t="str">
        <f>IF($B398="","",(Acc!$F398*CommissionDD!$C$30))</f>
        <v/>
      </c>
      <c r="H398" s="23" t="str">
        <f t="shared" si="18"/>
        <v/>
      </c>
    </row>
    <row r="399" spans="1:8">
      <c r="A399" s="21" t="str">
        <f t="shared" si="19"/>
        <v/>
      </c>
      <c r="B399" s="1" t="str">
        <f>IF(Cus!$B399&lt;&gt;"",Cus!$A399,"")</f>
        <v/>
      </c>
      <c r="C399" s="22" t="str">
        <f>IF($B399="","",Cus!$AA399)</f>
        <v/>
      </c>
      <c r="D399" s="23" t="str">
        <f>IF($B399="","",(Acc!$H399*$C399))</f>
        <v/>
      </c>
      <c r="E399" s="24">
        <f>IF(C399&lt;=CommissionDD!$E$3,CommissionDD!$C$3,IF(C399&lt;=CommissionDD!$E$4,CommissionDD!$C$4,IF(C399&lt;=CommissionDD!$E$5,CommissionDD!$C$5,IF(C399&lt;=CommissionDD!$E$6,CommissionDD!$C$6,IF(C399&lt;=CommissionDD!$E$7,CommissionDD!$C$7,IF(C399&lt;=CommissionDD!$E$8,CommissionDD!$C$8,CommissionDD!$C$9))))))</f>
        <v>0.03</v>
      </c>
      <c r="F399" s="23" t="str">
        <f t="shared" si="20"/>
        <v/>
      </c>
      <c r="G399" s="23" t="str">
        <f>IF($B399="","",(Acc!$F399*CommissionDD!$C$30))</f>
        <v/>
      </c>
      <c r="H399" s="23" t="str">
        <f t="shared" si="18"/>
        <v/>
      </c>
    </row>
    <row r="400" spans="1:8">
      <c r="A400" s="21" t="str">
        <f t="shared" si="19"/>
        <v/>
      </c>
      <c r="B400" s="1" t="str">
        <f>IF(Cus!$B400&lt;&gt;"",Cus!$A400,"")</f>
        <v/>
      </c>
      <c r="C400" s="22" t="str">
        <f>IF($B400="","",Cus!$AA400)</f>
        <v/>
      </c>
      <c r="D400" s="23" t="str">
        <f>IF($B400="","",(Acc!$H400*$C400))</f>
        <v/>
      </c>
      <c r="E400" s="24">
        <f>IF(C400&lt;=CommissionDD!$E$3,CommissionDD!$C$3,IF(C400&lt;=CommissionDD!$E$4,CommissionDD!$C$4,IF(C400&lt;=CommissionDD!$E$5,CommissionDD!$C$5,IF(C400&lt;=CommissionDD!$E$6,CommissionDD!$C$6,IF(C400&lt;=CommissionDD!$E$7,CommissionDD!$C$7,IF(C400&lt;=CommissionDD!$E$8,CommissionDD!$C$8,CommissionDD!$C$9))))))</f>
        <v>0.03</v>
      </c>
      <c r="F400" s="23" t="str">
        <f t="shared" si="20"/>
        <v/>
      </c>
      <c r="G400" s="23" t="str">
        <f>IF($B400="","",(Acc!$F400*CommissionDD!$C$30))</f>
        <v/>
      </c>
      <c r="H400" s="23" t="str">
        <f t="shared" si="18"/>
        <v/>
      </c>
    </row>
    <row r="401" spans="1:8">
      <c r="A401" s="21" t="str">
        <f t="shared" si="19"/>
        <v/>
      </c>
      <c r="B401" s="1" t="str">
        <f>IF(Cus!$B401&lt;&gt;"",Cus!$A401,"")</f>
        <v/>
      </c>
      <c r="C401" s="22" t="str">
        <f>IF($B401="","",Cus!$AA401)</f>
        <v/>
      </c>
      <c r="D401" s="23" t="str">
        <f>IF($B401="","",(Acc!$H401*$C401))</f>
        <v/>
      </c>
      <c r="E401" s="24">
        <f>IF(C401&lt;=CommissionDD!$E$3,CommissionDD!$C$3,IF(C401&lt;=CommissionDD!$E$4,CommissionDD!$C$4,IF(C401&lt;=CommissionDD!$E$5,CommissionDD!$C$5,IF(C401&lt;=CommissionDD!$E$6,CommissionDD!$C$6,IF(C401&lt;=CommissionDD!$E$7,CommissionDD!$C$7,IF(C401&lt;=CommissionDD!$E$8,CommissionDD!$C$8,CommissionDD!$C$9))))))</f>
        <v>0.03</v>
      </c>
      <c r="F401" s="23" t="str">
        <f t="shared" si="20"/>
        <v/>
      </c>
      <c r="G401" s="23" t="str">
        <f>IF($B401="","",(Acc!$F401*CommissionDD!$C$30))</f>
        <v/>
      </c>
      <c r="H401" s="23" t="str">
        <f t="shared" si="18"/>
        <v/>
      </c>
    </row>
    <row r="402" spans="1:8">
      <c r="A402" s="21" t="str">
        <f t="shared" si="19"/>
        <v/>
      </c>
      <c r="B402" s="1" t="str">
        <f>IF(Cus!$B402&lt;&gt;"",Cus!$A402,"")</f>
        <v/>
      </c>
      <c r="C402" s="22" t="str">
        <f>IF($B402="","",Cus!$AA402)</f>
        <v/>
      </c>
      <c r="D402" s="23" t="str">
        <f>IF($B402="","",(Acc!$H402*$C402))</f>
        <v/>
      </c>
      <c r="E402" s="24">
        <f>IF(C402&lt;=CommissionDD!$E$3,CommissionDD!$C$3,IF(C402&lt;=CommissionDD!$E$4,CommissionDD!$C$4,IF(C402&lt;=CommissionDD!$E$5,CommissionDD!$C$5,IF(C402&lt;=CommissionDD!$E$6,CommissionDD!$C$6,IF(C402&lt;=CommissionDD!$E$7,CommissionDD!$C$7,IF(C402&lt;=CommissionDD!$E$8,CommissionDD!$C$8,CommissionDD!$C$9))))))</f>
        <v>0.03</v>
      </c>
      <c r="F402" s="23" t="str">
        <f t="shared" si="20"/>
        <v/>
      </c>
      <c r="G402" s="23" t="str">
        <f>IF($B402="","",(Acc!$F402*CommissionDD!$C$30))</f>
        <v/>
      </c>
      <c r="H402" s="23" t="str">
        <f t="shared" si="18"/>
        <v/>
      </c>
    </row>
    <row r="403" spans="1:8">
      <c r="A403" s="21" t="str">
        <f t="shared" si="19"/>
        <v/>
      </c>
      <c r="B403" s="1" t="str">
        <f>IF(Cus!$B403&lt;&gt;"",Cus!$A403,"")</f>
        <v/>
      </c>
      <c r="C403" s="22" t="str">
        <f>IF($B403="","",Cus!$AA403)</f>
        <v/>
      </c>
      <c r="D403" s="23" t="str">
        <f>IF($B403="","",(Acc!$H403*$C403))</f>
        <v/>
      </c>
      <c r="E403" s="24">
        <f>IF(C403&lt;=CommissionDD!$E$3,CommissionDD!$C$3,IF(C403&lt;=CommissionDD!$E$4,CommissionDD!$C$4,IF(C403&lt;=CommissionDD!$E$5,CommissionDD!$C$5,IF(C403&lt;=CommissionDD!$E$6,CommissionDD!$C$6,IF(C403&lt;=CommissionDD!$E$7,CommissionDD!$C$7,IF(C403&lt;=CommissionDD!$E$8,CommissionDD!$C$8,CommissionDD!$C$9))))))</f>
        <v>0.03</v>
      </c>
      <c r="F403" s="23" t="str">
        <f t="shared" si="20"/>
        <v/>
      </c>
      <c r="G403" s="23" t="str">
        <f>IF($B403="","",(Acc!$F403*CommissionDD!$C$30))</f>
        <v/>
      </c>
      <c r="H403" s="23" t="str">
        <f t="shared" si="18"/>
        <v/>
      </c>
    </row>
    <row r="404" spans="1:8">
      <c r="A404" s="21" t="str">
        <f t="shared" si="19"/>
        <v/>
      </c>
      <c r="B404" s="1" t="str">
        <f>IF(Cus!$B404&lt;&gt;"",Cus!$A404,"")</f>
        <v/>
      </c>
      <c r="C404" s="22" t="str">
        <f>IF($B404="","",Cus!$AA404)</f>
        <v/>
      </c>
      <c r="D404" s="23" t="str">
        <f>IF($B404="","",(Acc!$H404*$C404))</f>
        <v/>
      </c>
      <c r="E404" s="24">
        <f>IF(C404&lt;=CommissionDD!$E$3,CommissionDD!$C$3,IF(C404&lt;=CommissionDD!$E$4,CommissionDD!$C$4,IF(C404&lt;=CommissionDD!$E$5,CommissionDD!$C$5,IF(C404&lt;=CommissionDD!$E$6,CommissionDD!$C$6,IF(C404&lt;=CommissionDD!$E$7,CommissionDD!$C$7,IF(C404&lt;=CommissionDD!$E$8,CommissionDD!$C$8,CommissionDD!$C$9))))))</f>
        <v>0.03</v>
      </c>
      <c r="F404" s="23" t="str">
        <f t="shared" si="20"/>
        <v/>
      </c>
      <c r="G404" s="23" t="str">
        <f>IF($B404="","",(Acc!$F404*CommissionDD!$C$30))</f>
        <v/>
      </c>
      <c r="H404" s="23" t="str">
        <f t="shared" si="18"/>
        <v/>
      </c>
    </row>
    <row r="405" spans="1:8">
      <c r="A405" s="21" t="str">
        <f t="shared" si="19"/>
        <v/>
      </c>
      <c r="B405" s="1" t="str">
        <f>IF(Cus!$B405&lt;&gt;"",Cus!$A405,"")</f>
        <v/>
      </c>
      <c r="C405" s="22" t="str">
        <f>IF($B405="","",Cus!$AA405)</f>
        <v/>
      </c>
      <c r="D405" s="23" t="str">
        <f>IF($B405="","",(Acc!$H405*$C405))</f>
        <v/>
      </c>
      <c r="E405" s="24">
        <f>IF(C405&lt;=CommissionDD!$E$3,CommissionDD!$C$3,IF(C405&lt;=CommissionDD!$E$4,CommissionDD!$C$4,IF(C405&lt;=CommissionDD!$E$5,CommissionDD!$C$5,IF(C405&lt;=CommissionDD!$E$6,CommissionDD!$C$6,IF(C405&lt;=CommissionDD!$E$7,CommissionDD!$C$7,IF(C405&lt;=CommissionDD!$E$8,CommissionDD!$C$8,CommissionDD!$C$9))))))</f>
        <v>0.03</v>
      </c>
      <c r="F405" s="23" t="str">
        <f t="shared" si="20"/>
        <v/>
      </c>
      <c r="G405" s="23" t="str">
        <f>IF($B405="","",(Acc!$F405*CommissionDD!$C$30))</f>
        <v/>
      </c>
      <c r="H405" s="23" t="str">
        <f t="shared" si="18"/>
        <v/>
      </c>
    </row>
    <row r="406" spans="1:8">
      <c r="A406" s="21" t="str">
        <f t="shared" si="19"/>
        <v/>
      </c>
      <c r="B406" s="1" t="str">
        <f>IF(Cus!$B406&lt;&gt;"",Cus!$A406,"")</f>
        <v/>
      </c>
      <c r="C406" s="22" t="str">
        <f>IF($B406="","",Cus!$AA406)</f>
        <v/>
      </c>
      <c r="D406" s="23" t="str">
        <f>IF($B406="","",(Acc!$H406*$C406))</f>
        <v/>
      </c>
      <c r="E406" s="24">
        <f>IF(C406&lt;=CommissionDD!$E$3,CommissionDD!$C$3,IF(C406&lt;=CommissionDD!$E$4,CommissionDD!$C$4,IF(C406&lt;=CommissionDD!$E$5,CommissionDD!$C$5,IF(C406&lt;=CommissionDD!$E$6,CommissionDD!$C$6,IF(C406&lt;=CommissionDD!$E$7,CommissionDD!$C$7,IF(C406&lt;=CommissionDD!$E$8,CommissionDD!$C$8,CommissionDD!$C$9))))))</f>
        <v>0.03</v>
      </c>
      <c r="F406" s="23" t="str">
        <f t="shared" si="20"/>
        <v/>
      </c>
      <c r="G406" s="23" t="str">
        <f>IF($B406="","",(Acc!$F406*CommissionDD!$C$30))</f>
        <v/>
      </c>
      <c r="H406" s="23" t="str">
        <f t="shared" si="18"/>
        <v/>
      </c>
    </row>
    <row r="407" spans="1:8">
      <c r="A407" s="21" t="str">
        <f t="shared" si="19"/>
        <v/>
      </c>
      <c r="B407" s="1" t="str">
        <f>IF(Cus!$B407&lt;&gt;"",Cus!$A407,"")</f>
        <v/>
      </c>
      <c r="C407" s="22" t="str">
        <f>IF($B407="","",Cus!$AA407)</f>
        <v/>
      </c>
      <c r="D407" s="23" t="str">
        <f>IF($B407="","",(Acc!$H407*$C407))</f>
        <v/>
      </c>
      <c r="E407" s="24">
        <f>IF(C407&lt;=CommissionDD!$E$3,CommissionDD!$C$3,IF(C407&lt;=CommissionDD!$E$4,CommissionDD!$C$4,IF(C407&lt;=CommissionDD!$E$5,CommissionDD!$C$5,IF(C407&lt;=CommissionDD!$E$6,CommissionDD!$C$6,IF(C407&lt;=CommissionDD!$E$7,CommissionDD!$C$7,IF(C407&lt;=CommissionDD!$E$8,CommissionDD!$C$8,CommissionDD!$C$9))))))</f>
        <v>0.03</v>
      </c>
      <c r="F407" s="23" t="str">
        <f t="shared" si="20"/>
        <v/>
      </c>
      <c r="G407" s="23" t="str">
        <f>IF($B407="","",(Acc!$F407*CommissionDD!$C$30))</f>
        <v/>
      </c>
      <c r="H407" s="23" t="str">
        <f t="shared" si="18"/>
        <v/>
      </c>
    </row>
    <row r="408" spans="1:8">
      <c r="A408" s="21" t="str">
        <f t="shared" si="19"/>
        <v/>
      </c>
      <c r="B408" s="1" t="str">
        <f>IF(Cus!$B408&lt;&gt;"",Cus!$A408,"")</f>
        <v/>
      </c>
      <c r="C408" s="22" t="str">
        <f>IF($B408="","",Cus!$AA408)</f>
        <v/>
      </c>
      <c r="D408" s="23" t="str">
        <f>IF($B408="","",(Acc!$H408*$C408))</f>
        <v/>
      </c>
      <c r="E408" s="24">
        <f>IF(C408&lt;=CommissionDD!$E$3,CommissionDD!$C$3,IF(C408&lt;=CommissionDD!$E$4,CommissionDD!$C$4,IF(C408&lt;=CommissionDD!$E$5,CommissionDD!$C$5,IF(C408&lt;=CommissionDD!$E$6,CommissionDD!$C$6,IF(C408&lt;=CommissionDD!$E$7,CommissionDD!$C$7,IF(C408&lt;=CommissionDD!$E$8,CommissionDD!$C$8,CommissionDD!$C$9))))))</f>
        <v>0.03</v>
      </c>
      <c r="F408" s="23" t="str">
        <f t="shared" si="20"/>
        <v/>
      </c>
      <c r="G408" s="23" t="str">
        <f>IF($B408="","",(Acc!$F408*CommissionDD!$C$30))</f>
        <v/>
      </c>
      <c r="H408" s="23" t="str">
        <f t="shared" si="18"/>
        <v/>
      </c>
    </row>
    <row r="409" spans="1:8">
      <c r="A409" s="21" t="str">
        <f t="shared" si="19"/>
        <v/>
      </c>
      <c r="B409" s="1" t="str">
        <f>IF(Cus!$B409&lt;&gt;"",Cus!$A409,"")</f>
        <v/>
      </c>
      <c r="C409" s="22" t="str">
        <f>IF($B409="","",Cus!$AA409)</f>
        <v/>
      </c>
      <c r="D409" s="23" t="str">
        <f>IF($B409="","",(Acc!$H409*$C409))</f>
        <v/>
      </c>
      <c r="E409" s="24">
        <f>IF(C409&lt;=CommissionDD!$E$3,CommissionDD!$C$3,IF(C409&lt;=CommissionDD!$E$4,CommissionDD!$C$4,IF(C409&lt;=CommissionDD!$E$5,CommissionDD!$C$5,IF(C409&lt;=CommissionDD!$E$6,CommissionDD!$C$6,IF(C409&lt;=CommissionDD!$E$7,CommissionDD!$C$7,IF(C409&lt;=CommissionDD!$E$8,CommissionDD!$C$8,CommissionDD!$C$9))))))</f>
        <v>0.03</v>
      </c>
      <c r="F409" s="23" t="str">
        <f t="shared" si="20"/>
        <v/>
      </c>
      <c r="G409" s="23" t="str">
        <f>IF($B409="","",(Acc!$F409*CommissionDD!$C$30))</f>
        <v/>
      </c>
      <c r="H409" s="23" t="str">
        <f t="shared" si="18"/>
        <v/>
      </c>
    </row>
    <row r="410" spans="1:8">
      <c r="A410" s="21" t="str">
        <f t="shared" si="19"/>
        <v/>
      </c>
      <c r="B410" s="1" t="str">
        <f>IF(Cus!$B410&lt;&gt;"",Cus!$A410,"")</f>
        <v/>
      </c>
      <c r="C410" s="22" t="str">
        <f>IF($B410="","",Cus!$AA410)</f>
        <v/>
      </c>
      <c r="D410" s="23" t="str">
        <f>IF($B410="","",(Acc!$H410*$C410))</f>
        <v/>
      </c>
      <c r="E410" s="24">
        <f>IF(C410&lt;=CommissionDD!$E$3,CommissionDD!$C$3,IF(C410&lt;=CommissionDD!$E$4,CommissionDD!$C$4,IF(C410&lt;=CommissionDD!$E$5,CommissionDD!$C$5,IF(C410&lt;=CommissionDD!$E$6,CommissionDD!$C$6,IF(C410&lt;=CommissionDD!$E$7,CommissionDD!$C$7,IF(C410&lt;=CommissionDD!$E$8,CommissionDD!$C$8,CommissionDD!$C$9))))))</f>
        <v>0.03</v>
      </c>
      <c r="F410" s="23" t="str">
        <f t="shared" si="20"/>
        <v/>
      </c>
      <c r="G410" s="23" t="str">
        <f>IF($B410="","",(Acc!$F410*CommissionDD!$C$30))</f>
        <v/>
      </c>
      <c r="H410" s="23" t="str">
        <f t="shared" si="18"/>
        <v/>
      </c>
    </row>
    <row r="411" spans="1:8">
      <c r="A411" s="21" t="str">
        <f t="shared" si="19"/>
        <v/>
      </c>
      <c r="B411" s="1" t="str">
        <f>IF(Cus!$B411&lt;&gt;"",Cus!$A411,"")</f>
        <v/>
      </c>
      <c r="C411" s="22" t="str">
        <f>IF($B411="","",Cus!$AA411)</f>
        <v/>
      </c>
      <c r="D411" s="23" t="str">
        <f>IF($B411="","",(Acc!$H411*$C411))</f>
        <v/>
      </c>
      <c r="E411" s="24">
        <f>IF(C411&lt;=CommissionDD!$E$3,CommissionDD!$C$3,IF(C411&lt;=CommissionDD!$E$4,CommissionDD!$C$4,IF(C411&lt;=CommissionDD!$E$5,CommissionDD!$C$5,IF(C411&lt;=CommissionDD!$E$6,CommissionDD!$C$6,IF(C411&lt;=CommissionDD!$E$7,CommissionDD!$C$7,IF(C411&lt;=CommissionDD!$E$8,CommissionDD!$C$8,CommissionDD!$C$9))))))</f>
        <v>0.03</v>
      </c>
      <c r="F411" s="23" t="str">
        <f t="shared" si="20"/>
        <v/>
      </c>
      <c r="G411" s="23" t="str">
        <f>IF($B411="","",(Acc!$F411*CommissionDD!$C$30))</f>
        <v/>
      </c>
      <c r="H411" s="23" t="str">
        <f t="shared" si="18"/>
        <v/>
      </c>
    </row>
    <row r="412" spans="1:8">
      <c r="A412" s="21" t="str">
        <f t="shared" si="19"/>
        <v/>
      </c>
      <c r="B412" s="1" t="str">
        <f>IF(Cus!$B412&lt;&gt;"",Cus!$A412,"")</f>
        <v/>
      </c>
      <c r="C412" s="22" t="str">
        <f>IF($B412="","",Cus!$AA412)</f>
        <v/>
      </c>
      <c r="D412" s="23" t="str">
        <f>IF($B412="","",(Acc!$H412*$C412))</f>
        <v/>
      </c>
      <c r="E412" s="24">
        <f>IF(C412&lt;=CommissionDD!$E$3,CommissionDD!$C$3,IF(C412&lt;=CommissionDD!$E$4,CommissionDD!$C$4,IF(C412&lt;=CommissionDD!$E$5,CommissionDD!$C$5,IF(C412&lt;=CommissionDD!$E$6,CommissionDD!$C$6,IF(C412&lt;=CommissionDD!$E$7,CommissionDD!$C$7,IF(C412&lt;=CommissionDD!$E$8,CommissionDD!$C$8,CommissionDD!$C$9))))))</f>
        <v>0.03</v>
      </c>
      <c r="F412" s="23" t="str">
        <f t="shared" si="20"/>
        <v/>
      </c>
      <c r="G412" s="23" t="str">
        <f>IF($B412="","",(Acc!$F412*CommissionDD!$C$30))</f>
        <v/>
      </c>
      <c r="H412" s="23" t="str">
        <f t="shared" si="18"/>
        <v/>
      </c>
    </row>
    <row r="413" spans="1:8">
      <c r="A413" s="21" t="str">
        <f t="shared" si="19"/>
        <v/>
      </c>
      <c r="B413" s="1" t="str">
        <f>IF(Cus!$B413&lt;&gt;"",Cus!$A413,"")</f>
        <v/>
      </c>
      <c r="C413" s="22" t="str">
        <f>IF($B413="","",Cus!$AA413)</f>
        <v/>
      </c>
      <c r="D413" s="23" t="str">
        <f>IF($B413="","",(Acc!$H413*$C413))</f>
        <v/>
      </c>
      <c r="E413" s="24">
        <f>IF(C413&lt;=CommissionDD!$E$3,CommissionDD!$C$3,IF(C413&lt;=CommissionDD!$E$4,CommissionDD!$C$4,IF(C413&lt;=CommissionDD!$E$5,CommissionDD!$C$5,IF(C413&lt;=CommissionDD!$E$6,CommissionDD!$C$6,IF(C413&lt;=CommissionDD!$E$7,CommissionDD!$C$7,IF(C413&lt;=CommissionDD!$E$8,CommissionDD!$C$8,CommissionDD!$C$9))))))</f>
        <v>0.03</v>
      </c>
      <c r="F413" s="23" t="str">
        <f t="shared" si="20"/>
        <v/>
      </c>
      <c r="G413" s="23" t="str">
        <f>IF($B413="","",(Acc!$F413*CommissionDD!$C$30))</f>
        <v/>
      </c>
      <c r="H413" s="23" t="str">
        <f t="shared" si="18"/>
        <v/>
      </c>
    </row>
    <row r="414" spans="1:8">
      <c r="A414" s="21" t="str">
        <f t="shared" si="19"/>
        <v/>
      </c>
      <c r="B414" s="1" t="str">
        <f>IF(Cus!$B414&lt;&gt;"",Cus!$A414,"")</f>
        <v/>
      </c>
      <c r="C414" s="22" t="str">
        <f>IF($B414="","",Cus!$AA414)</f>
        <v/>
      </c>
      <c r="D414" s="23" t="str">
        <f>IF($B414="","",(Acc!$H414*$C414))</f>
        <v/>
      </c>
      <c r="E414" s="24">
        <f>IF(C414&lt;=CommissionDD!$E$3,CommissionDD!$C$3,IF(C414&lt;=CommissionDD!$E$4,CommissionDD!$C$4,IF(C414&lt;=CommissionDD!$E$5,CommissionDD!$C$5,IF(C414&lt;=CommissionDD!$E$6,CommissionDD!$C$6,IF(C414&lt;=CommissionDD!$E$7,CommissionDD!$C$7,IF(C414&lt;=CommissionDD!$E$8,CommissionDD!$C$8,CommissionDD!$C$9))))))</f>
        <v>0.03</v>
      </c>
      <c r="F414" s="23" t="str">
        <f t="shared" si="20"/>
        <v/>
      </c>
      <c r="G414" s="23" t="str">
        <f>IF($B414="","",(Acc!$F414*CommissionDD!$C$30))</f>
        <v/>
      </c>
      <c r="H414" s="23" t="str">
        <f t="shared" si="18"/>
        <v/>
      </c>
    </row>
    <row r="415" spans="1:8">
      <c r="A415" s="21" t="str">
        <f t="shared" si="19"/>
        <v/>
      </c>
      <c r="B415" s="1" t="str">
        <f>IF(Cus!$B415&lt;&gt;"",Cus!$A415,"")</f>
        <v/>
      </c>
      <c r="C415" s="22" t="str">
        <f>IF($B415="","",Cus!$AA415)</f>
        <v/>
      </c>
      <c r="D415" s="23" t="str">
        <f>IF($B415="","",(Acc!$H415*$C415))</f>
        <v/>
      </c>
      <c r="E415" s="24">
        <f>IF(C415&lt;=CommissionDD!$E$3,CommissionDD!$C$3,IF(C415&lt;=CommissionDD!$E$4,CommissionDD!$C$4,IF(C415&lt;=CommissionDD!$E$5,CommissionDD!$C$5,IF(C415&lt;=CommissionDD!$E$6,CommissionDD!$C$6,IF(C415&lt;=CommissionDD!$E$7,CommissionDD!$C$7,IF(C415&lt;=CommissionDD!$E$8,CommissionDD!$C$8,CommissionDD!$C$9))))))</f>
        <v>0.03</v>
      </c>
      <c r="F415" s="23" t="str">
        <f t="shared" si="20"/>
        <v/>
      </c>
      <c r="G415" s="23" t="str">
        <f>IF($B415="","",(Acc!$F415*CommissionDD!$C$30))</f>
        <v/>
      </c>
      <c r="H415" s="23" t="str">
        <f t="shared" si="18"/>
        <v/>
      </c>
    </row>
    <row r="416" spans="1:8">
      <c r="A416" s="21" t="str">
        <f t="shared" si="19"/>
        <v/>
      </c>
      <c r="B416" s="1" t="str">
        <f>IF(Cus!$B416&lt;&gt;"",Cus!$A416,"")</f>
        <v/>
      </c>
      <c r="C416" s="22" t="str">
        <f>IF($B416="","",Cus!$AA416)</f>
        <v/>
      </c>
      <c r="D416" s="23" t="str">
        <f>IF($B416="","",(Acc!$H416*$C416))</f>
        <v/>
      </c>
      <c r="E416" s="24">
        <f>IF(C416&lt;=CommissionDD!$E$3,CommissionDD!$C$3,IF(C416&lt;=CommissionDD!$E$4,CommissionDD!$C$4,IF(C416&lt;=CommissionDD!$E$5,CommissionDD!$C$5,IF(C416&lt;=CommissionDD!$E$6,CommissionDD!$C$6,IF(C416&lt;=CommissionDD!$E$7,CommissionDD!$C$7,IF(C416&lt;=CommissionDD!$E$8,CommissionDD!$C$8,CommissionDD!$C$9))))))</f>
        <v>0.03</v>
      </c>
      <c r="F416" s="23" t="str">
        <f t="shared" si="20"/>
        <v/>
      </c>
      <c r="G416" s="23" t="str">
        <f>IF($B416="","",(Acc!$F416*CommissionDD!$C$30))</f>
        <v/>
      </c>
      <c r="H416" s="23" t="str">
        <f t="shared" si="18"/>
        <v/>
      </c>
    </row>
    <row r="417" spans="1:8">
      <c r="A417" s="21" t="str">
        <f t="shared" si="19"/>
        <v/>
      </c>
      <c r="B417" s="1" t="str">
        <f>IF(Cus!$B417&lt;&gt;"",Cus!$A417,"")</f>
        <v/>
      </c>
      <c r="C417" s="22" t="str">
        <f>IF($B417="","",Cus!$AA417)</f>
        <v/>
      </c>
      <c r="D417" s="23" t="str">
        <f>IF($B417="","",(Acc!$H417*$C417))</f>
        <v/>
      </c>
      <c r="E417" s="24">
        <f>IF(C417&lt;=CommissionDD!$E$3,CommissionDD!$C$3,IF(C417&lt;=CommissionDD!$E$4,CommissionDD!$C$4,IF(C417&lt;=CommissionDD!$E$5,CommissionDD!$C$5,IF(C417&lt;=CommissionDD!$E$6,CommissionDD!$C$6,IF(C417&lt;=CommissionDD!$E$7,CommissionDD!$C$7,IF(C417&lt;=CommissionDD!$E$8,CommissionDD!$C$8,CommissionDD!$C$9))))))</f>
        <v>0.03</v>
      </c>
      <c r="F417" s="23" t="str">
        <f t="shared" si="20"/>
        <v/>
      </c>
      <c r="G417" s="23" t="str">
        <f>IF($B417="","",(Acc!$F417*CommissionDD!$C$30))</f>
        <v/>
      </c>
      <c r="H417" s="23" t="str">
        <f t="shared" si="18"/>
        <v/>
      </c>
    </row>
    <row r="418" spans="1:8">
      <c r="A418" s="21" t="str">
        <f t="shared" si="19"/>
        <v/>
      </c>
      <c r="B418" s="1" t="str">
        <f>IF(Cus!$B418&lt;&gt;"",Cus!$A418,"")</f>
        <v/>
      </c>
      <c r="C418" s="22" t="str">
        <f>IF($B418="","",Cus!$AA418)</f>
        <v/>
      </c>
      <c r="D418" s="23" t="str">
        <f>IF($B418="","",(Acc!$H418*$C418))</f>
        <v/>
      </c>
      <c r="E418" s="24">
        <f>IF(C418&lt;=CommissionDD!$E$3,CommissionDD!$C$3,IF(C418&lt;=CommissionDD!$E$4,CommissionDD!$C$4,IF(C418&lt;=CommissionDD!$E$5,CommissionDD!$C$5,IF(C418&lt;=CommissionDD!$E$6,CommissionDD!$C$6,IF(C418&lt;=CommissionDD!$E$7,CommissionDD!$C$7,IF(C418&lt;=CommissionDD!$E$8,CommissionDD!$C$8,CommissionDD!$C$9))))))</f>
        <v>0.03</v>
      </c>
      <c r="F418" s="23" t="str">
        <f t="shared" si="20"/>
        <v/>
      </c>
      <c r="G418" s="23" t="str">
        <f>IF($B418="","",(Acc!$F418*CommissionDD!$C$30))</f>
        <v/>
      </c>
      <c r="H418" s="23" t="str">
        <f t="shared" si="18"/>
        <v/>
      </c>
    </row>
    <row r="419" spans="1:8">
      <c r="A419" s="21" t="str">
        <f t="shared" si="19"/>
        <v/>
      </c>
      <c r="B419" s="1" t="str">
        <f>IF(Cus!$B419&lt;&gt;"",Cus!$A419,"")</f>
        <v/>
      </c>
      <c r="C419" s="22" t="str">
        <f>IF($B419="","",Cus!$AA419)</f>
        <v/>
      </c>
      <c r="D419" s="23" t="str">
        <f>IF($B419="","",(Acc!$H419*$C419))</f>
        <v/>
      </c>
      <c r="E419" s="24">
        <f>IF(C419&lt;=CommissionDD!$E$3,CommissionDD!$C$3,IF(C419&lt;=CommissionDD!$E$4,CommissionDD!$C$4,IF(C419&lt;=CommissionDD!$E$5,CommissionDD!$C$5,IF(C419&lt;=CommissionDD!$E$6,CommissionDD!$C$6,IF(C419&lt;=CommissionDD!$E$7,CommissionDD!$C$7,IF(C419&lt;=CommissionDD!$E$8,CommissionDD!$C$8,CommissionDD!$C$9))))))</f>
        <v>0.03</v>
      </c>
      <c r="F419" s="23" t="str">
        <f t="shared" si="20"/>
        <v/>
      </c>
      <c r="G419" s="23" t="str">
        <f>IF($B419="","",(Acc!$F419*CommissionDD!$C$30))</f>
        <v/>
      </c>
      <c r="H419" s="23" t="str">
        <f t="shared" si="18"/>
        <v/>
      </c>
    </row>
    <row r="420" spans="1:8">
      <c r="A420" s="21" t="str">
        <f t="shared" si="19"/>
        <v/>
      </c>
      <c r="B420" s="1" t="str">
        <f>IF(Cus!$B420&lt;&gt;"",Cus!$A420,"")</f>
        <v/>
      </c>
      <c r="C420" s="22" t="str">
        <f>IF($B420="","",Cus!$AA420)</f>
        <v/>
      </c>
      <c r="D420" s="23" t="str">
        <f>IF($B420="","",(Acc!$H420*$C420))</f>
        <v/>
      </c>
      <c r="E420" s="24">
        <f>IF(C420&lt;=CommissionDD!$E$3,CommissionDD!$C$3,IF(C420&lt;=CommissionDD!$E$4,CommissionDD!$C$4,IF(C420&lt;=CommissionDD!$E$5,CommissionDD!$C$5,IF(C420&lt;=CommissionDD!$E$6,CommissionDD!$C$6,IF(C420&lt;=CommissionDD!$E$7,CommissionDD!$C$7,IF(C420&lt;=CommissionDD!$E$8,CommissionDD!$C$8,CommissionDD!$C$9))))))</f>
        <v>0.03</v>
      </c>
      <c r="F420" s="23" t="str">
        <f t="shared" si="20"/>
        <v/>
      </c>
      <c r="G420" s="23" t="str">
        <f>IF($B420="","",(Acc!$F420*CommissionDD!$C$30))</f>
        <v/>
      </c>
      <c r="H420" s="23" t="str">
        <f t="shared" si="18"/>
        <v/>
      </c>
    </row>
    <row r="421" spans="1:8">
      <c r="A421" s="21" t="str">
        <f t="shared" si="19"/>
        <v/>
      </c>
      <c r="B421" s="1" t="str">
        <f>IF(Cus!$B421&lt;&gt;"",Cus!$A421,"")</f>
        <v/>
      </c>
      <c r="C421" s="22" t="str">
        <f>IF($B421="","",Cus!$AA421)</f>
        <v/>
      </c>
      <c r="D421" s="23" t="str">
        <f>IF($B421="","",(Acc!$H421*$C421))</f>
        <v/>
      </c>
      <c r="E421" s="24">
        <f>IF(C421&lt;=CommissionDD!$E$3,CommissionDD!$C$3,IF(C421&lt;=CommissionDD!$E$4,CommissionDD!$C$4,IF(C421&lt;=CommissionDD!$E$5,CommissionDD!$C$5,IF(C421&lt;=CommissionDD!$E$6,CommissionDD!$C$6,IF(C421&lt;=CommissionDD!$E$7,CommissionDD!$C$7,IF(C421&lt;=CommissionDD!$E$8,CommissionDD!$C$8,CommissionDD!$C$9))))))</f>
        <v>0.03</v>
      </c>
      <c r="F421" s="23" t="str">
        <f t="shared" si="20"/>
        <v/>
      </c>
      <c r="G421" s="23" t="str">
        <f>IF($B421="","",(Acc!$F421*CommissionDD!$C$30))</f>
        <v/>
      </c>
      <c r="H421" s="23" t="str">
        <f t="shared" si="18"/>
        <v/>
      </c>
    </row>
    <row r="422" spans="1:8">
      <c r="A422" s="21" t="str">
        <f t="shared" si="19"/>
        <v/>
      </c>
      <c r="B422" s="1" t="str">
        <f>IF(Cus!$B422&lt;&gt;"",Cus!$A422,"")</f>
        <v/>
      </c>
      <c r="C422" s="22" t="str">
        <f>IF($B422="","",Cus!$AA422)</f>
        <v/>
      </c>
      <c r="D422" s="23" t="str">
        <f>IF($B422="","",(Acc!$H422*$C422))</f>
        <v/>
      </c>
      <c r="E422" s="24">
        <f>IF(C422&lt;=CommissionDD!$E$3,CommissionDD!$C$3,IF(C422&lt;=CommissionDD!$E$4,CommissionDD!$C$4,IF(C422&lt;=CommissionDD!$E$5,CommissionDD!$C$5,IF(C422&lt;=CommissionDD!$E$6,CommissionDD!$C$6,IF(C422&lt;=CommissionDD!$E$7,CommissionDD!$C$7,IF(C422&lt;=CommissionDD!$E$8,CommissionDD!$C$8,CommissionDD!$C$9))))))</f>
        <v>0.03</v>
      </c>
      <c r="F422" s="23" t="str">
        <f t="shared" si="20"/>
        <v/>
      </c>
      <c r="G422" s="23" t="str">
        <f>IF($B422="","",(Acc!$F422*CommissionDD!$C$30))</f>
        <v/>
      </c>
      <c r="H422" s="23" t="str">
        <f t="shared" si="18"/>
        <v/>
      </c>
    </row>
    <row r="423" spans="1:8">
      <c r="A423" s="21" t="str">
        <f t="shared" si="19"/>
        <v/>
      </c>
      <c r="B423" s="1" t="str">
        <f>IF(Cus!$B423&lt;&gt;"",Cus!$A423,"")</f>
        <v/>
      </c>
      <c r="C423" s="22" t="str">
        <f>IF($B423="","",Cus!$AA423)</f>
        <v/>
      </c>
      <c r="D423" s="23" t="str">
        <f>IF($B423="","",(Acc!$H423*$C423))</f>
        <v/>
      </c>
      <c r="E423" s="24">
        <f>IF(C423&lt;=CommissionDD!$E$3,CommissionDD!$C$3,IF(C423&lt;=CommissionDD!$E$4,CommissionDD!$C$4,IF(C423&lt;=CommissionDD!$E$5,CommissionDD!$C$5,IF(C423&lt;=CommissionDD!$E$6,CommissionDD!$C$6,IF(C423&lt;=CommissionDD!$E$7,CommissionDD!$C$7,IF(C423&lt;=CommissionDD!$E$8,CommissionDD!$C$8,CommissionDD!$C$9))))))</f>
        <v>0.03</v>
      </c>
      <c r="F423" s="23" t="str">
        <f t="shared" si="20"/>
        <v/>
      </c>
      <c r="G423" s="23" t="str">
        <f>IF($B423="","",(Acc!$F423*CommissionDD!$C$30))</f>
        <v/>
      </c>
      <c r="H423" s="23" t="str">
        <f t="shared" si="18"/>
        <v/>
      </c>
    </row>
    <row r="424" spans="1:8">
      <c r="A424" s="21" t="str">
        <f t="shared" si="19"/>
        <v/>
      </c>
      <c r="B424" s="1" t="str">
        <f>IF(Cus!$B424&lt;&gt;"",Cus!$A424,"")</f>
        <v/>
      </c>
      <c r="C424" s="22" t="str">
        <f>IF($B424="","",Cus!$AA424)</f>
        <v/>
      </c>
      <c r="D424" s="23" t="str">
        <f>IF($B424="","",(Acc!$H424*$C424))</f>
        <v/>
      </c>
      <c r="E424" s="24">
        <f>IF(C424&lt;=CommissionDD!$E$3,CommissionDD!$C$3,IF(C424&lt;=CommissionDD!$E$4,CommissionDD!$C$4,IF(C424&lt;=CommissionDD!$E$5,CommissionDD!$C$5,IF(C424&lt;=CommissionDD!$E$6,CommissionDD!$C$6,IF(C424&lt;=CommissionDD!$E$7,CommissionDD!$C$7,IF(C424&lt;=CommissionDD!$E$8,CommissionDD!$C$8,CommissionDD!$C$9))))))</f>
        <v>0.03</v>
      </c>
      <c r="F424" s="23" t="str">
        <f t="shared" si="20"/>
        <v/>
      </c>
      <c r="G424" s="23" t="str">
        <f>IF($B424="","",(Acc!$F424*CommissionDD!$C$30))</f>
        <v/>
      </c>
      <c r="H424" s="23" t="str">
        <f t="shared" si="18"/>
        <v/>
      </c>
    </row>
    <row r="425" spans="1:8">
      <c r="A425" s="21" t="str">
        <f t="shared" si="19"/>
        <v/>
      </c>
      <c r="B425" s="1" t="str">
        <f>IF(Cus!$B425&lt;&gt;"",Cus!$A425,"")</f>
        <v/>
      </c>
      <c r="C425" s="22" t="str">
        <f>IF($B425="","",Cus!$AA425)</f>
        <v/>
      </c>
      <c r="D425" s="23" t="str">
        <f>IF($B425="","",(Acc!$H425*$C425))</f>
        <v/>
      </c>
      <c r="E425" s="24">
        <f>IF(C425&lt;=CommissionDD!$E$3,CommissionDD!$C$3,IF(C425&lt;=CommissionDD!$E$4,CommissionDD!$C$4,IF(C425&lt;=CommissionDD!$E$5,CommissionDD!$C$5,IF(C425&lt;=CommissionDD!$E$6,CommissionDD!$C$6,IF(C425&lt;=CommissionDD!$E$7,CommissionDD!$C$7,IF(C425&lt;=CommissionDD!$E$8,CommissionDD!$C$8,CommissionDD!$C$9))))))</f>
        <v>0.03</v>
      </c>
      <c r="F425" s="23" t="str">
        <f t="shared" si="20"/>
        <v/>
      </c>
      <c r="G425" s="23" t="str">
        <f>IF($B425="","",(Acc!$F425*CommissionDD!$C$30))</f>
        <v/>
      </c>
      <c r="H425" s="23" t="str">
        <f t="shared" si="18"/>
        <v/>
      </c>
    </row>
    <row r="426" spans="1:8">
      <c r="A426" s="21" t="str">
        <f t="shared" si="19"/>
        <v/>
      </c>
      <c r="B426" s="1" t="str">
        <f>IF(Cus!$B426&lt;&gt;"",Cus!$A426,"")</f>
        <v/>
      </c>
      <c r="C426" s="22" t="str">
        <f>IF($B426="","",Cus!$AA426)</f>
        <v/>
      </c>
      <c r="D426" s="23" t="str">
        <f>IF($B426="","",(Acc!$H426*$C426))</f>
        <v/>
      </c>
      <c r="E426" s="24">
        <f>IF(C426&lt;=CommissionDD!$E$3,CommissionDD!$C$3,IF(C426&lt;=CommissionDD!$E$4,CommissionDD!$C$4,IF(C426&lt;=CommissionDD!$E$5,CommissionDD!$C$5,IF(C426&lt;=CommissionDD!$E$6,CommissionDD!$C$6,IF(C426&lt;=CommissionDD!$E$7,CommissionDD!$C$7,IF(C426&lt;=CommissionDD!$E$8,CommissionDD!$C$8,CommissionDD!$C$9))))))</f>
        <v>0.03</v>
      </c>
      <c r="F426" s="23" t="str">
        <f t="shared" si="20"/>
        <v/>
      </c>
      <c r="G426" s="23" t="str">
        <f>IF($B426="","",(Acc!$F426*CommissionDD!$C$30))</f>
        <v/>
      </c>
      <c r="H426" s="23" t="str">
        <f t="shared" si="18"/>
        <v/>
      </c>
    </row>
    <row r="427" spans="1:8">
      <c r="A427" s="21" t="str">
        <f t="shared" si="19"/>
        <v/>
      </c>
      <c r="B427" s="1" t="str">
        <f>IF(Cus!$B427&lt;&gt;"",Cus!$A427,"")</f>
        <v/>
      </c>
      <c r="C427" s="22" t="str">
        <f>IF($B427="","",Cus!$AA427)</f>
        <v/>
      </c>
      <c r="D427" s="23" t="str">
        <f>IF($B427="","",(Acc!$H427*$C427))</f>
        <v/>
      </c>
      <c r="E427" s="24">
        <f>IF(C427&lt;=CommissionDD!$E$3,CommissionDD!$C$3,IF(C427&lt;=CommissionDD!$E$4,CommissionDD!$C$4,IF(C427&lt;=CommissionDD!$E$5,CommissionDD!$C$5,IF(C427&lt;=CommissionDD!$E$6,CommissionDD!$C$6,IF(C427&lt;=CommissionDD!$E$7,CommissionDD!$C$7,IF(C427&lt;=CommissionDD!$E$8,CommissionDD!$C$8,CommissionDD!$C$9))))))</f>
        <v>0.03</v>
      </c>
      <c r="F427" s="23" t="str">
        <f t="shared" si="20"/>
        <v/>
      </c>
      <c r="G427" s="23" t="str">
        <f>IF($B427="","",(Acc!$F427*CommissionDD!$C$30))</f>
        <v/>
      </c>
      <c r="H427" s="23" t="str">
        <f t="shared" si="18"/>
        <v/>
      </c>
    </row>
    <row r="428" spans="1:8">
      <c r="A428" s="21" t="str">
        <f t="shared" si="19"/>
        <v/>
      </c>
      <c r="B428" s="1" t="str">
        <f>IF(Cus!$B428&lt;&gt;"",Cus!$A428,"")</f>
        <v/>
      </c>
      <c r="C428" s="22" t="str">
        <f>IF($B428="","",Cus!$AA428)</f>
        <v/>
      </c>
      <c r="D428" s="23" t="str">
        <f>IF($B428="","",(Acc!$H428*$C428))</f>
        <v/>
      </c>
      <c r="E428" s="24">
        <f>IF(C428&lt;=CommissionDD!$E$3,CommissionDD!$C$3,IF(C428&lt;=CommissionDD!$E$4,CommissionDD!$C$4,IF(C428&lt;=CommissionDD!$E$5,CommissionDD!$C$5,IF(C428&lt;=CommissionDD!$E$6,CommissionDD!$C$6,IF(C428&lt;=CommissionDD!$E$7,CommissionDD!$C$7,IF(C428&lt;=CommissionDD!$E$8,CommissionDD!$C$8,CommissionDD!$C$9))))))</f>
        <v>0.03</v>
      </c>
      <c r="F428" s="23" t="str">
        <f t="shared" si="20"/>
        <v/>
      </c>
      <c r="G428" s="23" t="str">
        <f>IF($B428="","",(Acc!$F428*CommissionDD!$C$30))</f>
        <v/>
      </c>
      <c r="H428" s="23" t="str">
        <f t="shared" si="18"/>
        <v/>
      </c>
    </row>
    <row r="429" spans="1:8">
      <c r="A429" s="21" t="str">
        <f t="shared" si="19"/>
        <v/>
      </c>
      <c r="B429" s="1" t="str">
        <f>IF(Cus!$B429&lt;&gt;"",Cus!$A429,"")</f>
        <v/>
      </c>
      <c r="C429" s="22" t="str">
        <f>IF($B429="","",Cus!$AA429)</f>
        <v/>
      </c>
      <c r="D429" s="23" t="str">
        <f>IF($B429="","",(Acc!$H429*$C429))</f>
        <v/>
      </c>
      <c r="E429" s="24">
        <f>IF(C429&lt;=CommissionDD!$E$3,CommissionDD!$C$3,IF(C429&lt;=CommissionDD!$E$4,CommissionDD!$C$4,IF(C429&lt;=CommissionDD!$E$5,CommissionDD!$C$5,IF(C429&lt;=CommissionDD!$E$6,CommissionDD!$C$6,IF(C429&lt;=CommissionDD!$E$7,CommissionDD!$C$7,IF(C429&lt;=CommissionDD!$E$8,CommissionDD!$C$8,CommissionDD!$C$9))))))</f>
        <v>0.03</v>
      </c>
      <c r="F429" s="23" t="str">
        <f t="shared" si="20"/>
        <v/>
      </c>
      <c r="G429" s="23" t="str">
        <f>IF($B429="","",(Acc!$F429*CommissionDD!$C$30))</f>
        <v/>
      </c>
      <c r="H429" s="23" t="str">
        <f t="shared" si="18"/>
        <v/>
      </c>
    </row>
    <row r="430" spans="1:8">
      <c r="A430" s="21" t="str">
        <f t="shared" si="19"/>
        <v/>
      </c>
      <c r="B430" s="1" t="str">
        <f>IF(Cus!$B430&lt;&gt;"",Cus!$A430,"")</f>
        <v/>
      </c>
      <c r="C430" s="22" t="str">
        <f>IF($B430="","",Cus!$AA430)</f>
        <v/>
      </c>
      <c r="D430" s="23" t="str">
        <f>IF($B430="","",(Acc!$H430*$C430))</f>
        <v/>
      </c>
      <c r="E430" s="24">
        <f>IF(C430&lt;=CommissionDD!$E$3,CommissionDD!$C$3,IF(C430&lt;=CommissionDD!$E$4,CommissionDD!$C$4,IF(C430&lt;=CommissionDD!$E$5,CommissionDD!$C$5,IF(C430&lt;=CommissionDD!$E$6,CommissionDD!$C$6,IF(C430&lt;=CommissionDD!$E$7,CommissionDD!$C$7,IF(C430&lt;=CommissionDD!$E$8,CommissionDD!$C$8,CommissionDD!$C$9))))))</f>
        <v>0.03</v>
      </c>
      <c r="F430" s="23" t="str">
        <f t="shared" si="20"/>
        <v/>
      </c>
      <c r="G430" s="23" t="str">
        <f>IF($B430="","",(Acc!$F430*CommissionDD!$C$30))</f>
        <v/>
      </c>
      <c r="H430" s="23" t="str">
        <f t="shared" si="18"/>
        <v/>
      </c>
    </row>
    <row r="431" spans="1:8">
      <c r="A431" s="21" t="str">
        <f t="shared" si="19"/>
        <v/>
      </c>
      <c r="B431" s="1" t="str">
        <f>IF(Cus!$B431&lt;&gt;"",Cus!$A431,"")</f>
        <v/>
      </c>
      <c r="C431" s="22" t="str">
        <f>IF($B431="","",Cus!$AA431)</f>
        <v/>
      </c>
      <c r="D431" s="23" t="str">
        <f>IF($B431="","",(Acc!$H431*$C431))</f>
        <v/>
      </c>
      <c r="E431" s="24">
        <f>IF(C431&lt;=CommissionDD!$E$3,CommissionDD!$C$3,IF(C431&lt;=CommissionDD!$E$4,CommissionDD!$C$4,IF(C431&lt;=CommissionDD!$E$5,CommissionDD!$C$5,IF(C431&lt;=CommissionDD!$E$6,CommissionDD!$C$6,IF(C431&lt;=CommissionDD!$E$7,CommissionDD!$C$7,IF(C431&lt;=CommissionDD!$E$8,CommissionDD!$C$8,CommissionDD!$C$9))))))</f>
        <v>0.03</v>
      </c>
      <c r="F431" s="23" t="str">
        <f t="shared" si="20"/>
        <v/>
      </c>
      <c r="G431" s="23" t="str">
        <f>IF($B431="","",(Acc!$F431*CommissionDD!$C$30))</f>
        <v/>
      </c>
      <c r="H431" s="23" t="str">
        <f t="shared" si="18"/>
        <v/>
      </c>
    </row>
    <row r="432" spans="1:8">
      <c r="A432" s="21" t="str">
        <f t="shared" si="19"/>
        <v/>
      </c>
      <c r="B432" s="1" t="str">
        <f>IF(Cus!$B432&lt;&gt;"",Cus!$A432,"")</f>
        <v/>
      </c>
      <c r="C432" s="22" t="str">
        <f>IF($B432="","",Cus!$AA432)</f>
        <v/>
      </c>
      <c r="D432" s="23" t="str">
        <f>IF($B432="","",(Acc!$H432*$C432))</f>
        <v/>
      </c>
      <c r="E432" s="24">
        <f>IF(C432&lt;=CommissionDD!$E$3,CommissionDD!$C$3,IF(C432&lt;=CommissionDD!$E$4,CommissionDD!$C$4,IF(C432&lt;=CommissionDD!$E$5,CommissionDD!$C$5,IF(C432&lt;=CommissionDD!$E$6,CommissionDD!$C$6,IF(C432&lt;=CommissionDD!$E$7,CommissionDD!$C$7,IF(C432&lt;=CommissionDD!$E$8,CommissionDD!$C$8,CommissionDD!$C$9))))))</f>
        <v>0.03</v>
      </c>
      <c r="F432" s="23" t="str">
        <f t="shared" si="20"/>
        <v/>
      </c>
      <c r="G432" s="23" t="str">
        <f>IF($B432="","",(Acc!$F432*CommissionDD!$C$30))</f>
        <v/>
      </c>
      <c r="H432" s="23" t="str">
        <f t="shared" si="18"/>
        <v/>
      </c>
    </row>
    <row r="433" spans="1:8">
      <c r="A433" s="21" t="str">
        <f t="shared" si="19"/>
        <v/>
      </c>
      <c r="B433" s="1" t="str">
        <f>IF(Cus!$B433&lt;&gt;"",Cus!$A433,"")</f>
        <v/>
      </c>
      <c r="C433" s="22" t="str">
        <f>IF($B433="","",Cus!$AA433)</f>
        <v/>
      </c>
      <c r="D433" s="23" t="str">
        <f>IF($B433="","",(Acc!$H433*$C433))</f>
        <v/>
      </c>
      <c r="E433" s="24">
        <f>IF(C433&lt;=CommissionDD!$E$3,CommissionDD!$C$3,IF(C433&lt;=CommissionDD!$E$4,CommissionDD!$C$4,IF(C433&lt;=CommissionDD!$E$5,CommissionDD!$C$5,IF(C433&lt;=CommissionDD!$E$6,CommissionDD!$C$6,IF(C433&lt;=CommissionDD!$E$7,CommissionDD!$C$7,IF(C433&lt;=CommissionDD!$E$8,CommissionDD!$C$8,CommissionDD!$C$9))))))</f>
        <v>0.03</v>
      </c>
      <c r="F433" s="23" t="str">
        <f t="shared" si="20"/>
        <v/>
      </c>
      <c r="G433" s="23" t="str">
        <f>IF($B433="","",(Acc!$F433*CommissionDD!$C$30))</f>
        <v/>
      </c>
      <c r="H433" s="23" t="str">
        <f t="shared" si="18"/>
        <v/>
      </c>
    </row>
    <row r="434" spans="1:8">
      <c r="A434" s="21" t="str">
        <f t="shared" si="19"/>
        <v/>
      </c>
      <c r="B434" s="1" t="str">
        <f>IF(Cus!$B434&lt;&gt;"",Cus!$A434,"")</f>
        <v/>
      </c>
      <c r="C434" s="22" t="str">
        <f>IF($B434="","",Cus!$AA434)</f>
        <v/>
      </c>
      <c r="D434" s="23" t="str">
        <f>IF($B434="","",(Acc!$H434*$C434))</f>
        <v/>
      </c>
      <c r="E434" s="24">
        <f>IF(C434&lt;=CommissionDD!$E$3,CommissionDD!$C$3,IF(C434&lt;=CommissionDD!$E$4,CommissionDD!$C$4,IF(C434&lt;=CommissionDD!$E$5,CommissionDD!$C$5,IF(C434&lt;=CommissionDD!$E$6,CommissionDD!$C$6,IF(C434&lt;=CommissionDD!$E$7,CommissionDD!$C$7,IF(C434&lt;=CommissionDD!$E$8,CommissionDD!$C$8,CommissionDD!$C$9))))))</f>
        <v>0.03</v>
      </c>
      <c r="F434" s="23" t="str">
        <f t="shared" si="20"/>
        <v/>
      </c>
      <c r="G434" s="23" t="str">
        <f>IF($B434="","",(Acc!$F434*CommissionDD!$C$30))</f>
        <v/>
      </c>
      <c r="H434" s="23" t="str">
        <f t="shared" si="18"/>
        <v/>
      </c>
    </row>
    <row r="435" spans="1:8">
      <c r="A435" s="21" t="str">
        <f t="shared" si="19"/>
        <v/>
      </c>
      <c r="B435" s="1" t="str">
        <f>IF(Cus!$B435&lt;&gt;"",Cus!$A435,"")</f>
        <v/>
      </c>
      <c r="C435" s="22" t="str">
        <f>IF($B435="","",Cus!$AA435)</f>
        <v/>
      </c>
      <c r="D435" s="23" t="str">
        <f>IF($B435="","",(Acc!$H435*$C435))</f>
        <v/>
      </c>
      <c r="E435" s="24">
        <f>IF(C435&lt;=CommissionDD!$E$3,CommissionDD!$C$3,IF(C435&lt;=CommissionDD!$E$4,CommissionDD!$C$4,IF(C435&lt;=CommissionDD!$E$5,CommissionDD!$C$5,IF(C435&lt;=CommissionDD!$E$6,CommissionDD!$C$6,IF(C435&lt;=CommissionDD!$E$7,CommissionDD!$C$7,IF(C435&lt;=CommissionDD!$E$8,CommissionDD!$C$8,CommissionDD!$C$9))))))</f>
        <v>0.03</v>
      </c>
      <c r="F435" s="23" t="str">
        <f t="shared" si="20"/>
        <v/>
      </c>
      <c r="G435" s="23" t="str">
        <f>IF($B435="","",(Acc!$F435*CommissionDD!$C$30))</f>
        <v/>
      </c>
      <c r="H435" s="23" t="str">
        <f t="shared" si="18"/>
        <v/>
      </c>
    </row>
    <row r="436" spans="1:8">
      <c r="A436" s="21" t="str">
        <f t="shared" si="19"/>
        <v/>
      </c>
      <c r="B436" s="1" t="str">
        <f>IF(Cus!$B436&lt;&gt;"",Cus!$A436,"")</f>
        <v/>
      </c>
      <c r="C436" s="22" t="str">
        <f>IF($B436="","",Cus!$AA436)</f>
        <v/>
      </c>
      <c r="D436" s="23" t="str">
        <f>IF($B436="","",(Acc!$H436*$C436))</f>
        <v/>
      </c>
      <c r="E436" s="24">
        <f>IF(C436&lt;=CommissionDD!$E$3,CommissionDD!$C$3,IF(C436&lt;=CommissionDD!$E$4,CommissionDD!$C$4,IF(C436&lt;=CommissionDD!$E$5,CommissionDD!$C$5,IF(C436&lt;=CommissionDD!$E$6,CommissionDD!$C$6,IF(C436&lt;=CommissionDD!$E$7,CommissionDD!$C$7,IF(C436&lt;=CommissionDD!$E$8,CommissionDD!$C$8,CommissionDD!$C$9))))))</f>
        <v>0.03</v>
      </c>
      <c r="F436" s="23" t="str">
        <f t="shared" si="20"/>
        <v/>
      </c>
      <c r="G436" s="23" t="str">
        <f>IF($B436="","",(Acc!$F436*CommissionDD!$C$30))</f>
        <v/>
      </c>
      <c r="H436" s="23" t="str">
        <f t="shared" si="18"/>
        <v/>
      </c>
    </row>
    <row r="437" spans="1:8">
      <c r="A437" s="21" t="str">
        <f t="shared" si="19"/>
        <v/>
      </c>
      <c r="B437" s="1" t="str">
        <f>IF(Cus!$B437&lt;&gt;"",Cus!$A437,"")</f>
        <v/>
      </c>
      <c r="C437" s="22" t="str">
        <f>IF($B437="","",Cus!$AA437)</f>
        <v/>
      </c>
      <c r="D437" s="23" t="str">
        <f>IF($B437="","",(Acc!$H437*$C437))</f>
        <v/>
      </c>
      <c r="E437" s="24">
        <f>IF(C437&lt;=CommissionDD!$E$3,CommissionDD!$C$3,IF(C437&lt;=CommissionDD!$E$4,CommissionDD!$C$4,IF(C437&lt;=CommissionDD!$E$5,CommissionDD!$C$5,IF(C437&lt;=CommissionDD!$E$6,CommissionDD!$C$6,IF(C437&lt;=CommissionDD!$E$7,CommissionDD!$C$7,IF(C437&lt;=CommissionDD!$E$8,CommissionDD!$C$8,CommissionDD!$C$9))))))</f>
        <v>0.03</v>
      </c>
      <c r="F437" s="23" t="str">
        <f t="shared" si="20"/>
        <v/>
      </c>
      <c r="G437" s="23" t="str">
        <f>IF($B437="","",(Acc!$F437*CommissionDD!$C$30))</f>
        <v/>
      </c>
      <c r="H437" s="23" t="str">
        <f t="shared" si="18"/>
        <v/>
      </c>
    </row>
    <row r="438" spans="1:8">
      <c r="A438" s="21" t="str">
        <f t="shared" si="19"/>
        <v/>
      </c>
      <c r="B438" s="1" t="str">
        <f>IF(Cus!$B438&lt;&gt;"",Cus!$A438,"")</f>
        <v/>
      </c>
      <c r="C438" s="22" t="str">
        <f>IF($B438="","",Cus!$AA438)</f>
        <v/>
      </c>
      <c r="D438" s="23" t="str">
        <f>IF($B438="","",(Acc!$H438*$C438))</f>
        <v/>
      </c>
      <c r="E438" s="24">
        <f>IF(C438&lt;=CommissionDD!$E$3,CommissionDD!$C$3,IF(C438&lt;=CommissionDD!$E$4,CommissionDD!$C$4,IF(C438&lt;=CommissionDD!$E$5,CommissionDD!$C$5,IF(C438&lt;=CommissionDD!$E$6,CommissionDD!$C$6,IF(C438&lt;=CommissionDD!$E$7,CommissionDD!$C$7,IF(C438&lt;=CommissionDD!$E$8,CommissionDD!$C$8,CommissionDD!$C$9))))))</f>
        <v>0.03</v>
      </c>
      <c r="F438" s="23" t="str">
        <f t="shared" si="20"/>
        <v/>
      </c>
      <c r="G438" s="23" t="str">
        <f>IF($B438="","",(Acc!$F438*CommissionDD!$C$30))</f>
        <v/>
      </c>
      <c r="H438" s="23" t="str">
        <f t="shared" si="18"/>
        <v/>
      </c>
    </row>
    <row r="439" spans="1:8">
      <c r="A439" s="21" t="str">
        <f t="shared" si="19"/>
        <v/>
      </c>
      <c r="B439" s="1" t="str">
        <f>IF(Cus!$B439&lt;&gt;"",Cus!$A439,"")</f>
        <v/>
      </c>
      <c r="C439" s="22" t="str">
        <f>IF($B439="","",Cus!$AA439)</f>
        <v/>
      </c>
      <c r="D439" s="23" t="str">
        <f>IF($B439="","",(Acc!$H439*$C439))</f>
        <v/>
      </c>
      <c r="E439" s="24">
        <f>IF(C439&lt;=CommissionDD!$E$3,CommissionDD!$C$3,IF(C439&lt;=CommissionDD!$E$4,CommissionDD!$C$4,IF(C439&lt;=CommissionDD!$E$5,CommissionDD!$C$5,IF(C439&lt;=CommissionDD!$E$6,CommissionDD!$C$6,IF(C439&lt;=CommissionDD!$E$7,CommissionDD!$C$7,IF(C439&lt;=CommissionDD!$E$8,CommissionDD!$C$8,CommissionDD!$C$9))))))</f>
        <v>0.03</v>
      </c>
      <c r="F439" s="23" t="str">
        <f t="shared" si="20"/>
        <v/>
      </c>
      <c r="G439" s="23" t="str">
        <f>IF($B439="","",(Acc!$F439*CommissionDD!$C$30))</f>
        <v/>
      </c>
      <c r="H439" s="23" t="str">
        <f t="shared" si="18"/>
        <v/>
      </c>
    </row>
    <row r="440" spans="1:8">
      <c r="A440" s="21" t="str">
        <f t="shared" si="19"/>
        <v/>
      </c>
      <c r="B440" s="1" t="str">
        <f>IF(Cus!$B440&lt;&gt;"",Cus!$A440,"")</f>
        <v/>
      </c>
      <c r="C440" s="22" t="str">
        <f>IF($B440="","",Cus!$AA440)</f>
        <v/>
      </c>
      <c r="D440" s="23" t="str">
        <f>IF($B440="","",(Acc!$H440*$C440))</f>
        <v/>
      </c>
      <c r="E440" s="24">
        <f>IF(C440&lt;=CommissionDD!$E$3,CommissionDD!$C$3,IF(C440&lt;=CommissionDD!$E$4,CommissionDD!$C$4,IF(C440&lt;=CommissionDD!$E$5,CommissionDD!$C$5,IF(C440&lt;=CommissionDD!$E$6,CommissionDD!$C$6,IF(C440&lt;=CommissionDD!$E$7,CommissionDD!$C$7,IF(C440&lt;=CommissionDD!$E$8,CommissionDD!$C$8,CommissionDD!$C$9))))))</f>
        <v>0.03</v>
      </c>
      <c r="F440" s="23" t="str">
        <f t="shared" si="20"/>
        <v/>
      </c>
      <c r="G440" s="23" t="str">
        <f>IF($B440="","",(Acc!$F440*CommissionDD!$C$30))</f>
        <v/>
      </c>
      <c r="H440" s="23" t="str">
        <f t="shared" si="18"/>
        <v/>
      </c>
    </row>
    <row r="441" spans="1:8">
      <c r="A441" s="21" t="str">
        <f t="shared" si="19"/>
        <v/>
      </c>
      <c r="B441" s="1" t="str">
        <f>IF(Cus!$B441&lt;&gt;"",Cus!$A441,"")</f>
        <v/>
      </c>
      <c r="C441" s="22" t="str">
        <f>IF($B441="","",Cus!$AA441)</f>
        <v/>
      </c>
      <c r="D441" s="23" t="str">
        <f>IF($B441="","",(Acc!$H441*$C441))</f>
        <v/>
      </c>
      <c r="E441" s="24">
        <f>IF(C441&lt;=CommissionDD!$E$3,CommissionDD!$C$3,IF(C441&lt;=CommissionDD!$E$4,CommissionDD!$C$4,IF(C441&lt;=CommissionDD!$E$5,CommissionDD!$C$5,IF(C441&lt;=CommissionDD!$E$6,CommissionDD!$C$6,IF(C441&lt;=CommissionDD!$E$7,CommissionDD!$C$7,IF(C441&lt;=CommissionDD!$E$8,CommissionDD!$C$8,CommissionDD!$C$9))))))</f>
        <v>0.03</v>
      </c>
      <c r="F441" s="23" t="str">
        <f t="shared" si="20"/>
        <v/>
      </c>
      <c r="G441" s="23" t="str">
        <f>IF($B441="","",(Acc!$F441*CommissionDD!$C$30))</f>
        <v/>
      </c>
      <c r="H441" s="23" t="str">
        <f t="shared" si="18"/>
        <v/>
      </c>
    </row>
    <row r="442" spans="1:8">
      <c r="A442" s="21" t="str">
        <f t="shared" si="19"/>
        <v/>
      </c>
      <c r="B442" s="1" t="str">
        <f>IF(Cus!$B442&lt;&gt;"",Cus!$A442,"")</f>
        <v/>
      </c>
      <c r="C442" s="22" t="str">
        <f>IF($B442="","",Cus!$AA442)</f>
        <v/>
      </c>
      <c r="D442" s="23" t="str">
        <f>IF($B442="","",(Acc!$H442*$C442))</f>
        <v/>
      </c>
      <c r="E442" s="24">
        <f>IF(C442&lt;=CommissionDD!$E$3,CommissionDD!$C$3,IF(C442&lt;=CommissionDD!$E$4,CommissionDD!$C$4,IF(C442&lt;=CommissionDD!$E$5,CommissionDD!$C$5,IF(C442&lt;=CommissionDD!$E$6,CommissionDD!$C$6,IF(C442&lt;=CommissionDD!$E$7,CommissionDD!$C$7,IF(C442&lt;=CommissionDD!$E$8,CommissionDD!$C$8,CommissionDD!$C$9))))))</f>
        <v>0.03</v>
      </c>
      <c r="F442" s="23" t="str">
        <f t="shared" si="20"/>
        <v/>
      </c>
      <c r="G442" s="23" t="str">
        <f>IF($B442="","",(Acc!$F442*CommissionDD!$C$30))</f>
        <v/>
      </c>
      <c r="H442" s="23" t="str">
        <f t="shared" si="18"/>
        <v/>
      </c>
    </row>
    <row r="443" spans="1:8">
      <c r="A443" s="21" t="str">
        <f t="shared" si="19"/>
        <v/>
      </c>
      <c r="B443" s="1" t="str">
        <f>IF(Cus!$B443&lt;&gt;"",Cus!$A443,"")</f>
        <v/>
      </c>
      <c r="C443" s="22" t="str">
        <f>IF($B443="","",Cus!$AA443)</f>
        <v/>
      </c>
      <c r="D443" s="23" t="str">
        <f>IF($B443="","",(Acc!$H443*$C443))</f>
        <v/>
      </c>
      <c r="E443" s="24">
        <f>IF(C443&lt;=CommissionDD!$E$3,CommissionDD!$C$3,IF(C443&lt;=CommissionDD!$E$4,CommissionDD!$C$4,IF(C443&lt;=CommissionDD!$E$5,CommissionDD!$C$5,IF(C443&lt;=CommissionDD!$E$6,CommissionDD!$C$6,IF(C443&lt;=CommissionDD!$E$7,CommissionDD!$C$7,IF(C443&lt;=CommissionDD!$E$8,CommissionDD!$C$8,CommissionDD!$C$9))))))</f>
        <v>0.03</v>
      </c>
      <c r="F443" s="23" t="str">
        <f t="shared" si="20"/>
        <v/>
      </c>
      <c r="G443" s="23" t="str">
        <f>IF($B443="","",(Acc!$F443*CommissionDD!$C$30))</f>
        <v/>
      </c>
      <c r="H443" s="23" t="str">
        <f t="shared" si="18"/>
        <v/>
      </c>
    </row>
    <row r="444" spans="1:8">
      <c r="A444" s="21" t="str">
        <f t="shared" si="19"/>
        <v/>
      </c>
      <c r="B444" s="1" t="str">
        <f>IF(Cus!$B444&lt;&gt;"",Cus!$A444,"")</f>
        <v/>
      </c>
      <c r="C444" s="22" t="str">
        <f>IF($B444="","",Cus!$AA444)</f>
        <v/>
      </c>
      <c r="D444" s="23" t="str">
        <f>IF($B444="","",(Acc!$H444*$C444))</f>
        <v/>
      </c>
      <c r="E444" s="24">
        <f>IF(C444&lt;=CommissionDD!$E$3,CommissionDD!$C$3,IF(C444&lt;=CommissionDD!$E$4,CommissionDD!$C$4,IF(C444&lt;=CommissionDD!$E$5,CommissionDD!$C$5,IF(C444&lt;=CommissionDD!$E$6,CommissionDD!$C$6,IF(C444&lt;=CommissionDD!$E$7,CommissionDD!$C$7,IF(C444&lt;=CommissionDD!$E$8,CommissionDD!$C$8,CommissionDD!$C$9))))))</f>
        <v>0.03</v>
      </c>
      <c r="F444" s="23" t="str">
        <f t="shared" si="20"/>
        <v/>
      </c>
      <c r="G444" s="23" t="str">
        <f>IF($B444="","",(Acc!$F444*CommissionDD!$C$30))</f>
        <v/>
      </c>
      <c r="H444" s="23" t="str">
        <f t="shared" si="18"/>
        <v/>
      </c>
    </row>
    <row r="445" spans="1:8">
      <c r="A445" s="21" t="str">
        <f t="shared" si="19"/>
        <v/>
      </c>
      <c r="B445" s="1" t="str">
        <f>IF(Cus!$B445&lt;&gt;"",Cus!$A445,"")</f>
        <v/>
      </c>
      <c r="C445" s="22" t="str">
        <f>IF($B445="","",Cus!$AA445)</f>
        <v/>
      </c>
      <c r="D445" s="23" t="str">
        <f>IF($B445="","",(Acc!$H445*$C445))</f>
        <v/>
      </c>
      <c r="E445" s="24">
        <f>IF(C445&lt;=CommissionDD!$E$3,CommissionDD!$C$3,IF(C445&lt;=CommissionDD!$E$4,CommissionDD!$C$4,IF(C445&lt;=CommissionDD!$E$5,CommissionDD!$C$5,IF(C445&lt;=CommissionDD!$E$6,CommissionDD!$C$6,IF(C445&lt;=CommissionDD!$E$7,CommissionDD!$C$7,IF(C445&lt;=CommissionDD!$E$8,CommissionDD!$C$8,CommissionDD!$C$9))))))</f>
        <v>0.03</v>
      </c>
      <c r="F445" s="23" t="str">
        <f t="shared" si="20"/>
        <v/>
      </c>
      <c r="G445" s="23" t="str">
        <f>IF($B445="","",(Acc!$F445*CommissionDD!$C$30))</f>
        <v/>
      </c>
      <c r="H445" s="23" t="str">
        <f t="shared" si="18"/>
        <v/>
      </c>
    </row>
    <row r="446" spans="1:8">
      <c r="A446" s="21" t="str">
        <f t="shared" si="19"/>
        <v/>
      </c>
      <c r="B446" s="1" t="str">
        <f>IF(Cus!$B446&lt;&gt;"",Cus!$A446,"")</f>
        <v/>
      </c>
      <c r="C446" s="22" t="str">
        <f>IF($B446="","",Cus!$AA446)</f>
        <v/>
      </c>
      <c r="D446" s="23" t="str">
        <f>IF($B446="","",(Acc!$H446*$C446))</f>
        <v/>
      </c>
      <c r="E446" s="24">
        <f>IF(C446&lt;=CommissionDD!$E$3,CommissionDD!$C$3,IF(C446&lt;=CommissionDD!$E$4,CommissionDD!$C$4,IF(C446&lt;=CommissionDD!$E$5,CommissionDD!$C$5,IF(C446&lt;=CommissionDD!$E$6,CommissionDD!$C$6,IF(C446&lt;=CommissionDD!$E$7,CommissionDD!$C$7,IF(C446&lt;=CommissionDD!$E$8,CommissionDD!$C$8,CommissionDD!$C$9))))))</f>
        <v>0.03</v>
      </c>
      <c r="F446" s="23" t="str">
        <f t="shared" si="20"/>
        <v/>
      </c>
      <c r="G446" s="23" t="str">
        <f>IF($B446="","",(Acc!$F446*CommissionDD!$C$30))</f>
        <v/>
      </c>
      <c r="H446" s="23" t="str">
        <f t="shared" si="18"/>
        <v/>
      </c>
    </row>
    <row r="447" spans="1:8">
      <c r="A447" s="21" t="str">
        <f t="shared" si="19"/>
        <v/>
      </c>
      <c r="B447" s="1" t="str">
        <f>IF(Cus!$B447&lt;&gt;"",Cus!$A447,"")</f>
        <v/>
      </c>
      <c r="C447" s="22" t="str">
        <f>IF($B447="","",Cus!$AA447)</f>
        <v/>
      </c>
      <c r="D447" s="23" t="str">
        <f>IF($B447="","",(Acc!$H447*$C447))</f>
        <v/>
      </c>
      <c r="E447" s="24">
        <f>IF(C447&lt;=CommissionDD!$E$3,CommissionDD!$C$3,IF(C447&lt;=CommissionDD!$E$4,CommissionDD!$C$4,IF(C447&lt;=CommissionDD!$E$5,CommissionDD!$C$5,IF(C447&lt;=CommissionDD!$E$6,CommissionDD!$C$6,IF(C447&lt;=CommissionDD!$E$7,CommissionDD!$C$7,IF(C447&lt;=CommissionDD!$E$8,CommissionDD!$C$8,CommissionDD!$C$9))))))</f>
        <v>0.03</v>
      </c>
      <c r="F447" s="23" t="str">
        <f t="shared" si="20"/>
        <v/>
      </c>
      <c r="G447" s="23" t="str">
        <f>IF($B447="","",(Acc!$F447*CommissionDD!$C$30))</f>
        <v/>
      </c>
      <c r="H447" s="23" t="str">
        <f t="shared" si="18"/>
        <v/>
      </c>
    </row>
    <row r="448" spans="1:8">
      <c r="A448" s="21" t="str">
        <f t="shared" si="19"/>
        <v/>
      </c>
      <c r="B448" s="1" t="str">
        <f>IF(Cus!$B448&lt;&gt;"",Cus!$A448,"")</f>
        <v/>
      </c>
      <c r="C448" s="22" t="str">
        <f>IF($B448="","",Cus!$AA448)</f>
        <v/>
      </c>
      <c r="D448" s="23" t="str">
        <f>IF($B448="","",(Acc!$H448*$C448))</f>
        <v/>
      </c>
      <c r="E448" s="24">
        <f>IF(C448&lt;=CommissionDD!$E$3,CommissionDD!$C$3,IF(C448&lt;=CommissionDD!$E$4,CommissionDD!$C$4,IF(C448&lt;=CommissionDD!$E$5,CommissionDD!$C$5,IF(C448&lt;=CommissionDD!$E$6,CommissionDD!$C$6,IF(C448&lt;=CommissionDD!$E$7,CommissionDD!$C$7,IF(C448&lt;=CommissionDD!$E$8,CommissionDD!$C$8,CommissionDD!$C$9))))))</f>
        <v>0.03</v>
      </c>
      <c r="F448" s="23" t="str">
        <f t="shared" si="20"/>
        <v/>
      </c>
      <c r="G448" s="23" t="str">
        <f>IF($B448="","",(Acc!$F448*CommissionDD!$C$30))</f>
        <v/>
      </c>
      <c r="H448" s="23" t="str">
        <f t="shared" si="18"/>
        <v/>
      </c>
    </row>
    <row r="449" spans="1:8">
      <c r="A449" s="21" t="str">
        <f t="shared" si="19"/>
        <v/>
      </c>
      <c r="B449" s="1" t="str">
        <f>IF(Cus!$B449&lt;&gt;"",Cus!$A449,"")</f>
        <v/>
      </c>
      <c r="C449" s="22" t="str">
        <f>IF($B449="","",Cus!$AA449)</f>
        <v/>
      </c>
      <c r="D449" s="23" t="str">
        <f>IF($B449="","",(Acc!$H449*$C449))</f>
        <v/>
      </c>
      <c r="E449" s="24">
        <f>IF(C449&lt;=CommissionDD!$E$3,CommissionDD!$C$3,IF(C449&lt;=CommissionDD!$E$4,CommissionDD!$C$4,IF(C449&lt;=CommissionDD!$E$5,CommissionDD!$C$5,IF(C449&lt;=CommissionDD!$E$6,CommissionDD!$C$6,IF(C449&lt;=CommissionDD!$E$7,CommissionDD!$C$7,IF(C449&lt;=CommissionDD!$E$8,CommissionDD!$C$8,CommissionDD!$C$9))))))</f>
        <v>0.03</v>
      </c>
      <c r="F449" s="23" t="str">
        <f t="shared" si="20"/>
        <v/>
      </c>
      <c r="G449" s="23" t="str">
        <f>IF($B449="","",(Acc!$F449*CommissionDD!$C$30))</f>
        <v/>
      </c>
      <c r="H449" s="23" t="str">
        <f t="shared" si="18"/>
        <v/>
      </c>
    </row>
    <row r="450" spans="1:8">
      <c r="A450" s="21" t="str">
        <f t="shared" si="19"/>
        <v/>
      </c>
      <c r="B450" s="1" t="str">
        <f>IF(Cus!$B450&lt;&gt;"",Cus!$A450,"")</f>
        <v/>
      </c>
      <c r="C450" s="22" t="str">
        <f>IF($B450="","",Cus!$AA450)</f>
        <v/>
      </c>
      <c r="D450" s="23" t="str">
        <f>IF($B450="","",(Acc!$H450*$C450))</f>
        <v/>
      </c>
      <c r="E450" s="24">
        <f>IF(C450&lt;=CommissionDD!$E$3,CommissionDD!$C$3,IF(C450&lt;=CommissionDD!$E$4,CommissionDD!$C$4,IF(C450&lt;=CommissionDD!$E$5,CommissionDD!$C$5,IF(C450&lt;=CommissionDD!$E$6,CommissionDD!$C$6,IF(C450&lt;=CommissionDD!$E$7,CommissionDD!$C$7,IF(C450&lt;=CommissionDD!$E$8,CommissionDD!$C$8,CommissionDD!$C$9))))))</f>
        <v>0.03</v>
      </c>
      <c r="F450" s="23" t="str">
        <f t="shared" si="20"/>
        <v/>
      </c>
      <c r="G450" s="23" t="str">
        <f>IF($B450="","",(Acc!$F450*CommissionDD!$C$30))</f>
        <v/>
      </c>
      <c r="H450" s="23" t="str">
        <f t="shared" ref="H450:H513" si="21">IF($B450="","",F450+G450)</f>
        <v/>
      </c>
    </row>
    <row r="451" spans="1:8">
      <c r="A451" s="21" t="str">
        <f t="shared" ref="A451:A514" si="22">IF($B451="","",(ROW($A450)))</f>
        <v/>
      </c>
      <c r="B451" s="1" t="str">
        <f>IF(Cus!$B451&lt;&gt;"",Cus!$A451,"")</f>
        <v/>
      </c>
      <c r="C451" s="22" t="str">
        <f>IF($B451="","",Cus!$AA451)</f>
        <v/>
      </c>
      <c r="D451" s="23" t="str">
        <f>IF($B451="","",(Acc!$H451*$C451))</f>
        <v/>
      </c>
      <c r="E451" s="24">
        <f>IF(C451&lt;=CommissionDD!$E$3,CommissionDD!$C$3,IF(C451&lt;=CommissionDD!$E$4,CommissionDD!$C$4,IF(C451&lt;=CommissionDD!$E$5,CommissionDD!$C$5,IF(C451&lt;=CommissionDD!$E$6,CommissionDD!$C$6,IF(C451&lt;=CommissionDD!$E$7,CommissionDD!$C$7,IF(C451&lt;=CommissionDD!$E$8,CommissionDD!$C$8,CommissionDD!$C$9))))))</f>
        <v>0.03</v>
      </c>
      <c r="F451" s="23" t="str">
        <f t="shared" si="20"/>
        <v/>
      </c>
      <c r="G451" s="23" t="str">
        <f>IF($B451="","",(Acc!$F451*CommissionDD!$C$30))</f>
        <v/>
      </c>
      <c r="H451" s="23" t="str">
        <f t="shared" si="21"/>
        <v/>
      </c>
    </row>
    <row r="452" spans="1:8">
      <c r="A452" s="21" t="str">
        <f t="shared" si="22"/>
        <v/>
      </c>
      <c r="B452" s="1" t="str">
        <f>IF(Cus!$B452&lt;&gt;"",Cus!$A452,"")</f>
        <v/>
      </c>
      <c r="C452" s="22" t="str">
        <f>IF($B452="","",Cus!$AA452)</f>
        <v/>
      </c>
      <c r="D452" s="23" t="str">
        <f>IF($B452="","",(Acc!$H452*$C452))</f>
        <v/>
      </c>
      <c r="E452" s="24">
        <f>IF(C452&lt;=CommissionDD!$E$3,CommissionDD!$C$3,IF(C452&lt;=CommissionDD!$E$4,CommissionDD!$C$4,IF(C452&lt;=CommissionDD!$E$5,CommissionDD!$C$5,IF(C452&lt;=CommissionDD!$E$6,CommissionDD!$C$6,IF(C452&lt;=CommissionDD!$E$7,CommissionDD!$C$7,IF(C452&lt;=CommissionDD!$E$8,CommissionDD!$C$8,CommissionDD!$C$9))))))</f>
        <v>0.03</v>
      </c>
      <c r="F452" s="23" t="str">
        <f t="shared" si="20"/>
        <v/>
      </c>
      <c r="G452" s="23" t="str">
        <f>IF($B452="","",(Acc!$F452*CommissionDD!$C$30))</f>
        <v/>
      </c>
      <c r="H452" s="23" t="str">
        <f t="shared" si="21"/>
        <v/>
      </c>
    </row>
    <row r="453" spans="1:8">
      <c r="A453" s="21" t="str">
        <f t="shared" si="22"/>
        <v/>
      </c>
      <c r="B453" s="1" t="str">
        <f>IF(Cus!$B453&lt;&gt;"",Cus!$A453,"")</f>
        <v/>
      </c>
      <c r="C453" s="22" t="str">
        <f>IF($B453="","",Cus!$AA453)</f>
        <v/>
      </c>
      <c r="D453" s="23" t="str">
        <f>IF($B453="","",(Acc!$H453*$C453))</f>
        <v/>
      </c>
      <c r="E453" s="24">
        <f>IF(C453&lt;=CommissionDD!$E$3,CommissionDD!$C$3,IF(C453&lt;=CommissionDD!$E$4,CommissionDD!$C$4,IF(C453&lt;=CommissionDD!$E$5,CommissionDD!$C$5,IF(C453&lt;=CommissionDD!$E$6,CommissionDD!$C$6,IF(C453&lt;=CommissionDD!$E$7,CommissionDD!$C$7,IF(C453&lt;=CommissionDD!$E$8,CommissionDD!$C$8,CommissionDD!$C$9))))))</f>
        <v>0.03</v>
      </c>
      <c r="F453" s="23" t="str">
        <f t="shared" ref="F453:F516" si="23">IF($B453="","",D453*E453)</f>
        <v/>
      </c>
      <c r="G453" s="23" t="str">
        <f>IF($B453="","",(Acc!$F453*CommissionDD!$C$30))</f>
        <v/>
      </c>
      <c r="H453" s="23" t="str">
        <f t="shared" si="21"/>
        <v/>
      </c>
    </row>
    <row r="454" spans="1:8">
      <c r="A454" s="21" t="str">
        <f t="shared" si="22"/>
        <v/>
      </c>
      <c r="B454" s="1" t="str">
        <f>IF(Cus!$B454&lt;&gt;"",Cus!$A454,"")</f>
        <v/>
      </c>
      <c r="C454" s="22" t="str">
        <f>IF($B454="","",Cus!$AA454)</f>
        <v/>
      </c>
      <c r="D454" s="23" t="str">
        <f>IF($B454="","",(Acc!$H454*$C454))</f>
        <v/>
      </c>
      <c r="E454" s="24">
        <f>IF(C454&lt;=CommissionDD!$E$3,CommissionDD!$C$3,IF(C454&lt;=CommissionDD!$E$4,CommissionDD!$C$4,IF(C454&lt;=CommissionDD!$E$5,CommissionDD!$C$5,IF(C454&lt;=CommissionDD!$E$6,CommissionDD!$C$6,IF(C454&lt;=CommissionDD!$E$7,CommissionDD!$C$7,IF(C454&lt;=CommissionDD!$E$8,CommissionDD!$C$8,CommissionDD!$C$9))))))</f>
        <v>0.03</v>
      </c>
      <c r="F454" s="23" t="str">
        <f t="shared" si="23"/>
        <v/>
      </c>
      <c r="G454" s="23" t="str">
        <f>IF($B454="","",(Acc!$F454*CommissionDD!$C$30))</f>
        <v/>
      </c>
      <c r="H454" s="23" t="str">
        <f t="shared" si="21"/>
        <v/>
      </c>
    </row>
    <row r="455" spans="1:8">
      <c r="A455" s="21" t="str">
        <f t="shared" si="22"/>
        <v/>
      </c>
      <c r="B455" s="1" t="str">
        <f>IF(Cus!$B455&lt;&gt;"",Cus!$A455,"")</f>
        <v/>
      </c>
      <c r="C455" s="22" t="str">
        <f>IF($B455="","",Cus!$AA455)</f>
        <v/>
      </c>
      <c r="D455" s="23" t="str">
        <f>IF($B455="","",(Acc!$H455*$C455))</f>
        <v/>
      </c>
      <c r="E455" s="24">
        <f>IF(C455&lt;=CommissionDD!$E$3,CommissionDD!$C$3,IF(C455&lt;=CommissionDD!$E$4,CommissionDD!$C$4,IF(C455&lt;=CommissionDD!$E$5,CommissionDD!$C$5,IF(C455&lt;=CommissionDD!$E$6,CommissionDD!$C$6,IF(C455&lt;=CommissionDD!$E$7,CommissionDD!$C$7,IF(C455&lt;=CommissionDD!$E$8,CommissionDD!$C$8,CommissionDD!$C$9))))))</f>
        <v>0.03</v>
      </c>
      <c r="F455" s="23" t="str">
        <f t="shared" si="23"/>
        <v/>
      </c>
      <c r="G455" s="23" t="str">
        <f>IF($B455="","",(Acc!$F455*CommissionDD!$C$30))</f>
        <v/>
      </c>
      <c r="H455" s="23" t="str">
        <f t="shared" si="21"/>
        <v/>
      </c>
    </row>
    <row r="456" spans="1:8">
      <c r="A456" s="21" t="str">
        <f t="shared" si="22"/>
        <v/>
      </c>
      <c r="B456" s="1" t="str">
        <f>IF(Cus!$B456&lt;&gt;"",Cus!$A456,"")</f>
        <v/>
      </c>
      <c r="C456" s="22" t="str">
        <f>IF($B456="","",Cus!$AA456)</f>
        <v/>
      </c>
      <c r="D456" s="23" t="str">
        <f>IF($B456="","",(Acc!$H456*$C456))</f>
        <v/>
      </c>
      <c r="E456" s="24">
        <f>IF(C456&lt;=CommissionDD!$E$3,CommissionDD!$C$3,IF(C456&lt;=CommissionDD!$E$4,CommissionDD!$C$4,IF(C456&lt;=CommissionDD!$E$5,CommissionDD!$C$5,IF(C456&lt;=CommissionDD!$E$6,CommissionDD!$C$6,IF(C456&lt;=CommissionDD!$E$7,CommissionDD!$C$7,IF(C456&lt;=CommissionDD!$E$8,CommissionDD!$C$8,CommissionDD!$C$9))))))</f>
        <v>0.03</v>
      </c>
      <c r="F456" s="23" t="str">
        <f t="shared" si="23"/>
        <v/>
      </c>
      <c r="G456" s="23" t="str">
        <f>IF($B456="","",(Acc!$F456*CommissionDD!$C$30))</f>
        <v/>
      </c>
      <c r="H456" s="23" t="str">
        <f t="shared" si="21"/>
        <v/>
      </c>
    </row>
    <row r="457" spans="1:8">
      <c r="A457" s="21" t="str">
        <f t="shared" si="22"/>
        <v/>
      </c>
      <c r="B457" s="1" t="str">
        <f>IF(Cus!$B457&lt;&gt;"",Cus!$A457,"")</f>
        <v/>
      </c>
      <c r="C457" s="22" t="str">
        <f>IF($B457="","",Cus!$AA457)</f>
        <v/>
      </c>
      <c r="D457" s="23" t="str">
        <f>IF($B457="","",(Acc!$H457*$C457))</f>
        <v/>
      </c>
      <c r="E457" s="24">
        <f>IF(C457&lt;=CommissionDD!$E$3,CommissionDD!$C$3,IF(C457&lt;=CommissionDD!$E$4,CommissionDD!$C$4,IF(C457&lt;=CommissionDD!$E$5,CommissionDD!$C$5,IF(C457&lt;=CommissionDD!$E$6,CommissionDD!$C$6,IF(C457&lt;=CommissionDD!$E$7,CommissionDD!$C$7,IF(C457&lt;=CommissionDD!$E$8,CommissionDD!$C$8,CommissionDD!$C$9))))))</f>
        <v>0.03</v>
      </c>
      <c r="F457" s="23" t="str">
        <f t="shared" si="23"/>
        <v/>
      </c>
      <c r="G457" s="23" t="str">
        <f>IF($B457="","",(Acc!$F457*CommissionDD!$C$30))</f>
        <v/>
      </c>
      <c r="H457" s="23" t="str">
        <f t="shared" si="21"/>
        <v/>
      </c>
    </row>
    <row r="458" spans="1:8">
      <c r="A458" s="21" t="str">
        <f t="shared" si="22"/>
        <v/>
      </c>
      <c r="B458" s="1" t="str">
        <f>IF(Cus!$B458&lt;&gt;"",Cus!$A458,"")</f>
        <v/>
      </c>
      <c r="C458" s="22" t="str">
        <f>IF($B458="","",Cus!$AA458)</f>
        <v/>
      </c>
      <c r="D458" s="23" t="str">
        <f>IF($B458="","",(Acc!$H458*$C458))</f>
        <v/>
      </c>
      <c r="E458" s="24">
        <f>IF(C458&lt;=CommissionDD!$E$3,CommissionDD!$C$3,IF(C458&lt;=CommissionDD!$E$4,CommissionDD!$C$4,IF(C458&lt;=CommissionDD!$E$5,CommissionDD!$C$5,IF(C458&lt;=CommissionDD!$E$6,CommissionDD!$C$6,IF(C458&lt;=CommissionDD!$E$7,CommissionDD!$C$7,IF(C458&lt;=CommissionDD!$E$8,CommissionDD!$C$8,CommissionDD!$C$9))))))</f>
        <v>0.03</v>
      </c>
      <c r="F458" s="23" t="str">
        <f t="shared" si="23"/>
        <v/>
      </c>
      <c r="G458" s="23" t="str">
        <f>IF($B458="","",(Acc!$F458*CommissionDD!$C$30))</f>
        <v/>
      </c>
      <c r="H458" s="23" t="str">
        <f t="shared" si="21"/>
        <v/>
      </c>
    </row>
    <row r="459" spans="1:8">
      <c r="A459" s="21" t="str">
        <f t="shared" si="22"/>
        <v/>
      </c>
      <c r="B459" s="1" t="str">
        <f>IF(Cus!$B459&lt;&gt;"",Cus!$A459,"")</f>
        <v/>
      </c>
      <c r="C459" s="22" t="str">
        <f>IF($B459="","",Cus!$AA459)</f>
        <v/>
      </c>
      <c r="D459" s="23" t="str">
        <f>IF($B459="","",(Acc!$H459*$C459))</f>
        <v/>
      </c>
      <c r="E459" s="24">
        <f>IF(C459&lt;=CommissionDD!$E$3,CommissionDD!$C$3,IF(C459&lt;=CommissionDD!$E$4,CommissionDD!$C$4,IF(C459&lt;=CommissionDD!$E$5,CommissionDD!$C$5,IF(C459&lt;=CommissionDD!$E$6,CommissionDD!$C$6,IF(C459&lt;=CommissionDD!$E$7,CommissionDD!$C$7,IF(C459&lt;=CommissionDD!$E$8,CommissionDD!$C$8,CommissionDD!$C$9))))))</f>
        <v>0.03</v>
      </c>
      <c r="F459" s="23" t="str">
        <f t="shared" si="23"/>
        <v/>
      </c>
      <c r="G459" s="23" t="str">
        <f>IF($B459="","",(Acc!$F459*CommissionDD!$C$30))</f>
        <v/>
      </c>
      <c r="H459" s="23" t="str">
        <f t="shared" si="21"/>
        <v/>
      </c>
    </row>
    <row r="460" spans="1:8">
      <c r="A460" s="21" t="str">
        <f t="shared" si="22"/>
        <v/>
      </c>
      <c r="B460" s="1" t="str">
        <f>IF(Cus!$B460&lt;&gt;"",Cus!$A460,"")</f>
        <v/>
      </c>
      <c r="C460" s="22" t="str">
        <f>IF($B460="","",Cus!$AA460)</f>
        <v/>
      </c>
      <c r="D460" s="23" t="str">
        <f>IF($B460="","",(Acc!$H460*$C460))</f>
        <v/>
      </c>
      <c r="E460" s="24">
        <f>IF(C460&lt;=CommissionDD!$E$3,CommissionDD!$C$3,IF(C460&lt;=CommissionDD!$E$4,CommissionDD!$C$4,IF(C460&lt;=CommissionDD!$E$5,CommissionDD!$C$5,IF(C460&lt;=CommissionDD!$E$6,CommissionDD!$C$6,IF(C460&lt;=CommissionDD!$E$7,CommissionDD!$C$7,IF(C460&lt;=CommissionDD!$E$8,CommissionDD!$C$8,CommissionDD!$C$9))))))</f>
        <v>0.03</v>
      </c>
      <c r="F460" s="23" t="str">
        <f t="shared" si="23"/>
        <v/>
      </c>
      <c r="G460" s="23" t="str">
        <f>IF($B460="","",(Acc!$F460*CommissionDD!$C$30))</f>
        <v/>
      </c>
      <c r="H460" s="23" t="str">
        <f t="shared" si="21"/>
        <v/>
      </c>
    </row>
    <row r="461" spans="1:8">
      <c r="A461" s="21" t="str">
        <f t="shared" si="22"/>
        <v/>
      </c>
      <c r="B461" s="1" t="str">
        <f>IF(Cus!$B461&lt;&gt;"",Cus!$A461,"")</f>
        <v/>
      </c>
      <c r="C461" s="22" t="str">
        <f>IF($B461="","",Cus!$AA461)</f>
        <v/>
      </c>
      <c r="D461" s="23" t="str">
        <f>IF($B461="","",(Acc!$H461*$C461))</f>
        <v/>
      </c>
      <c r="E461" s="24">
        <f>IF(C461&lt;=CommissionDD!$E$3,CommissionDD!$C$3,IF(C461&lt;=CommissionDD!$E$4,CommissionDD!$C$4,IF(C461&lt;=CommissionDD!$E$5,CommissionDD!$C$5,IF(C461&lt;=CommissionDD!$E$6,CommissionDD!$C$6,IF(C461&lt;=CommissionDD!$E$7,CommissionDD!$C$7,IF(C461&lt;=CommissionDD!$E$8,CommissionDD!$C$8,CommissionDD!$C$9))))))</f>
        <v>0.03</v>
      </c>
      <c r="F461" s="23" t="str">
        <f t="shared" si="23"/>
        <v/>
      </c>
      <c r="G461" s="23" t="str">
        <f>IF($B461="","",(Acc!$F461*CommissionDD!$C$30))</f>
        <v/>
      </c>
      <c r="H461" s="23" t="str">
        <f t="shared" si="21"/>
        <v/>
      </c>
    </row>
    <row r="462" spans="1:8">
      <c r="A462" s="21" t="str">
        <f t="shared" si="22"/>
        <v/>
      </c>
      <c r="B462" s="1" t="str">
        <f>IF(Cus!$B462&lt;&gt;"",Cus!$A462,"")</f>
        <v/>
      </c>
      <c r="C462" s="22" t="str">
        <f>IF($B462="","",Cus!$AA462)</f>
        <v/>
      </c>
      <c r="D462" s="23" t="str">
        <f>IF($B462="","",(Acc!$H462*$C462))</f>
        <v/>
      </c>
      <c r="E462" s="24">
        <f>IF(C462&lt;=CommissionDD!$E$3,CommissionDD!$C$3,IF(C462&lt;=CommissionDD!$E$4,CommissionDD!$C$4,IF(C462&lt;=CommissionDD!$E$5,CommissionDD!$C$5,IF(C462&lt;=CommissionDD!$E$6,CommissionDD!$C$6,IF(C462&lt;=CommissionDD!$E$7,CommissionDD!$C$7,IF(C462&lt;=CommissionDD!$E$8,CommissionDD!$C$8,CommissionDD!$C$9))))))</f>
        <v>0.03</v>
      </c>
      <c r="F462" s="23" t="str">
        <f t="shared" si="23"/>
        <v/>
      </c>
      <c r="G462" s="23" t="str">
        <f>IF($B462="","",(Acc!$F462*CommissionDD!$C$30))</f>
        <v/>
      </c>
      <c r="H462" s="23" t="str">
        <f t="shared" si="21"/>
        <v/>
      </c>
    </row>
    <row r="463" spans="1:8">
      <c r="A463" s="21" t="str">
        <f t="shared" si="22"/>
        <v/>
      </c>
      <c r="B463" s="1" t="str">
        <f>IF(Cus!$B463&lt;&gt;"",Cus!$A463,"")</f>
        <v/>
      </c>
      <c r="C463" s="22" t="str">
        <f>IF($B463="","",Cus!$AA463)</f>
        <v/>
      </c>
      <c r="D463" s="23" t="str">
        <f>IF($B463="","",(Acc!$H463*$C463))</f>
        <v/>
      </c>
      <c r="E463" s="24">
        <f>IF(C463&lt;=CommissionDD!$E$3,CommissionDD!$C$3,IF(C463&lt;=CommissionDD!$E$4,CommissionDD!$C$4,IF(C463&lt;=CommissionDD!$E$5,CommissionDD!$C$5,IF(C463&lt;=CommissionDD!$E$6,CommissionDD!$C$6,IF(C463&lt;=CommissionDD!$E$7,CommissionDD!$C$7,IF(C463&lt;=CommissionDD!$E$8,CommissionDD!$C$8,CommissionDD!$C$9))))))</f>
        <v>0.03</v>
      </c>
      <c r="F463" s="23" t="str">
        <f t="shared" si="23"/>
        <v/>
      </c>
      <c r="G463" s="23" t="str">
        <f>IF($B463="","",(Acc!$F463*CommissionDD!$C$30))</f>
        <v/>
      </c>
      <c r="H463" s="23" t="str">
        <f t="shared" si="21"/>
        <v/>
      </c>
    </row>
    <row r="464" spans="1:8">
      <c r="A464" s="21" t="str">
        <f t="shared" si="22"/>
        <v/>
      </c>
      <c r="B464" s="1" t="str">
        <f>IF(Cus!$B464&lt;&gt;"",Cus!$A464,"")</f>
        <v/>
      </c>
      <c r="C464" s="22" t="str">
        <f>IF($B464="","",Cus!$AA464)</f>
        <v/>
      </c>
      <c r="D464" s="23" t="str">
        <f>IF($B464="","",(Acc!$H464*$C464))</f>
        <v/>
      </c>
      <c r="E464" s="24">
        <f>IF(C464&lt;=CommissionDD!$E$3,CommissionDD!$C$3,IF(C464&lt;=CommissionDD!$E$4,CommissionDD!$C$4,IF(C464&lt;=CommissionDD!$E$5,CommissionDD!$C$5,IF(C464&lt;=CommissionDD!$E$6,CommissionDD!$C$6,IF(C464&lt;=CommissionDD!$E$7,CommissionDD!$C$7,IF(C464&lt;=CommissionDD!$E$8,CommissionDD!$C$8,CommissionDD!$C$9))))))</f>
        <v>0.03</v>
      </c>
      <c r="F464" s="23" t="str">
        <f t="shared" si="23"/>
        <v/>
      </c>
      <c r="G464" s="23" t="str">
        <f>IF($B464="","",(Acc!$F464*CommissionDD!$C$30))</f>
        <v/>
      </c>
      <c r="H464" s="23" t="str">
        <f t="shared" si="21"/>
        <v/>
      </c>
    </row>
    <row r="465" spans="1:8">
      <c r="A465" s="21" t="str">
        <f t="shared" si="22"/>
        <v/>
      </c>
      <c r="B465" s="1" t="str">
        <f>IF(Cus!$B465&lt;&gt;"",Cus!$A465,"")</f>
        <v/>
      </c>
      <c r="C465" s="22" t="str">
        <f>IF($B465="","",Cus!$AA465)</f>
        <v/>
      </c>
      <c r="D465" s="23" t="str">
        <f>IF($B465="","",(Acc!$H465*$C465))</f>
        <v/>
      </c>
      <c r="E465" s="24">
        <f>IF(C465&lt;=CommissionDD!$E$3,CommissionDD!$C$3,IF(C465&lt;=CommissionDD!$E$4,CommissionDD!$C$4,IF(C465&lt;=CommissionDD!$E$5,CommissionDD!$C$5,IF(C465&lt;=CommissionDD!$E$6,CommissionDD!$C$6,IF(C465&lt;=CommissionDD!$E$7,CommissionDD!$C$7,IF(C465&lt;=CommissionDD!$E$8,CommissionDD!$C$8,CommissionDD!$C$9))))))</f>
        <v>0.03</v>
      </c>
      <c r="F465" s="23" t="str">
        <f t="shared" si="23"/>
        <v/>
      </c>
      <c r="G465" s="23" t="str">
        <f>IF($B465="","",(Acc!$F465*CommissionDD!$C$30))</f>
        <v/>
      </c>
      <c r="H465" s="23" t="str">
        <f t="shared" si="21"/>
        <v/>
      </c>
    </row>
    <row r="466" spans="1:8">
      <c r="A466" s="21" t="str">
        <f t="shared" si="22"/>
        <v/>
      </c>
      <c r="B466" s="1" t="str">
        <f>IF(Cus!$B466&lt;&gt;"",Cus!$A466,"")</f>
        <v/>
      </c>
      <c r="C466" s="22" t="str">
        <f>IF($B466="","",Cus!$AA466)</f>
        <v/>
      </c>
      <c r="D466" s="23" t="str">
        <f>IF($B466="","",(Acc!$H466*$C466))</f>
        <v/>
      </c>
      <c r="E466" s="24">
        <f>IF(C466&lt;=CommissionDD!$E$3,CommissionDD!$C$3,IF(C466&lt;=CommissionDD!$E$4,CommissionDD!$C$4,IF(C466&lt;=CommissionDD!$E$5,CommissionDD!$C$5,IF(C466&lt;=CommissionDD!$E$6,CommissionDD!$C$6,IF(C466&lt;=CommissionDD!$E$7,CommissionDD!$C$7,IF(C466&lt;=CommissionDD!$E$8,CommissionDD!$C$8,CommissionDD!$C$9))))))</f>
        <v>0.03</v>
      </c>
      <c r="F466" s="23" t="str">
        <f t="shared" si="23"/>
        <v/>
      </c>
      <c r="G466" s="23" t="str">
        <f>IF($B466="","",(Acc!$F466*CommissionDD!$C$30))</f>
        <v/>
      </c>
      <c r="H466" s="23" t="str">
        <f t="shared" si="21"/>
        <v/>
      </c>
    </row>
    <row r="467" spans="1:8">
      <c r="A467" s="21" t="str">
        <f t="shared" si="22"/>
        <v/>
      </c>
      <c r="B467" s="1" t="str">
        <f>IF(Cus!$B467&lt;&gt;"",Cus!$A467,"")</f>
        <v/>
      </c>
      <c r="C467" s="22" t="str">
        <f>IF($B467="","",Cus!$AA467)</f>
        <v/>
      </c>
      <c r="D467" s="23" t="str">
        <f>IF($B467="","",(Acc!$H467*$C467))</f>
        <v/>
      </c>
      <c r="E467" s="24">
        <f>IF(C467&lt;=CommissionDD!$E$3,CommissionDD!$C$3,IF(C467&lt;=CommissionDD!$E$4,CommissionDD!$C$4,IF(C467&lt;=CommissionDD!$E$5,CommissionDD!$C$5,IF(C467&lt;=CommissionDD!$E$6,CommissionDD!$C$6,IF(C467&lt;=CommissionDD!$E$7,CommissionDD!$C$7,IF(C467&lt;=CommissionDD!$E$8,CommissionDD!$C$8,CommissionDD!$C$9))))))</f>
        <v>0.03</v>
      </c>
      <c r="F467" s="23" t="str">
        <f t="shared" si="23"/>
        <v/>
      </c>
      <c r="G467" s="23" t="str">
        <f>IF($B467="","",(Acc!$F467*CommissionDD!$C$30))</f>
        <v/>
      </c>
      <c r="H467" s="23" t="str">
        <f t="shared" si="21"/>
        <v/>
      </c>
    </row>
    <row r="468" spans="1:8">
      <c r="A468" s="21" t="str">
        <f t="shared" si="22"/>
        <v/>
      </c>
      <c r="B468" s="1" t="str">
        <f>IF(Cus!$B468&lt;&gt;"",Cus!$A468,"")</f>
        <v/>
      </c>
      <c r="C468" s="22" t="str">
        <f>IF($B468="","",Cus!$AA468)</f>
        <v/>
      </c>
      <c r="D468" s="23" t="str">
        <f>IF($B468="","",(Acc!$H468*$C468))</f>
        <v/>
      </c>
      <c r="E468" s="24">
        <f>IF(C468&lt;=CommissionDD!$E$3,CommissionDD!$C$3,IF(C468&lt;=CommissionDD!$E$4,CommissionDD!$C$4,IF(C468&lt;=CommissionDD!$E$5,CommissionDD!$C$5,IF(C468&lt;=CommissionDD!$E$6,CommissionDD!$C$6,IF(C468&lt;=CommissionDD!$E$7,CommissionDD!$C$7,IF(C468&lt;=CommissionDD!$E$8,CommissionDD!$C$8,CommissionDD!$C$9))))))</f>
        <v>0.03</v>
      </c>
      <c r="F468" s="23" t="str">
        <f t="shared" si="23"/>
        <v/>
      </c>
      <c r="G468" s="23" t="str">
        <f>IF($B468="","",(Acc!$F468*CommissionDD!$C$30))</f>
        <v/>
      </c>
      <c r="H468" s="23" t="str">
        <f t="shared" si="21"/>
        <v/>
      </c>
    </row>
    <row r="469" spans="1:8">
      <c r="A469" s="21" t="str">
        <f t="shared" si="22"/>
        <v/>
      </c>
      <c r="B469" s="1" t="str">
        <f>IF(Cus!$B469&lt;&gt;"",Cus!$A469,"")</f>
        <v/>
      </c>
      <c r="C469" s="22" t="str">
        <f>IF($B469="","",Cus!$AA469)</f>
        <v/>
      </c>
      <c r="D469" s="23" t="str">
        <f>IF($B469="","",(Acc!$H469*$C469))</f>
        <v/>
      </c>
      <c r="E469" s="24">
        <f>IF(C469&lt;=CommissionDD!$E$3,CommissionDD!$C$3,IF(C469&lt;=CommissionDD!$E$4,CommissionDD!$C$4,IF(C469&lt;=CommissionDD!$E$5,CommissionDD!$C$5,IF(C469&lt;=CommissionDD!$E$6,CommissionDD!$C$6,IF(C469&lt;=CommissionDD!$E$7,CommissionDD!$C$7,IF(C469&lt;=CommissionDD!$E$8,CommissionDD!$C$8,CommissionDD!$C$9))))))</f>
        <v>0.03</v>
      </c>
      <c r="F469" s="23" t="str">
        <f t="shared" si="23"/>
        <v/>
      </c>
      <c r="G469" s="23" t="str">
        <f>IF($B469="","",(Acc!$F469*CommissionDD!$C$30))</f>
        <v/>
      </c>
      <c r="H469" s="23" t="str">
        <f t="shared" si="21"/>
        <v/>
      </c>
    </row>
    <row r="470" spans="1:8">
      <c r="A470" s="21" t="str">
        <f t="shared" si="22"/>
        <v/>
      </c>
      <c r="B470" s="1" t="str">
        <f>IF(Cus!$B470&lt;&gt;"",Cus!$A470,"")</f>
        <v/>
      </c>
      <c r="C470" s="22" t="str">
        <f>IF($B470="","",Cus!$AA470)</f>
        <v/>
      </c>
      <c r="D470" s="23" t="str">
        <f>IF($B470="","",(Acc!$H470*$C470))</f>
        <v/>
      </c>
      <c r="E470" s="24">
        <f>IF(C470&lt;=CommissionDD!$E$3,CommissionDD!$C$3,IF(C470&lt;=CommissionDD!$E$4,CommissionDD!$C$4,IF(C470&lt;=CommissionDD!$E$5,CommissionDD!$C$5,IF(C470&lt;=CommissionDD!$E$6,CommissionDD!$C$6,IF(C470&lt;=CommissionDD!$E$7,CommissionDD!$C$7,IF(C470&lt;=CommissionDD!$E$8,CommissionDD!$C$8,CommissionDD!$C$9))))))</f>
        <v>0.03</v>
      </c>
      <c r="F470" s="23" t="str">
        <f t="shared" si="23"/>
        <v/>
      </c>
      <c r="G470" s="23" t="str">
        <f>IF($B470="","",(Acc!$F470*CommissionDD!$C$30))</f>
        <v/>
      </c>
      <c r="H470" s="23" t="str">
        <f t="shared" si="21"/>
        <v/>
      </c>
    </row>
    <row r="471" spans="1:8">
      <c r="A471" s="21" t="str">
        <f t="shared" si="22"/>
        <v/>
      </c>
      <c r="B471" s="1" t="str">
        <f>IF(Cus!$B471&lt;&gt;"",Cus!$A471,"")</f>
        <v/>
      </c>
      <c r="C471" s="22" t="str">
        <f>IF($B471="","",Cus!$AA471)</f>
        <v/>
      </c>
      <c r="D471" s="23" t="str">
        <f>IF($B471="","",(Acc!$H471*$C471))</f>
        <v/>
      </c>
      <c r="E471" s="24">
        <f>IF(C471&lt;=CommissionDD!$E$3,CommissionDD!$C$3,IF(C471&lt;=CommissionDD!$E$4,CommissionDD!$C$4,IF(C471&lt;=CommissionDD!$E$5,CommissionDD!$C$5,IF(C471&lt;=CommissionDD!$E$6,CommissionDD!$C$6,IF(C471&lt;=CommissionDD!$E$7,CommissionDD!$C$7,IF(C471&lt;=CommissionDD!$E$8,CommissionDD!$C$8,CommissionDD!$C$9))))))</f>
        <v>0.03</v>
      </c>
      <c r="F471" s="23" t="str">
        <f t="shared" si="23"/>
        <v/>
      </c>
      <c r="G471" s="23" t="str">
        <f>IF($B471="","",(Acc!$F471*CommissionDD!$C$30))</f>
        <v/>
      </c>
      <c r="H471" s="23" t="str">
        <f t="shared" si="21"/>
        <v/>
      </c>
    </row>
    <row r="472" spans="1:8">
      <c r="A472" s="21" t="str">
        <f t="shared" si="22"/>
        <v/>
      </c>
      <c r="B472" s="1" t="str">
        <f>IF(Cus!$B472&lt;&gt;"",Cus!$A472,"")</f>
        <v/>
      </c>
      <c r="C472" s="22" t="str">
        <f>IF($B472="","",Cus!$AA472)</f>
        <v/>
      </c>
      <c r="D472" s="23" t="str">
        <f>IF($B472="","",(Acc!$H472*$C472))</f>
        <v/>
      </c>
      <c r="E472" s="24">
        <f>IF(C472&lt;=CommissionDD!$E$3,CommissionDD!$C$3,IF(C472&lt;=CommissionDD!$E$4,CommissionDD!$C$4,IF(C472&lt;=CommissionDD!$E$5,CommissionDD!$C$5,IF(C472&lt;=CommissionDD!$E$6,CommissionDD!$C$6,IF(C472&lt;=CommissionDD!$E$7,CommissionDD!$C$7,IF(C472&lt;=CommissionDD!$E$8,CommissionDD!$C$8,CommissionDD!$C$9))))))</f>
        <v>0.03</v>
      </c>
      <c r="F472" s="23" t="str">
        <f t="shared" si="23"/>
        <v/>
      </c>
      <c r="G472" s="23" t="str">
        <f>IF($B472="","",(Acc!$F472*CommissionDD!$C$30))</f>
        <v/>
      </c>
      <c r="H472" s="23" t="str">
        <f t="shared" si="21"/>
        <v/>
      </c>
    </row>
    <row r="473" spans="1:8">
      <c r="A473" s="21" t="str">
        <f t="shared" si="22"/>
        <v/>
      </c>
      <c r="B473" s="1" t="str">
        <f>IF(Cus!$B473&lt;&gt;"",Cus!$A473,"")</f>
        <v/>
      </c>
      <c r="C473" s="22" t="str">
        <f>IF($B473="","",Cus!$AA473)</f>
        <v/>
      </c>
      <c r="D473" s="23" t="str">
        <f>IF($B473="","",(Acc!$H473*$C473))</f>
        <v/>
      </c>
      <c r="E473" s="24">
        <f>IF(C473&lt;=CommissionDD!$E$3,CommissionDD!$C$3,IF(C473&lt;=CommissionDD!$E$4,CommissionDD!$C$4,IF(C473&lt;=CommissionDD!$E$5,CommissionDD!$C$5,IF(C473&lt;=CommissionDD!$E$6,CommissionDD!$C$6,IF(C473&lt;=CommissionDD!$E$7,CommissionDD!$C$7,IF(C473&lt;=CommissionDD!$E$8,CommissionDD!$C$8,CommissionDD!$C$9))))))</f>
        <v>0.03</v>
      </c>
      <c r="F473" s="23" t="str">
        <f t="shared" si="23"/>
        <v/>
      </c>
      <c r="G473" s="23" t="str">
        <f>IF($B473="","",(Acc!$F473*CommissionDD!$C$30))</f>
        <v/>
      </c>
      <c r="H473" s="23" t="str">
        <f t="shared" si="21"/>
        <v/>
      </c>
    </row>
    <row r="474" spans="1:8">
      <c r="A474" s="21" t="str">
        <f t="shared" si="22"/>
        <v/>
      </c>
      <c r="B474" s="1" t="str">
        <f>IF(Cus!$B474&lt;&gt;"",Cus!$A474,"")</f>
        <v/>
      </c>
      <c r="C474" s="22" t="str">
        <f>IF($B474="","",Cus!$AA474)</f>
        <v/>
      </c>
      <c r="D474" s="23" t="str">
        <f>IF($B474="","",(Acc!$H474*$C474))</f>
        <v/>
      </c>
      <c r="E474" s="24">
        <f>IF(C474&lt;=CommissionDD!$E$3,CommissionDD!$C$3,IF(C474&lt;=CommissionDD!$E$4,CommissionDD!$C$4,IF(C474&lt;=CommissionDD!$E$5,CommissionDD!$C$5,IF(C474&lt;=CommissionDD!$E$6,CommissionDD!$C$6,IF(C474&lt;=CommissionDD!$E$7,CommissionDD!$C$7,IF(C474&lt;=CommissionDD!$E$8,CommissionDD!$C$8,CommissionDD!$C$9))))))</f>
        <v>0.03</v>
      </c>
      <c r="F474" s="23" t="str">
        <f t="shared" si="23"/>
        <v/>
      </c>
      <c r="G474" s="23" t="str">
        <f>IF($B474="","",(Acc!$F474*CommissionDD!$C$30))</f>
        <v/>
      </c>
      <c r="H474" s="23" t="str">
        <f t="shared" si="21"/>
        <v/>
      </c>
    </row>
    <row r="475" spans="1:8">
      <c r="A475" s="21" t="str">
        <f t="shared" si="22"/>
        <v/>
      </c>
      <c r="B475" s="1" t="str">
        <f>IF(Cus!$B475&lt;&gt;"",Cus!$A475,"")</f>
        <v/>
      </c>
      <c r="C475" s="22" t="str">
        <f>IF($B475="","",Cus!$AA475)</f>
        <v/>
      </c>
      <c r="D475" s="23" t="str">
        <f>IF($B475="","",(Acc!$H475*$C475))</f>
        <v/>
      </c>
      <c r="E475" s="24">
        <f>IF(C475&lt;=CommissionDD!$E$3,CommissionDD!$C$3,IF(C475&lt;=CommissionDD!$E$4,CommissionDD!$C$4,IF(C475&lt;=CommissionDD!$E$5,CommissionDD!$C$5,IF(C475&lt;=CommissionDD!$E$6,CommissionDD!$C$6,IF(C475&lt;=CommissionDD!$E$7,CommissionDD!$C$7,IF(C475&lt;=CommissionDD!$E$8,CommissionDD!$C$8,CommissionDD!$C$9))))))</f>
        <v>0.03</v>
      </c>
      <c r="F475" s="23" t="str">
        <f t="shared" si="23"/>
        <v/>
      </c>
      <c r="G475" s="23" t="str">
        <f>IF($B475="","",(Acc!$F475*CommissionDD!$C$30))</f>
        <v/>
      </c>
      <c r="H475" s="23" t="str">
        <f t="shared" si="21"/>
        <v/>
      </c>
    </row>
    <row r="476" spans="1:8">
      <c r="A476" s="21" t="str">
        <f t="shared" si="22"/>
        <v/>
      </c>
      <c r="B476" s="1" t="str">
        <f>IF(Cus!$B476&lt;&gt;"",Cus!$A476,"")</f>
        <v/>
      </c>
      <c r="C476" s="22" t="str">
        <f>IF($B476="","",Cus!$AA476)</f>
        <v/>
      </c>
      <c r="D476" s="23" t="str">
        <f>IF($B476="","",(Acc!$H476*$C476))</f>
        <v/>
      </c>
      <c r="E476" s="24">
        <f>IF(C476&lt;=CommissionDD!$E$3,CommissionDD!$C$3,IF(C476&lt;=CommissionDD!$E$4,CommissionDD!$C$4,IF(C476&lt;=CommissionDD!$E$5,CommissionDD!$C$5,IF(C476&lt;=CommissionDD!$E$6,CommissionDD!$C$6,IF(C476&lt;=CommissionDD!$E$7,CommissionDD!$C$7,IF(C476&lt;=CommissionDD!$E$8,CommissionDD!$C$8,CommissionDD!$C$9))))))</f>
        <v>0.03</v>
      </c>
      <c r="F476" s="23" t="str">
        <f t="shared" si="23"/>
        <v/>
      </c>
      <c r="G476" s="23" t="str">
        <f>IF($B476="","",(Acc!$F476*CommissionDD!$C$30))</f>
        <v/>
      </c>
      <c r="H476" s="23" t="str">
        <f t="shared" si="21"/>
        <v/>
      </c>
    </row>
    <row r="477" spans="1:8">
      <c r="A477" s="21" t="str">
        <f t="shared" si="22"/>
        <v/>
      </c>
      <c r="B477" s="1" t="str">
        <f>IF(Cus!$B477&lt;&gt;"",Cus!$A477,"")</f>
        <v/>
      </c>
      <c r="C477" s="22" t="str">
        <f>IF($B477="","",Cus!$AA477)</f>
        <v/>
      </c>
      <c r="D477" s="23" t="str">
        <f>IF($B477="","",(Acc!$H477*$C477))</f>
        <v/>
      </c>
      <c r="E477" s="24">
        <f>IF(C477&lt;=CommissionDD!$E$3,CommissionDD!$C$3,IF(C477&lt;=CommissionDD!$E$4,CommissionDD!$C$4,IF(C477&lt;=CommissionDD!$E$5,CommissionDD!$C$5,IF(C477&lt;=CommissionDD!$E$6,CommissionDD!$C$6,IF(C477&lt;=CommissionDD!$E$7,CommissionDD!$C$7,IF(C477&lt;=CommissionDD!$E$8,CommissionDD!$C$8,CommissionDD!$C$9))))))</f>
        <v>0.03</v>
      </c>
      <c r="F477" s="23" t="str">
        <f t="shared" si="23"/>
        <v/>
      </c>
      <c r="G477" s="23" t="str">
        <f>IF($B477="","",(Acc!$F477*CommissionDD!$C$30))</f>
        <v/>
      </c>
      <c r="H477" s="23" t="str">
        <f t="shared" si="21"/>
        <v/>
      </c>
    </row>
    <row r="478" spans="1:8">
      <c r="A478" s="21" t="str">
        <f t="shared" si="22"/>
        <v/>
      </c>
      <c r="B478" s="1" t="str">
        <f>IF(Cus!$B478&lt;&gt;"",Cus!$A478,"")</f>
        <v/>
      </c>
      <c r="C478" s="22" t="str">
        <f>IF($B478="","",Cus!$AA478)</f>
        <v/>
      </c>
      <c r="D478" s="23" t="str">
        <f>IF($B478="","",(Acc!$H478*$C478))</f>
        <v/>
      </c>
      <c r="E478" s="24">
        <f>IF(C478&lt;=CommissionDD!$E$3,CommissionDD!$C$3,IF(C478&lt;=CommissionDD!$E$4,CommissionDD!$C$4,IF(C478&lt;=CommissionDD!$E$5,CommissionDD!$C$5,IF(C478&lt;=CommissionDD!$E$6,CommissionDD!$C$6,IF(C478&lt;=CommissionDD!$E$7,CommissionDD!$C$7,IF(C478&lt;=CommissionDD!$E$8,CommissionDD!$C$8,CommissionDD!$C$9))))))</f>
        <v>0.03</v>
      </c>
      <c r="F478" s="23" t="str">
        <f t="shared" si="23"/>
        <v/>
      </c>
      <c r="G478" s="23" t="str">
        <f>IF($B478="","",(Acc!$F478*CommissionDD!$C$30))</f>
        <v/>
      </c>
      <c r="H478" s="23" t="str">
        <f t="shared" si="21"/>
        <v/>
      </c>
    </row>
    <row r="479" spans="1:8">
      <c r="A479" s="21" t="str">
        <f t="shared" si="22"/>
        <v/>
      </c>
      <c r="B479" s="1" t="str">
        <f>IF(Cus!$B479&lt;&gt;"",Cus!$A479,"")</f>
        <v/>
      </c>
      <c r="C479" s="22" t="str">
        <f>IF($B479="","",Cus!$AA479)</f>
        <v/>
      </c>
      <c r="D479" s="23" t="str">
        <f>IF($B479="","",(Acc!$H479*$C479))</f>
        <v/>
      </c>
      <c r="E479" s="24">
        <f>IF(C479&lt;=CommissionDD!$E$3,CommissionDD!$C$3,IF(C479&lt;=CommissionDD!$E$4,CommissionDD!$C$4,IF(C479&lt;=CommissionDD!$E$5,CommissionDD!$C$5,IF(C479&lt;=CommissionDD!$E$6,CommissionDD!$C$6,IF(C479&lt;=CommissionDD!$E$7,CommissionDD!$C$7,IF(C479&lt;=CommissionDD!$E$8,CommissionDD!$C$8,CommissionDD!$C$9))))))</f>
        <v>0.03</v>
      </c>
      <c r="F479" s="23" t="str">
        <f t="shared" si="23"/>
        <v/>
      </c>
      <c r="G479" s="23" t="str">
        <f>IF($B479="","",(Acc!$F479*CommissionDD!$C$30))</f>
        <v/>
      </c>
      <c r="H479" s="23" t="str">
        <f t="shared" si="21"/>
        <v/>
      </c>
    </row>
    <row r="480" spans="1:8">
      <c r="A480" s="21" t="str">
        <f t="shared" si="22"/>
        <v/>
      </c>
      <c r="B480" s="1" t="str">
        <f>IF(Cus!$B480&lt;&gt;"",Cus!$A480,"")</f>
        <v/>
      </c>
      <c r="C480" s="22" t="str">
        <f>IF($B480="","",Cus!$AA480)</f>
        <v/>
      </c>
      <c r="D480" s="23" t="str">
        <f>IF($B480="","",(Acc!$H480*$C480))</f>
        <v/>
      </c>
      <c r="E480" s="24">
        <f>IF(C480&lt;=CommissionDD!$E$3,CommissionDD!$C$3,IF(C480&lt;=CommissionDD!$E$4,CommissionDD!$C$4,IF(C480&lt;=CommissionDD!$E$5,CommissionDD!$C$5,IF(C480&lt;=CommissionDD!$E$6,CommissionDD!$C$6,IF(C480&lt;=CommissionDD!$E$7,CommissionDD!$C$7,IF(C480&lt;=CommissionDD!$E$8,CommissionDD!$C$8,CommissionDD!$C$9))))))</f>
        <v>0.03</v>
      </c>
      <c r="F480" s="23" t="str">
        <f t="shared" si="23"/>
        <v/>
      </c>
      <c r="G480" s="23" t="str">
        <f>IF($B480="","",(Acc!$F480*CommissionDD!$C$30))</f>
        <v/>
      </c>
      <c r="H480" s="23" t="str">
        <f t="shared" si="21"/>
        <v/>
      </c>
    </row>
    <row r="481" spans="1:8">
      <c r="A481" s="21" t="str">
        <f t="shared" si="22"/>
        <v/>
      </c>
      <c r="B481" s="1" t="str">
        <f>IF(Cus!$B481&lt;&gt;"",Cus!$A481,"")</f>
        <v/>
      </c>
      <c r="C481" s="22" t="str">
        <f>IF($B481="","",Cus!$AA481)</f>
        <v/>
      </c>
      <c r="D481" s="23" t="str">
        <f>IF($B481="","",(Acc!$H481*$C481))</f>
        <v/>
      </c>
      <c r="E481" s="24">
        <f>IF(C481&lt;=CommissionDD!$E$3,CommissionDD!$C$3,IF(C481&lt;=CommissionDD!$E$4,CommissionDD!$C$4,IF(C481&lt;=CommissionDD!$E$5,CommissionDD!$C$5,IF(C481&lt;=CommissionDD!$E$6,CommissionDD!$C$6,IF(C481&lt;=CommissionDD!$E$7,CommissionDD!$C$7,IF(C481&lt;=CommissionDD!$E$8,CommissionDD!$C$8,CommissionDD!$C$9))))))</f>
        <v>0.03</v>
      </c>
      <c r="F481" s="23" t="str">
        <f t="shared" si="23"/>
        <v/>
      </c>
      <c r="G481" s="23" t="str">
        <f>IF($B481="","",(Acc!$F481*CommissionDD!$C$30))</f>
        <v/>
      </c>
      <c r="H481" s="23" t="str">
        <f t="shared" si="21"/>
        <v/>
      </c>
    </row>
    <row r="482" spans="1:8">
      <c r="A482" s="21" t="str">
        <f t="shared" si="22"/>
        <v/>
      </c>
      <c r="B482" s="1" t="str">
        <f>IF(Cus!$B482&lt;&gt;"",Cus!$A482,"")</f>
        <v/>
      </c>
      <c r="C482" s="22" t="str">
        <f>IF($B482="","",Cus!$AA482)</f>
        <v/>
      </c>
      <c r="D482" s="23" t="str">
        <f>IF($B482="","",(Acc!$H482*$C482))</f>
        <v/>
      </c>
      <c r="E482" s="24">
        <f>IF(C482&lt;=CommissionDD!$E$3,CommissionDD!$C$3,IF(C482&lt;=CommissionDD!$E$4,CommissionDD!$C$4,IF(C482&lt;=CommissionDD!$E$5,CommissionDD!$C$5,IF(C482&lt;=CommissionDD!$E$6,CommissionDD!$C$6,IF(C482&lt;=CommissionDD!$E$7,CommissionDD!$C$7,IF(C482&lt;=CommissionDD!$E$8,CommissionDD!$C$8,CommissionDD!$C$9))))))</f>
        <v>0.03</v>
      </c>
      <c r="F482" s="23" t="str">
        <f t="shared" si="23"/>
        <v/>
      </c>
      <c r="G482" s="23" t="str">
        <f>IF($B482="","",(Acc!$F482*CommissionDD!$C$30))</f>
        <v/>
      </c>
      <c r="H482" s="23" t="str">
        <f t="shared" si="21"/>
        <v/>
      </c>
    </row>
    <row r="483" spans="1:8">
      <c r="A483" s="21" t="str">
        <f t="shared" si="22"/>
        <v/>
      </c>
      <c r="B483" s="1" t="str">
        <f>IF(Cus!$B483&lt;&gt;"",Cus!$A483,"")</f>
        <v/>
      </c>
      <c r="C483" s="22" t="str">
        <f>IF($B483="","",Cus!$AA483)</f>
        <v/>
      </c>
      <c r="D483" s="23" t="str">
        <f>IF($B483="","",(Acc!$H483*$C483))</f>
        <v/>
      </c>
      <c r="E483" s="24">
        <f>IF(C483&lt;=CommissionDD!$E$3,CommissionDD!$C$3,IF(C483&lt;=CommissionDD!$E$4,CommissionDD!$C$4,IF(C483&lt;=CommissionDD!$E$5,CommissionDD!$C$5,IF(C483&lt;=CommissionDD!$E$6,CommissionDD!$C$6,IF(C483&lt;=CommissionDD!$E$7,CommissionDD!$C$7,IF(C483&lt;=CommissionDD!$E$8,CommissionDD!$C$8,CommissionDD!$C$9))))))</f>
        <v>0.03</v>
      </c>
      <c r="F483" s="23" t="str">
        <f t="shared" si="23"/>
        <v/>
      </c>
      <c r="G483" s="23" t="str">
        <f>IF($B483="","",(Acc!$F483*CommissionDD!$C$30))</f>
        <v/>
      </c>
      <c r="H483" s="23" t="str">
        <f t="shared" si="21"/>
        <v/>
      </c>
    </row>
    <row r="484" spans="1:8">
      <c r="A484" s="21" t="str">
        <f t="shared" si="22"/>
        <v/>
      </c>
      <c r="B484" s="1" t="str">
        <f>IF(Cus!$B484&lt;&gt;"",Cus!$A484,"")</f>
        <v/>
      </c>
      <c r="C484" s="22" t="str">
        <f>IF($B484="","",Cus!$AA484)</f>
        <v/>
      </c>
      <c r="D484" s="23" t="str">
        <f>IF($B484="","",(Acc!$H484*$C484))</f>
        <v/>
      </c>
      <c r="E484" s="24">
        <f>IF(C484&lt;=CommissionDD!$E$3,CommissionDD!$C$3,IF(C484&lt;=CommissionDD!$E$4,CommissionDD!$C$4,IF(C484&lt;=CommissionDD!$E$5,CommissionDD!$C$5,IF(C484&lt;=CommissionDD!$E$6,CommissionDD!$C$6,IF(C484&lt;=CommissionDD!$E$7,CommissionDD!$C$7,IF(C484&lt;=CommissionDD!$E$8,CommissionDD!$C$8,CommissionDD!$C$9))))))</f>
        <v>0.03</v>
      </c>
      <c r="F484" s="23" t="str">
        <f t="shared" si="23"/>
        <v/>
      </c>
      <c r="G484" s="23" t="str">
        <f>IF($B484="","",(Acc!$F484*CommissionDD!$C$30))</f>
        <v/>
      </c>
      <c r="H484" s="23" t="str">
        <f t="shared" si="21"/>
        <v/>
      </c>
    </row>
    <row r="485" spans="1:8">
      <c r="A485" s="21" t="str">
        <f t="shared" si="22"/>
        <v/>
      </c>
      <c r="B485" s="1" t="str">
        <f>IF(Cus!$B485&lt;&gt;"",Cus!$A485,"")</f>
        <v/>
      </c>
      <c r="C485" s="22" t="str">
        <f>IF($B485="","",Cus!$AA485)</f>
        <v/>
      </c>
      <c r="D485" s="23" t="str">
        <f>IF($B485="","",(Acc!$H485*$C485))</f>
        <v/>
      </c>
      <c r="E485" s="24">
        <f>IF(C485&lt;=CommissionDD!$E$3,CommissionDD!$C$3,IF(C485&lt;=CommissionDD!$E$4,CommissionDD!$C$4,IF(C485&lt;=CommissionDD!$E$5,CommissionDD!$C$5,IF(C485&lt;=CommissionDD!$E$6,CommissionDD!$C$6,IF(C485&lt;=CommissionDD!$E$7,CommissionDD!$C$7,IF(C485&lt;=CommissionDD!$E$8,CommissionDD!$C$8,CommissionDD!$C$9))))))</f>
        <v>0.03</v>
      </c>
      <c r="F485" s="23" t="str">
        <f t="shared" si="23"/>
        <v/>
      </c>
      <c r="G485" s="23" t="str">
        <f>IF($B485="","",(Acc!$F485*CommissionDD!$C$30))</f>
        <v/>
      </c>
      <c r="H485" s="23" t="str">
        <f t="shared" si="21"/>
        <v/>
      </c>
    </row>
    <row r="486" spans="1:8">
      <c r="A486" s="21" t="str">
        <f t="shared" si="22"/>
        <v/>
      </c>
      <c r="B486" s="1" t="str">
        <f>IF(Cus!$B486&lt;&gt;"",Cus!$A486,"")</f>
        <v/>
      </c>
      <c r="C486" s="22" t="str">
        <f>IF($B486="","",Cus!$AA486)</f>
        <v/>
      </c>
      <c r="D486" s="23" t="str">
        <f>IF($B486="","",(Acc!$H486*$C486))</f>
        <v/>
      </c>
      <c r="E486" s="24">
        <f>IF(C486&lt;=CommissionDD!$E$3,CommissionDD!$C$3,IF(C486&lt;=CommissionDD!$E$4,CommissionDD!$C$4,IF(C486&lt;=CommissionDD!$E$5,CommissionDD!$C$5,IF(C486&lt;=CommissionDD!$E$6,CommissionDD!$C$6,IF(C486&lt;=CommissionDD!$E$7,CommissionDD!$C$7,IF(C486&lt;=CommissionDD!$E$8,CommissionDD!$C$8,CommissionDD!$C$9))))))</f>
        <v>0.03</v>
      </c>
      <c r="F486" s="23" t="str">
        <f t="shared" si="23"/>
        <v/>
      </c>
      <c r="G486" s="23" t="str">
        <f>IF($B486="","",(Acc!$F486*CommissionDD!$C$30))</f>
        <v/>
      </c>
      <c r="H486" s="23" t="str">
        <f t="shared" si="21"/>
        <v/>
      </c>
    </row>
    <row r="487" spans="1:8">
      <c r="A487" s="21" t="str">
        <f t="shared" si="22"/>
        <v/>
      </c>
      <c r="B487" s="1" t="str">
        <f>IF(Cus!$B487&lt;&gt;"",Cus!$A487,"")</f>
        <v/>
      </c>
      <c r="C487" s="22" t="str">
        <f>IF($B487="","",Cus!$AA487)</f>
        <v/>
      </c>
      <c r="D487" s="23" t="str">
        <f>IF($B487="","",(Acc!$H487*$C487))</f>
        <v/>
      </c>
      <c r="E487" s="24">
        <f>IF(C487&lt;=CommissionDD!$E$3,CommissionDD!$C$3,IF(C487&lt;=CommissionDD!$E$4,CommissionDD!$C$4,IF(C487&lt;=CommissionDD!$E$5,CommissionDD!$C$5,IF(C487&lt;=CommissionDD!$E$6,CommissionDD!$C$6,IF(C487&lt;=CommissionDD!$E$7,CommissionDD!$C$7,IF(C487&lt;=CommissionDD!$E$8,CommissionDD!$C$8,CommissionDD!$C$9))))))</f>
        <v>0.03</v>
      </c>
      <c r="F487" s="23" t="str">
        <f t="shared" si="23"/>
        <v/>
      </c>
      <c r="G487" s="23" t="str">
        <f>IF($B487="","",(Acc!$F487*CommissionDD!$C$30))</f>
        <v/>
      </c>
      <c r="H487" s="23" t="str">
        <f t="shared" si="21"/>
        <v/>
      </c>
    </row>
    <row r="488" spans="1:8">
      <c r="A488" s="21" t="str">
        <f t="shared" si="22"/>
        <v/>
      </c>
      <c r="B488" s="1" t="str">
        <f>IF(Cus!$B488&lt;&gt;"",Cus!$A488,"")</f>
        <v/>
      </c>
      <c r="C488" s="22" t="str">
        <f>IF($B488="","",Cus!$AA488)</f>
        <v/>
      </c>
      <c r="D488" s="23" t="str">
        <f>IF($B488="","",(Acc!$H488*$C488))</f>
        <v/>
      </c>
      <c r="E488" s="24">
        <f>IF(C488&lt;=CommissionDD!$E$3,CommissionDD!$C$3,IF(C488&lt;=CommissionDD!$E$4,CommissionDD!$C$4,IF(C488&lt;=CommissionDD!$E$5,CommissionDD!$C$5,IF(C488&lt;=CommissionDD!$E$6,CommissionDD!$C$6,IF(C488&lt;=CommissionDD!$E$7,CommissionDD!$C$7,IF(C488&lt;=CommissionDD!$E$8,CommissionDD!$C$8,CommissionDD!$C$9))))))</f>
        <v>0.03</v>
      </c>
      <c r="F488" s="23" t="str">
        <f t="shared" si="23"/>
        <v/>
      </c>
      <c r="G488" s="23" t="str">
        <f>IF($B488="","",(Acc!$F488*CommissionDD!$C$30))</f>
        <v/>
      </c>
      <c r="H488" s="23" t="str">
        <f t="shared" si="21"/>
        <v/>
      </c>
    </row>
    <row r="489" spans="1:8">
      <c r="A489" s="21" t="str">
        <f t="shared" si="22"/>
        <v/>
      </c>
      <c r="B489" s="1" t="str">
        <f>IF(Cus!$B489&lt;&gt;"",Cus!$A489,"")</f>
        <v/>
      </c>
      <c r="C489" s="22" t="str">
        <f>IF($B489="","",Cus!$AA489)</f>
        <v/>
      </c>
      <c r="D489" s="23" t="str">
        <f>IF($B489="","",(Acc!$H489*$C489))</f>
        <v/>
      </c>
      <c r="E489" s="24">
        <f>IF(C489&lt;=CommissionDD!$E$3,CommissionDD!$C$3,IF(C489&lt;=CommissionDD!$E$4,CommissionDD!$C$4,IF(C489&lt;=CommissionDD!$E$5,CommissionDD!$C$5,IF(C489&lt;=CommissionDD!$E$6,CommissionDD!$C$6,IF(C489&lt;=CommissionDD!$E$7,CommissionDD!$C$7,IF(C489&lt;=CommissionDD!$E$8,CommissionDD!$C$8,CommissionDD!$C$9))))))</f>
        <v>0.03</v>
      </c>
      <c r="F489" s="23" t="str">
        <f t="shared" si="23"/>
        <v/>
      </c>
      <c r="G489" s="23" t="str">
        <f>IF($B489="","",(Acc!$F489*CommissionDD!$C$30))</f>
        <v/>
      </c>
      <c r="H489" s="23" t="str">
        <f t="shared" si="21"/>
        <v/>
      </c>
    </row>
    <row r="490" spans="1:8">
      <c r="A490" s="21" t="str">
        <f t="shared" si="22"/>
        <v/>
      </c>
      <c r="B490" s="1" t="str">
        <f>IF(Cus!$B490&lt;&gt;"",Cus!$A490,"")</f>
        <v/>
      </c>
      <c r="C490" s="22" t="str">
        <f>IF($B490="","",Cus!$AA490)</f>
        <v/>
      </c>
      <c r="D490" s="23" t="str">
        <f>IF($B490="","",(Acc!$H490*$C490))</f>
        <v/>
      </c>
      <c r="E490" s="24">
        <f>IF(C490&lt;=CommissionDD!$E$3,CommissionDD!$C$3,IF(C490&lt;=CommissionDD!$E$4,CommissionDD!$C$4,IF(C490&lt;=CommissionDD!$E$5,CommissionDD!$C$5,IF(C490&lt;=CommissionDD!$E$6,CommissionDD!$C$6,IF(C490&lt;=CommissionDD!$E$7,CommissionDD!$C$7,IF(C490&lt;=CommissionDD!$E$8,CommissionDD!$C$8,CommissionDD!$C$9))))))</f>
        <v>0.03</v>
      </c>
      <c r="F490" s="23" t="str">
        <f t="shared" si="23"/>
        <v/>
      </c>
      <c r="G490" s="23" t="str">
        <f>IF($B490="","",(Acc!$F490*CommissionDD!$C$30))</f>
        <v/>
      </c>
      <c r="H490" s="23" t="str">
        <f t="shared" si="21"/>
        <v/>
      </c>
    </row>
    <row r="491" spans="1:8">
      <c r="A491" s="21" t="str">
        <f t="shared" si="22"/>
        <v/>
      </c>
      <c r="B491" s="1" t="str">
        <f>IF(Cus!$B491&lt;&gt;"",Cus!$A491,"")</f>
        <v/>
      </c>
      <c r="C491" s="22" t="str">
        <f>IF($B491="","",Cus!$AA491)</f>
        <v/>
      </c>
      <c r="D491" s="23" t="str">
        <f>IF($B491="","",(Acc!$H491*$C491))</f>
        <v/>
      </c>
      <c r="E491" s="24">
        <f>IF(C491&lt;=CommissionDD!$E$3,CommissionDD!$C$3,IF(C491&lt;=CommissionDD!$E$4,CommissionDD!$C$4,IF(C491&lt;=CommissionDD!$E$5,CommissionDD!$C$5,IF(C491&lt;=CommissionDD!$E$6,CommissionDD!$C$6,IF(C491&lt;=CommissionDD!$E$7,CommissionDD!$C$7,IF(C491&lt;=CommissionDD!$E$8,CommissionDD!$C$8,CommissionDD!$C$9))))))</f>
        <v>0.03</v>
      </c>
      <c r="F491" s="23" t="str">
        <f t="shared" si="23"/>
        <v/>
      </c>
      <c r="G491" s="23" t="str">
        <f>IF($B491="","",(Acc!$F491*CommissionDD!$C$30))</f>
        <v/>
      </c>
      <c r="H491" s="23" t="str">
        <f t="shared" si="21"/>
        <v/>
      </c>
    </row>
    <row r="492" spans="1:8">
      <c r="A492" s="21" t="str">
        <f t="shared" si="22"/>
        <v/>
      </c>
      <c r="B492" s="1" t="str">
        <f>IF(Cus!$B492&lt;&gt;"",Cus!$A492,"")</f>
        <v/>
      </c>
      <c r="C492" s="22" t="str">
        <f>IF($B492="","",Cus!$AA492)</f>
        <v/>
      </c>
      <c r="D492" s="23" t="str">
        <f>IF($B492="","",(Acc!$H492*$C492))</f>
        <v/>
      </c>
      <c r="E492" s="24">
        <f>IF(C492&lt;=CommissionDD!$E$3,CommissionDD!$C$3,IF(C492&lt;=CommissionDD!$E$4,CommissionDD!$C$4,IF(C492&lt;=CommissionDD!$E$5,CommissionDD!$C$5,IF(C492&lt;=CommissionDD!$E$6,CommissionDD!$C$6,IF(C492&lt;=CommissionDD!$E$7,CommissionDD!$C$7,IF(C492&lt;=CommissionDD!$E$8,CommissionDD!$C$8,CommissionDD!$C$9))))))</f>
        <v>0.03</v>
      </c>
      <c r="F492" s="23" t="str">
        <f t="shared" si="23"/>
        <v/>
      </c>
      <c r="G492" s="23" t="str">
        <f>IF($B492="","",(Acc!$F492*CommissionDD!$C$30))</f>
        <v/>
      </c>
      <c r="H492" s="23" t="str">
        <f t="shared" si="21"/>
        <v/>
      </c>
    </row>
    <row r="493" spans="1:8">
      <c r="A493" s="21" t="str">
        <f t="shared" si="22"/>
        <v/>
      </c>
      <c r="B493" s="1" t="str">
        <f>IF(Cus!$B493&lt;&gt;"",Cus!$A493,"")</f>
        <v/>
      </c>
      <c r="C493" s="22" t="str">
        <f>IF($B493="","",Cus!$AA493)</f>
        <v/>
      </c>
      <c r="D493" s="23" t="str">
        <f>IF($B493="","",(Acc!$H493*$C493))</f>
        <v/>
      </c>
      <c r="E493" s="24">
        <f>IF(C493&lt;=CommissionDD!$E$3,CommissionDD!$C$3,IF(C493&lt;=CommissionDD!$E$4,CommissionDD!$C$4,IF(C493&lt;=CommissionDD!$E$5,CommissionDD!$C$5,IF(C493&lt;=CommissionDD!$E$6,CommissionDD!$C$6,IF(C493&lt;=CommissionDD!$E$7,CommissionDD!$C$7,IF(C493&lt;=CommissionDD!$E$8,CommissionDD!$C$8,CommissionDD!$C$9))))))</f>
        <v>0.03</v>
      </c>
      <c r="F493" s="23" t="str">
        <f t="shared" si="23"/>
        <v/>
      </c>
      <c r="G493" s="23" t="str">
        <f>IF($B493="","",(Acc!$F493*CommissionDD!$C$30))</f>
        <v/>
      </c>
      <c r="H493" s="23" t="str">
        <f t="shared" si="21"/>
        <v/>
      </c>
    </row>
    <row r="494" spans="1:8">
      <c r="A494" s="21" t="str">
        <f t="shared" si="22"/>
        <v/>
      </c>
      <c r="B494" s="1" t="str">
        <f>IF(Cus!$B494&lt;&gt;"",Cus!$A494,"")</f>
        <v/>
      </c>
      <c r="C494" s="22" t="str">
        <f>IF($B494="","",Cus!$AA494)</f>
        <v/>
      </c>
      <c r="D494" s="23" t="str">
        <f>IF($B494="","",(Acc!$H494*$C494))</f>
        <v/>
      </c>
      <c r="E494" s="24">
        <f>IF(C494&lt;=CommissionDD!$E$3,CommissionDD!$C$3,IF(C494&lt;=CommissionDD!$E$4,CommissionDD!$C$4,IF(C494&lt;=CommissionDD!$E$5,CommissionDD!$C$5,IF(C494&lt;=CommissionDD!$E$6,CommissionDD!$C$6,IF(C494&lt;=CommissionDD!$E$7,CommissionDD!$C$7,IF(C494&lt;=CommissionDD!$E$8,CommissionDD!$C$8,CommissionDD!$C$9))))))</f>
        <v>0.03</v>
      </c>
      <c r="F494" s="23" t="str">
        <f t="shared" si="23"/>
        <v/>
      </c>
      <c r="G494" s="23" t="str">
        <f>IF($B494="","",(Acc!$F494*CommissionDD!$C$30))</f>
        <v/>
      </c>
      <c r="H494" s="23" t="str">
        <f t="shared" si="21"/>
        <v/>
      </c>
    </row>
    <row r="495" spans="1:8">
      <c r="A495" s="21" t="str">
        <f t="shared" si="22"/>
        <v/>
      </c>
      <c r="B495" s="1" t="str">
        <f>IF(Cus!$B495&lt;&gt;"",Cus!$A495,"")</f>
        <v/>
      </c>
      <c r="C495" s="22" t="str">
        <f>IF($B495="","",Cus!$AA495)</f>
        <v/>
      </c>
      <c r="D495" s="23" t="str">
        <f>IF($B495="","",(Acc!$H495*$C495))</f>
        <v/>
      </c>
      <c r="E495" s="24">
        <f>IF(C495&lt;=CommissionDD!$E$3,CommissionDD!$C$3,IF(C495&lt;=CommissionDD!$E$4,CommissionDD!$C$4,IF(C495&lt;=CommissionDD!$E$5,CommissionDD!$C$5,IF(C495&lt;=CommissionDD!$E$6,CommissionDD!$C$6,IF(C495&lt;=CommissionDD!$E$7,CommissionDD!$C$7,IF(C495&lt;=CommissionDD!$E$8,CommissionDD!$C$8,CommissionDD!$C$9))))))</f>
        <v>0.03</v>
      </c>
      <c r="F495" s="23" t="str">
        <f t="shared" si="23"/>
        <v/>
      </c>
      <c r="G495" s="23" t="str">
        <f>IF($B495="","",(Acc!$F495*CommissionDD!$C$30))</f>
        <v/>
      </c>
      <c r="H495" s="23" t="str">
        <f t="shared" si="21"/>
        <v/>
      </c>
    </row>
    <row r="496" spans="1:8">
      <c r="A496" s="21" t="str">
        <f t="shared" si="22"/>
        <v/>
      </c>
      <c r="B496" s="1" t="str">
        <f>IF(Cus!$B496&lt;&gt;"",Cus!$A496,"")</f>
        <v/>
      </c>
      <c r="C496" s="22" t="str">
        <f>IF($B496="","",Cus!$AA496)</f>
        <v/>
      </c>
      <c r="D496" s="23" t="str">
        <f>IF($B496="","",(Acc!$H496*$C496))</f>
        <v/>
      </c>
      <c r="E496" s="24">
        <f>IF(C496&lt;=CommissionDD!$E$3,CommissionDD!$C$3,IF(C496&lt;=CommissionDD!$E$4,CommissionDD!$C$4,IF(C496&lt;=CommissionDD!$E$5,CommissionDD!$C$5,IF(C496&lt;=CommissionDD!$E$6,CommissionDD!$C$6,IF(C496&lt;=CommissionDD!$E$7,CommissionDD!$C$7,IF(C496&lt;=CommissionDD!$E$8,CommissionDD!$C$8,CommissionDD!$C$9))))))</f>
        <v>0.03</v>
      </c>
      <c r="F496" s="23" t="str">
        <f t="shared" si="23"/>
        <v/>
      </c>
      <c r="G496" s="23" t="str">
        <f>IF($B496="","",(Acc!$F496*CommissionDD!$C$30))</f>
        <v/>
      </c>
      <c r="H496" s="23" t="str">
        <f t="shared" si="21"/>
        <v/>
      </c>
    </row>
    <row r="497" spans="1:8">
      <c r="A497" s="21" t="str">
        <f t="shared" si="22"/>
        <v/>
      </c>
      <c r="B497" s="1" t="str">
        <f>IF(Cus!$B497&lt;&gt;"",Cus!$A497,"")</f>
        <v/>
      </c>
      <c r="C497" s="22" t="str">
        <f>IF($B497="","",Cus!$AA497)</f>
        <v/>
      </c>
      <c r="D497" s="23" t="str">
        <f>IF($B497="","",(Acc!$H497*$C497))</f>
        <v/>
      </c>
      <c r="E497" s="24">
        <f>IF(C497&lt;=CommissionDD!$E$3,CommissionDD!$C$3,IF(C497&lt;=CommissionDD!$E$4,CommissionDD!$C$4,IF(C497&lt;=CommissionDD!$E$5,CommissionDD!$C$5,IF(C497&lt;=CommissionDD!$E$6,CommissionDD!$C$6,IF(C497&lt;=CommissionDD!$E$7,CommissionDD!$C$7,IF(C497&lt;=CommissionDD!$E$8,CommissionDD!$C$8,CommissionDD!$C$9))))))</f>
        <v>0.03</v>
      </c>
      <c r="F497" s="23" t="str">
        <f t="shared" si="23"/>
        <v/>
      </c>
      <c r="G497" s="23" t="str">
        <f>IF($B497="","",(Acc!$F497*CommissionDD!$C$30))</f>
        <v/>
      </c>
      <c r="H497" s="23" t="str">
        <f t="shared" si="21"/>
        <v/>
      </c>
    </row>
    <row r="498" spans="1:8">
      <c r="A498" s="21" t="str">
        <f t="shared" si="22"/>
        <v/>
      </c>
      <c r="B498" s="1" t="str">
        <f>IF(Cus!$B498&lt;&gt;"",Cus!$A498,"")</f>
        <v/>
      </c>
      <c r="C498" s="22" t="str">
        <f>IF($B498="","",Cus!$AA498)</f>
        <v/>
      </c>
      <c r="D498" s="23" t="str">
        <f>IF($B498="","",(Acc!$H498*$C498))</f>
        <v/>
      </c>
      <c r="E498" s="24">
        <f>IF(C498&lt;=CommissionDD!$E$3,CommissionDD!$C$3,IF(C498&lt;=CommissionDD!$E$4,CommissionDD!$C$4,IF(C498&lt;=CommissionDD!$E$5,CommissionDD!$C$5,IF(C498&lt;=CommissionDD!$E$6,CommissionDD!$C$6,IF(C498&lt;=CommissionDD!$E$7,CommissionDD!$C$7,IF(C498&lt;=CommissionDD!$E$8,CommissionDD!$C$8,CommissionDD!$C$9))))))</f>
        <v>0.03</v>
      </c>
      <c r="F498" s="23" t="str">
        <f t="shared" si="23"/>
        <v/>
      </c>
      <c r="G498" s="23" t="str">
        <f>IF($B498="","",(Acc!$F498*CommissionDD!$C$30))</f>
        <v/>
      </c>
      <c r="H498" s="23" t="str">
        <f t="shared" si="21"/>
        <v/>
      </c>
    </row>
    <row r="499" spans="1:8">
      <c r="A499" s="21" t="str">
        <f t="shared" si="22"/>
        <v/>
      </c>
      <c r="B499" s="1" t="str">
        <f>IF(Cus!$B499&lt;&gt;"",Cus!$A499,"")</f>
        <v/>
      </c>
      <c r="C499" s="22" t="str">
        <f>IF($B499="","",Cus!$AA499)</f>
        <v/>
      </c>
      <c r="D499" s="23" t="str">
        <f>IF($B499="","",(Acc!$H499*$C499))</f>
        <v/>
      </c>
      <c r="E499" s="24">
        <f>IF(C499&lt;=CommissionDD!$E$3,CommissionDD!$C$3,IF(C499&lt;=CommissionDD!$E$4,CommissionDD!$C$4,IF(C499&lt;=CommissionDD!$E$5,CommissionDD!$C$5,IF(C499&lt;=CommissionDD!$E$6,CommissionDD!$C$6,IF(C499&lt;=CommissionDD!$E$7,CommissionDD!$C$7,IF(C499&lt;=CommissionDD!$E$8,CommissionDD!$C$8,CommissionDD!$C$9))))))</f>
        <v>0.03</v>
      </c>
      <c r="F499" s="23" t="str">
        <f t="shared" si="23"/>
        <v/>
      </c>
      <c r="G499" s="23" t="str">
        <f>IF($B499="","",(Acc!$F499*CommissionDD!$C$30))</f>
        <v/>
      </c>
      <c r="H499" s="23" t="str">
        <f t="shared" si="21"/>
        <v/>
      </c>
    </row>
    <row r="500" spans="1:8">
      <c r="A500" s="21" t="str">
        <f t="shared" si="22"/>
        <v/>
      </c>
      <c r="B500" s="1" t="str">
        <f>IF(Cus!$B500&lt;&gt;"",Cus!$A500,"")</f>
        <v/>
      </c>
      <c r="C500" s="22" t="str">
        <f>IF($B500="","",Cus!$AA500)</f>
        <v/>
      </c>
      <c r="D500" s="23" t="str">
        <f>IF($B500="","",(Acc!$H500*$C500))</f>
        <v/>
      </c>
      <c r="E500" s="24">
        <f>IF(C500&lt;=CommissionDD!$E$3,CommissionDD!$C$3,IF(C500&lt;=CommissionDD!$E$4,CommissionDD!$C$4,IF(C500&lt;=CommissionDD!$E$5,CommissionDD!$C$5,IF(C500&lt;=CommissionDD!$E$6,CommissionDD!$C$6,IF(C500&lt;=CommissionDD!$E$7,CommissionDD!$C$7,IF(C500&lt;=CommissionDD!$E$8,CommissionDD!$C$8,CommissionDD!$C$9))))))</f>
        <v>0.03</v>
      </c>
      <c r="F500" s="23" t="str">
        <f t="shared" si="23"/>
        <v/>
      </c>
      <c r="G500" s="23" t="str">
        <f>IF($B500="","",(Acc!$F500*CommissionDD!$C$30))</f>
        <v/>
      </c>
      <c r="H500" s="23" t="str">
        <f t="shared" si="21"/>
        <v/>
      </c>
    </row>
    <row r="501" spans="1:8">
      <c r="A501" s="21" t="str">
        <f t="shared" si="22"/>
        <v/>
      </c>
      <c r="B501" s="1" t="str">
        <f>IF(Cus!$B501&lt;&gt;"",Cus!$A501,"")</f>
        <v/>
      </c>
      <c r="C501" s="22" t="str">
        <f>IF($B501="","",Cus!$AA501)</f>
        <v/>
      </c>
      <c r="D501" s="23" t="str">
        <f>IF($B501="","",(Acc!$H501*$C501))</f>
        <v/>
      </c>
      <c r="E501" s="24">
        <f>IF(C501&lt;=CommissionDD!$E$3,CommissionDD!$C$3,IF(C501&lt;=CommissionDD!$E$4,CommissionDD!$C$4,IF(C501&lt;=CommissionDD!$E$5,CommissionDD!$C$5,IF(C501&lt;=CommissionDD!$E$6,CommissionDD!$C$6,IF(C501&lt;=CommissionDD!$E$7,CommissionDD!$C$7,IF(C501&lt;=CommissionDD!$E$8,CommissionDD!$C$8,CommissionDD!$C$9))))))</f>
        <v>0.03</v>
      </c>
      <c r="F501" s="23" t="str">
        <f t="shared" si="23"/>
        <v/>
      </c>
      <c r="G501" s="23" t="str">
        <f>IF($B501="","",(Acc!$F501*CommissionDD!$C$30))</f>
        <v/>
      </c>
      <c r="H501" s="23" t="str">
        <f t="shared" si="21"/>
        <v/>
      </c>
    </row>
    <row r="502" spans="1:8">
      <c r="A502" s="21" t="str">
        <f t="shared" si="22"/>
        <v/>
      </c>
      <c r="B502" s="1" t="str">
        <f>IF(Cus!$B502&lt;&gt;"",Cus!$A502,"")</f>
        <v/>
      </c>
      <c r="C502" s="22" t="str">
        <f>IF($B502="","",Cus!$AA502)</f>
        <v/>
      </c>
      <c r="D502" s="23" t="str">
        <f>IF($B502="","",(Acc!$H502*$C502))</f>
        <v/>
      </c>
      <c r="E502" s="24">
        <f>IF(C502&lt;=CommissionDD!$E$3,CommissionDD!$C$3,IF(C502&lt;=CommissionDD!$E$4,CommissionDD!$C$4,IF(C502&lt;=CommissionDD!$E$5,CommissionDD!$C$5,IF(C502&lt;=CommissionDD!$E$6,CommissionDD!$C$6,IF(C502&lt;=CommissionDD!$E$7,CommissionDD!$C$7,IF(C502&lt;=CommissionDD!$E$8,CommissionDD!$C$8,CommissionDD!$C$9))))))</f>
        <v>0.03</v>
      </c>
      <c r="F502" s="23" t="str">
        <f t="shared" si="23"/>
        <v/>
      </c>
      <c r="G502" s="23" t="str">
        <f>IF($B502="","",(Acc!$F502*CommissionDD!$C$30))</f>
        <v/>
      </c>
      <c r="H502" s="23" t="str">
        <f t="shared" si="21"/>
        <v/>
      </c>
    </row>
    <row r="503" spans="1:8">
      <c r="A503" s="21" t="str">
        <f t="shared" si="22"/>
        <v/>
      </c>
      <c r="B503" s="1" t="str">
        <f>IF(Cus!$B503&lt;&gt;"",Cus!$A503,"")</f>
        <v/>
      </c>
      <c r="C503" s="22" t="str">
        <f>IF($B503="","",Cus!$AA503)</f>
        <v/>
      </c>
      <c r="D503" s="23" t="str">
        <f>IF($B503="","",(Acc!$H503*$C503))</f>
        <v/>
      </c>
      <c r="E503" s="24">
        <f>IF(C503&lt;=CommissionDD!$E$3,CommissionDD!$C$3,IF(C503&lt;=CommissionDD!$E$4,CommissionDD!$C$4,IF(C503&lt;=CommissionDD!$E$5,CommissionDD!$C$5,IF(C503&lt;=CommissionDD!$E$6,CommissionDD!$C$6,IF(C503&lt;=CommissionDD!$E$7,CommissionDD!$C$7,IF(C503&lt;=CommissionDD!$E$8,CommissionDD!$C$8,CommissionDD!$C$9))))))</f>
        <v>0.03</v>
      </c>
      <c r="F503" s="23" t="str">
        <f t="shared" si="23"/>
        <v/>
      </c>
      <c r="G503" s="23" t="str">
        <f>IF($B503="","",(Acc!$F503*CommissionDD!$C$30))</f>
        <v/>
      </c>
      <c r="H503" s="23" t="str">
        <f t="shared" si="21"/>
        <v/>
      </c>
    </row>
    <row r="504" spans="1:8">
      <c r="A504" s="21" t="str">
        <f t="shared" si="22"/>
        <v/>
      </c>
      <c r="B504" s="1" t="str">
        <f>IF(Cus!$B504&lt;&gt;"",Cus!$A504,"")</f>
        <v/>
      </c>
      <c r="C504" s="22" t="str">
        <f>IF($B504="","",Cus!$AA504)</f>
        <v/>
      </c>
      <c r="D504" s="23" t="str">
        <f>IF($B504="","",(Acc!$H504*$C504))</f>
        <v/>
      </c>
      <c r="E504" s="24">
        <f>IF(C504&lt;=CommissionDD!$E$3,CommissionDD!$C$3,IF(C504&lt;=CommissionDD!$E$4,CommissionDD!$C$4,IF(C504&lt;=CommissionDD!$E$5,CommissionDD!$C$5,IF(C504&lt;=CommissionDD!$E$6,CommissionDD!$C$6,IF(C504&lt;=CommissionDD!$E$7,CommissionDD!$C$7,IF(C504&lt;=CommissionDD!$E$8,CommissionDD!$C$8,CommissionDD!$C$9))))))</f>
        <v>0.03</v>
      </c>
      <c r="F504" s="23" t="str">
        <f t="shared" si="23"/>
        <v/>
      </c>
      <c r="G504" s="23" t="str">
        <f>IF($B504="","",(Acc!$F504*CommissionDD!$C$30))</f>
        <v/>
      </c>
      <c r="H504" s="23" t="str">
        <f t="shared" si="21"/>
        <v/>
      </c>
    </row>
    <row r="505" spans="1:8">
      <c r="A505" s="21" t="str">
        <f t="shared" si="22"/>
        <v/>
      </c>
      <c r="B505" s="1" t="str">
        <f>IF(Cus!$B505&lt;&gt;"",Cus!$A505,"")</f>
        <v/>
      </c>
      <c r="C505" s="22" t="str">
        <f>IF($B505="","",Cus!$AA505)</f>
        <v/>
      </c>
      <c r="D505" s="23" t="str">
        <f>IF($B505="","",(Acc!$H505*$C505))</f>
        <v/>
      </c>
      <c r="E505" s="24">
        <f>IF(C505&lt;=CommissionDD!$E$3,CommissionDD!$C$3,IF(C505&lt;=CommissionDD!$E$4,CommissionDD!$C$4,IF(C505&lt;=CommissionDD!$E$5,CommissionDD!$C$5,IF(C505&lt;=CommissionDD!$E$6,CommissionDD!$C$6,IF(C505&lt;=CommissionDD!$E$7,CommissionDD!$C$7,IF(C505&lt;=CommissionDD!$E$8,CommissionDD!$C$8,CommissionDD!$C$9))))))</f>
        <v>0.03</v>
      </c>
      <c r="F505" s="23" t="str">
        <f t="shared" si="23"/>
        <v/>
      </c>
      <c r="G505" s="23" t="str">
        <f>IF($B505="","",(Acc!$F505*CommissionDD!$C$30))</f>
        <v/>
      </c>
      <c r="H505" s="23" t="str">
        <f t="shared" si="21"/>
        <v/>
      </c>
    </row>
    <row r="506" spans="1:8">
      <c r="A506" s="21" t="str">
        <f t="shared" si="22"/>
        <v/>
      </c>
      <c r="B506" s="1" t="str">
        <f>IF(Cus!$B506&lt;&gt;"",Cus!$A506,"")</f>
        <v/>
      </c>
      <c r="C506" s="22" t="str">
        <f>IF($B506="","",Cus!$AA506)</f>
        <v/>
      </c>
      <c r="D506" s="23" t="str">
        <f>IF($B506="","",(Acc!$H506*$C506))</f>
        <v/>
      </c>
      <c r="E506" s="24">
        <f>IF(C506&lt;=CommissionDD!$E$3,CommissionDD!$C$3,IF(C506&lt;=CommissionDD!$E$4,CommissionDD!$C$4,IF(C506&lt;=CommissionDD!$E$5,CommissionDD!$C$5,IF(C506&lt;=CommissionDD!$E$6,CommissionDD!$C$6,IF(C506&lt;=CommissionDD!$E$7,CommissionDD!$C$7,IF(C506&lt;=CommissionDD!$E$8,CommissionDD!$C$8,CommissionDD!$C$9))))))</f>
        <v>0.03</v>
      </c>
      <c r="F506" s="23" t="str">
        <f t="shared" si="23"/>
        <v/>
      </c>
      <c r="G506" s="23" t="str">
        <f>IF($B506="","",(Acc!$F506*CommissionDD!$C$30))</f>
        <v/>
      </c>
      <c r="H506" s="23" t="str">
        <f t="shared" si="21"/>
        <v/>
      </c>
    </row>
    <row r="507" spans="1:8">
      <c r="A507" s="21" t="str">
        <f t="shared" si="22"/>
        <v/>
      </c>
      <c r="B507" s="1" t="str">
        <f>IF(Cus!$B507&lt;&gt;"",Cus!$A507,"")</f>
        <v/>
      </c>
      <c r="C507" s="22" t="str">
        <f>IF($B507="","",Cus!$AA507)</f>
        <v/>
      </c>
      <c r="D507" s="23" t="str">
        <f>IF($B507="","",(Acc!$H507*$C507))</f>
        <v/>
      </c>
      <c r="E507" s="24">
        <f>IF(C507&lt;=CommissionDD!$E$3,CommissionDD!$C$3,IF(C507&lt;=CommissionDD!$E$4,CommissionDD!$C$4,IF(C507&lt;=CommissionDD!$E$5,CommissionDD!$C$5,IF(C507&lt;=CommissionDD!$E$6,CommissionDD!$C$6,IF(C507&lt;=CommissionDD!$E$7,CommissionDD!$C$7,IF(C507&lt;=CommissionDD!$E$8,CommissionDD!$C$8,CommissionDD!$C$9))))))</f>
        <v>0.03</v>
      </c>
      <c r="F507" s="23" t="str">
        <f t="shared" si="23"/>
        <v/>
      </c>
      <c r="G507" s="23" t="str">
        <f>IF($B507="","",(Acc!$F507*CommissionDD!$C$30))</f>
        <v/>
      </c>
      <c r="H507" s="23" t="str">
        <f t="shared" si="21"/>
        <v/>
      </c>
    </row>
    <row r="508" spans="1:8">
      <c r="A508" s="21" t="str">
        <f t="shared" si="22"/>
        <v/>
      </c>
      <c r="B508" s="1" t="str">
        <f>IF(Cus!$B508&lt;&gt;"",Cus!$A508,"")</f>
        <v/>
      </c>
      <c r="C508" s="22" t="str">
        <f>IF($B508="","",Cus!$AA508)</f>
        <v/>
      </c>
      <c r="D508" s="23" t="str">
        <f>IF($B508="","",(Acc!$H508*$C508))</f>
        <v/>
      </c>
      <c r="E508" s="24">
        <f>IF(C508&lt;=CommissionDD!$E$3,CommissionDD!$C$3,IF(C508&lt;=CommissionDD!$E$4,CommissionDD!$C$4,IF(C508&lt;=CommissionDD!$E$5,CommissionDD!$C$5,IF(C508&lt;=CommissionDD!$E$6,CommissionDD!$C$6,IF(C508&lt;=CommissionDD!$E$7,CommissionDD!$C$7,IF(C508&lt;=CommissionDD!$E$8,CommissionDD!$C$8,CommissionDD!$C$9))))))</f>
        <v>0.03</v>
      </c>
      <c r="F508" s="23" t="str">
        <f t="shared" si="23"/>
        <v/>
      </c>
      <c r="G508" s="23" t="str">
        <f>IF($B508="","",(Acc!$F508*CommissionDD!$C$30))</f>
        <v/>
      </c>
      <c r="H508" s="23" t="str">
        <f t="shared" si="21"/>
        <v/>
      </c>
    </row>
    <row r="509" spans="1:8">
      <c r="A509" s="21" t="str">
        <f t="shared" si="22"/>
        <v/>
      </c>
      <c r="B509" s="1" t="str">
        <f>IF(Cus!$B509&lt;&gt;"",Cus!$A509,"")</f>
        <v/>
      </c>
      <c r="C509" s="22" t="str">
        <f>IF($B509="","",Cus!$AA509)</f>
        <v/>
      </c>
      <c r="D509" s="23" t="str">
        <f>IF($B509="","",(Acc!$H509*$C509))</f>
        <v/>
      </c>
      <c r="E509" s="24">
        <f>IF(C509&lt;=CommissionDD!$E$3,CommissionDD!$C$3,IF(C509&lt;=CommissionDD!$E$4,CommissionDD!$C$4,IF(C509&lt;=CommissionDD!$E$5,CommissionDD!$C$5,IF(C509&lt;=CommissionDD!$E$6,CommissionDD!$C$6,IF(C509&lt;=CommissionDD!$E$7,CommissionDD!$C$7,IF(C509&lt;=CommissionDD!$E$8,CommissionDD!$C$8,CommissionDD!$C$9))))))</f>
        <v>0.03</v>
      </c>
      <c r="F509" s="23" t="str">
        <f t="shared" si="23"/>
        <v/>
      </c>
      <c r="G509" s="23" t="str">
        <f>IF($B509="","",(Acc!$F509*CommissionDD!$C$30))</f>
        <v/>
      </c>
      <c r="H509" s="23" t="str">
        <f t="shared" si="21"/>
        <v/>
      </c>
    </row>
    <row r="510" spans="1:8">
      <c r="A510" s="21" t="str">
        <f t="shared" si="22"/>
        <v/>
      </c>
      <c r="B510" s="1" t="str">
        <f>IF(Cus!$B510&lt;&gt;"",Cus!$A510,"")</f>
        <v/>
      </c>
      <c r="C510" s="22" t="str">
        <f>IF($B510="","",Cus!$AA510)</f>
        <v/>
      </c>
      <c r="D510" s="23" t="str">
        <f>IF($B510="","",(Acc!$H510*$C510))</f>
        <v/>
      </c>
      <c r="E510" s="24">
        <f>IF(C510&lt;=CommissionDD!$E$3,CommissionDD!$C$3,IF(C510&lt;=CommissionDD!$E$4,CommissionDD!$C$4,IF(C510&lt;=CommissionDD!$E$5,CommissionDD!$C$5,IF(C510&lt;=CommissionDD!$E$6,CommissionDD!$C$6,IF(C510&lt;=CommissionDD!$E$7,CommissionDD!$C$7,IF(C510&lt;=CommissionDD!$E$8,CommissionDD!$C$8,CommissionDD!$C$9))))))</f>
        <v>0.03</v>
      </c>
      <c r="F510" s="23" t="str">
        <f t="shared" si="23"/>
        <v/>
      </c>
      <c r="G510" s="23" t="str">
        <f>IF($B510="","",(Acc!$F510*CommissionDD!$C$30))</f>
        <v/>
      </c>
      <c r="H510" s="23" t="str">
        <f t="shared" si="21"/>
        <v/>
      </c>
    </row>
    <row r="511" spans="1:8">
      <c r="A511" s="21" t="str">
        <f t="shared" si="22"/>
        <v/>
      </c>
      <c r="B511" s="1" t="str">
        <f>IF(Cus!$B511&lt;&gt;"",Cus!$A511,"")</f>
        <v/>
      </c>
      <c r="C511" s="22" t="str">
        <f>IF($B511="","",Cus!$AA511)</f>
        <v/>
      </c>
      <c r="D511" s="23" t="str">
        <f>IF($B511="","",(Acc!$H511*$C511))</f>
        <v/>
      </c>
      <c r="E511" s="24">
        <f>IF(C511&lt;=CommissionDD!$E$3,CommissionDD!$C$3,IF(C511&lt;=CommissionDD!$E$4,CommissionDD!$C$4,IF(C511&lt;=CommissionDD!$E$5,CommissionDD!$C$5,IF(C511&lt;=CommissionDD!$E$6,CommissionDD!$C$6,IF(C511&lt;=CommissionDD!$E$7,CommissionDD!$C$7,IF(C511&lt;=CommissionDD!$E$8,CommissionDD!$C$8,CommissionDD!$C$9))))))</f>
        <v>0.03</v>
      </c>
      <c r="F511" s="23" t="str">
        <f t="shared" si="23"/>
        <v/>
      </c>
      <c r="G511" s="23" t="str">
        <f>IF($B511="","",(Acc!$F511*CommissionDD!$C$30))</f>
        <v/>
      </c>
      <c r="H511" s="23" t="str">
        <f t="shared" si="21"/>
        <v/>
      </c>
    </row>
    <row r="512" spans="1:8">
      <c r="A512" s="21" t="str">
        <f t="shared" si="22"/>
        <v/>
      </c>
      <c r="B512" s="1" t="str">
        <f>IF(Cus!$B512&lt;&gt;"",Cus!$A512,"")</f>
        <v/>
      </c>
      <c r="C512" s="22" t="str">
        <f>IF($B512="","",Cus!$AA512)</f>
        <v/>
      </c>
      <c r="D512" s="23" t="str">
        <f>IF($B512="","",(Acc!$H512*$C512))</f>
        <v/>
      </c>
      <c r="E512" s="24">
        <f>IF(C512&lt;=CommissionDD!$E$3,CommissionDD!$C$3,IF(C512&lt;=CommissionDD!$E$4,CommissionDD!$C$4,IF(C512&lt;=CommissionDD!$E$5,CommissionDD!$C$5,IF(C512&lt;=CommissionDD!$E$6,CommissionDD!$C$6,IF(C512&lt;=CommissionDD!$E$7,CommissionDD!$C$7,IF(C512&lt;=CommissionDD!$E$8,CommissionDD!$C$8,CommissionDD!$C$9))))))</f>
        <v>0.03</v>
      </c>
      <c r="F512" s="23" t="str">
        <f t="shared" si="23"/>
        <v/>
      </c>
      <c r="G512" s="23" t="str">
        <f>IF($B512="","",(Acc!$F512*CommissionDD!$C$30))</f>
        <v/>
      </c>
      <c r="H512" s="23" t="str">
        <f t="shared" si="21"/>
        <v/>
      </c>
    </row>
    <row r="513" spans="1:8">
      <c r="A513" s="21" t="str">
        <f t="shared" si="22"/>
        <v/>
      </c>
      <c r="B513" s="1" t="str">
        <f>IF(Cus!$B513&lt;&gt;"",Cus!$A513,"")</f>
        <v/>
      </c>
      <c r="C513" s="22" t="str">
        <f>IF($B513="","",Cus!$AA513)</f>
        <v/>
      </c>
      <c r="D513" s="23" t="str">
        <f>IF($B513="","",(Acc!$H513*$C513))</f>
        <v/>
      </c>
      <c r="E513" s="24">
        <f>IF(C513&lt;=CommissionDD!$E$3,CommissionDD!$C$3,IF(C513&lt;=CommissionDD!$E$4,CommissionDD!$C$4,IF(C513&lt;=CommissionDD!$E$5,CommissionDD!$C$5,IF(C513&lt;=CommissionDD!$E$6,CommissionDD!$C$6,IF(C513&lt;=CommissionDD!$E$7,CommissionDD!$C$7,IF(C513&lt;=CommissionDD!$E$8,CommissionDD!$C$8,CommissionDD!$C$9))))))</f>
        <v>0.03</v>
      </c>
      <c r="F513" s="23" t="str">
        <f t="shared" si="23"/>
        <v/>
      </c>
      <c r="G513" s="23" t="str">
        <f>IF($B513="","",(Acc!$F513*CommissionDD!$C$30))</f>
        <v/>
      </c>
      <c r="H513" s="23" t="str">
        <f t="shared" si="21"/>
        <v/>
      </c>
    </row>
    <row r="514" spans="1:8">
      <c r="A514" s="21" t="str">
        <f t="shared" si="22"/>
        <v/>
      </c>
      <c r="B514" s="1" t="str">
        <f>IF(Cus!$B514&lt;&gt;"",Cus!$A514,"")</f>
        <v/>
      </c>
      <c r="C514" s="22" t="str">
        <f>IF($B514="","",Cus!$AA514)</f>
        <v/>
      </c>
      <c r="D514" s="23" t="str">
        <f>IF($B514="","",(Acc!$H514*$C514))</f>
        <v/>
      </c>
      <c r="E514" s="24">
        <f>IF(C514&lt;=CommissionDD!$E$3,CommissionDD!$C$3,IF(C514&lt;=CommissionDD!$E$4,CommissionDD!$C$4,IF(C514&lt;=CommissionDD!$E$5,CommissionDD!$C$5,IF(C514&lt;=CommissionDD!$E$6,CommissionDD!$C$6,IF(C514&lt;=CommissionDD!$E$7,CommissionDD!$C$7,IF(C514&lt;=CommissionDD!$E$8,CommissionDD!$C$8,CommissionDD!$C$9))))))</f>
        <v>0.03</v>
      </c>
      <c r="F514" s="23" t="str">
        <f t="shared" si="23"/>
        <v/>
      </c>
      <c r="G514" s="23" t="str">
        <f>IF($B514="","",(Acc!$F514*CommissionDD!$C$30))</f>
        <v/>
      </c>
      <c r="H514" s="23" t="str">
        <f t="shared" ref="H514:H577" si="24">IF($B514="","",F514+G514)</f>
        <v/>
      </c>
    </row>
    <row r="515" spans="1:8">
      <c r="A515" s="21" t="str">
        <f t="shared" ref="A515:A578" si="25">IF($B515="","",(ROW($A514)))</f>
        <v/>
      </c>
      <c r="B515" s="1" t="str">
        <f>IF(Cus!$B515&lt;&gt;"",Cus!$A515,"")</f>
        <v/>
      </c>
      <c r="C515" s="22" t="str">
        <f>IF($B515="","",Cus!$AA515)</f>
        <v/>
      </c>
      <c r="D515" s="23" t="str">
        <f>IF($B515="","",(Acc!$H515*$C515))</f>
        <v/>
      </c>
      <c r="E515" s="24">
        <f>IF(C515&lt;=CommissionDD!$E$3,CommissionDD!$C$3,IF(C515&lt;=CommissionDD!$E$4,CommissionDD!$C$4,IF(C515&lt;=CommissionDD!$E$5,CommissionDD!$C$5,IF(C515&lt;=CommissionDD!$E$6,CommissionDD!$C$6,IF(C515&lt;=CommissionDD!$E$7,CommissionDD!$C$7,IF(C515&lt;=CommissionDD!$E$8,CommissionDD!$C$8,CommissionDD!$C$9))))))</f>
        <v>0.03</v>
      </c>
      <c r="F515" s="23" t="str">
        <f t="shared" si="23"/>
        <v/>
      </c>
      <c r="G515" s="23" t="str">
        <f>IF($B515="","",(Acc!$F515*CommissionDD!$C$30))</f>
        <v/>
      </c>
      <c r="H515" s="23" t="str">
        <f t="shared" si="24"/>
        <v/>
      </c>
    </row>
    <row r="516" spans="1:8">
      <c r="A516" s="21" t="str">
        <f t="shared" si="25"/>
        <v/>
      </c>
      <c r="B516" s="1" t="str">
        <f>IF(Cus!$B516&lt;&gt;"",Cus!$A516,"")</f>
        <v/>
      </c>
      <c r="C516" s="22" t="str">
        <f>IF($B516="","",Cus!$AA516)</f>
        <v/>
      </c>
      <c r="D516" s="23" t="str">
        <f>IF($B516="","",(Acc!$H516*$C516))</f>
        <v/>
      </c>
      <c r="E516" s="24">
        <f>IF(C516&lt;=CommissionDD!$E$3,CommissionDD!$C$3,IF(C516&lt;=CommissionDD!$E$4,CommissionDD!$C$4,IF(C516&lt;=CommissionDD!$E$5,CommissionDD!$C$5,IF(C516&lt;=CommissionDD!$E$6,CommissionDD!$C$6,IF(C516&lt;=CommissionDD!$E$7,CommissionDD!$C$7,IF(C516&lt;=CommissionDD!$E$8,CommissionDD!$C$8,CommissionDD!$C$9))))))</f>
        <v>0.03</v>
      </c>
      <c r="F516" s="23" t="str">
        <f t="shared" si="23"/>
        <v/>
      </c>
      <c r="G516" s="23" t="str">
        <f>IF($B516="","",(Acc!$F516*CommissionDD!$C$30))</f>
        <v/>
      </c>
      <c r="H516" s="23" t="str">
        <f t="shared" si="24"/>
        <v/>
      </c>
    </row>
    <row r="517" spans="1:8">
      <c r="A517" s="21" t="str">
        <f t="shared" si="25"/>
        <v/>
      </c>
      <c r="B517" s="1" t="str">
        <f>IF(Cus!$B517&lt;&gt;"",Cus!$A517,"")</f>
        <v/>
      </c>
      <c r="C517" s="22" t="str">
        <f>IF($B517="","",Cus!$AA517)</f>
        <v/>
      </c>
      <c r="D517" s="23" t="str">
        <f>IF($B517="","",(Acc!$H517*$C517))</f>
        <v/>
      </c>
      <c r="E517" s="24">
        <f>IF(C517&lt;=CommissionDD!$E$3,CommissionDD!$C$3,IF(C517&lt;=CommissionDD!$E$4,CommissionDD!$C$4,IF(C517&lt;=CommissionDD!$E$5,CommissionDD!$C$5,IF(C517&lt;=CommissionDD!$E$6,CommissionDD!$C$6,IF(C517&lt;=CommissionDD!$E$7,CommissionDD!$C$7,IF(C517&lt;=CommissionDD!$E$8,CommissionDD!$C$8,CommissionDD!$C$9))))))</f>
        <v>0.03</v>
      </c>
      <c r="F517" s="23" t="str">
        <f t="shared" ref="F517:F580" si="26">IF($B517="","",D517*E517)</f>
        <v/>
      </c>
      <c r="G517" s="23" t="str">
        <f>IF($B517="","",(Acc!$F517*CommissionDD!$C$30))</f>
        <v/>
      </c>
      <c r="H517" s="23" t="str">
        <f t="shared" si="24"/>
        <v/>
      </c>
    </row>
    <row r="518" spans="1:8">
      <c r="A518" s="21" t="str">
        <f t="shared" si="25"/>
        <v/>
      </c>
      <c r="B518" s="1" t="str">
        <f>IF(Cus!$B518&lt;&gt;"",Cus!$A518,"")</f>
        <v/>
      </c>
      <c r="C518" s="22" t="str">
        <f>IF($B518="","",Cus!$AA518)</f>
        <v/>
      </c>
      <c r="D518" s="23" t="str">
        <f>IF($B518="","",(Acc!$H518*$C518))</f>
        <v/>
      </c>
      <c r="E518" s="24">
        <f>IF(C518&lt;=CommissionDD!$E$3,CommissionDD!$C$3,IF(C518&lt;=CommissionDD!$E$4,CommissionDD!$C$4,IF(C518&lt;=CommissionDD!$E$5,CommissionDD!$C$5,IF(C518&lt;=CommissionDD!$E$6,CommissionDD!$C$6,IF(C518&lt;=CommissionDD!$E$7,CommissionDD!$C$7,IF(C518&lt;=CommissionDD!$E$8,CommissionDD!$C$8,CommissionDD!$C$9))))))</f>
        <v>0.03</v>
      </c>
      <c r="F518" s="23" t="str">
        <f t="shared" si="26"/>
        <v/>
      </c>
      <c r="G518" s="23" t="str">
        <f>IF($B518="","",(Acc!$F518*CommissionDD!$C$30))</f>
        <v/>
      </c>
      <c r="H518" s="23" t="str">
        <f t="shared" si="24"/>
        <v/>
      </c>
    </row>
    <row r="519" spans="1:8">
      <c r="A519" s="21" t="str">
        <f t="shared" si="25"/>
        <v/>
      </c>
      <c r="B519" s="1" t="str">
        <f>IF(Cus!$B519&lt;&gt;"",Cus!$A519,"")</f>
        <v/>
      </c>
      <c r="C519" s="22" t="str">
        <f>IF($B519="","",Cus!$AA519)</f>
        <v/>
      </c>
      <c r="D519" s="23" t="str">
        <f>IF($B519="","",(Acc!$H519*$C519))</f>
        <v/>
      </c>
      <c r="E519" s="24">
        <f>IF(C519&lt;=CommissionDD!$E$3,CommissionDD!$C$3,IF(C519&lt;=CommissionDD!$E$4,CommissionDD!$C$4,IF(C519&lt;=CommissionDD!$E$5,CommissionDD!$C$5,IF(C519&lt;=CommissionDD!$E$6,CommissionDD!$C$6,IF(C519&lt;=CommissionDD!$E$7,CommissionDD!$C$7,IF(C519&lt;=CommissionDD!$E$8,CommissionDD!$C$8,CommissionDD!$C$9))))))</f>
        <v>0.03</v>
      </c>
      <c r="F519" s="23" t="str">
        <f t="shared" si="26"/>
        <v/>
      </c>
      <c r="G519" s="23" t="str">
        <f>IF($B519="","",(Acc!$F519*CommissionDD!$C$30))</f>
        <v/>
      </c>
      <c r="H519" s="23" t="str">
        <f t="shared" si="24"/>
        <v/>
      </c>
    </row>
    <row r="520" spans="1:8">
      <c r="A520" s="21" t="str">
        <f t="shared" si="25"/>
        <v/>
      </c>
      <c r="B520" s="1" t="str">
        <f>IF(Cus!$B520&lt;&gt;"",Cus!$A520,"")</f>
        <v/>
      </c>
      <c r="C520" s="22" t="str">
        <f>IF($B520="","",Cus!$AA520)</f>
        <v/>
      </c>
      <c r="D520" s="23" t="str">
        <f>IF($B520="","",(Acc!$H520*$C520))</f>
        <v/>
      </c>
      <c r="E520" s="24">
        <f>IF(C520&lt;=CommissionDD!$E$3,CommissionDD!$C$3,IF(C520&lt;=CommissionDD!$E$4,CommissionDD!$C$4,IF(C520&lt;=CommissionDD!$E$5,CommissionDD!$C$5,IF(C520&lt;=CommissionDD!$E$6,CommissionDD!$C$6,IF(C520&lt;=CommissionDD!$E$7,CommissionDD!$C$7,IF(C520&lt;=CommissionDD!$E$8,CommissionDD!$C$8,CommissionDD!$C$9))))))</f>
        <v>0.03</v>
      </c>
      <c r="F520" s="23" t="str">
        <f t="shared" si="26"/>
        <v/>
      </c>
      <c r="G520" s="23" t="str">
        <f>IF($B520="","",(Acc!$F520*CommissionDD!$C$30))</f>
        <v/>
      </c>
      <c r="H520" s="23" t="str">
        <f t="shared" si="24"/>
        <v/>
      </c>
    </row>
    <row r="521" spans="1:8">
      <c r="A521" s="21" t="str">
        <f t="shared" si="25"/>
        <v/>
      </c>
      <c r="B521" s="1" t="str">
        <f>IF(Cus!$B521&lt;&gt;"",Cus!$A521,"")</f>
        <v/>
      </c>
      <c r="C521" s="22" t="str">
        <f>IF($B521="","",Cus!$AA521)</f>
        <v/>
      </c>
      <c r="D521" s="23" t="str">
        <f>IF($B521="","",(Acc!$H521*$C521))</f>
        <v/>
      </c>
      <c r="E521" s="24">
        <f>IF(C521&lt;=CommissionDD!$E$3,CommissionDD!$C$3,IF(C521&lt;=CommissionDD!$E$4,CommissionDD!$C$4,IF(C521&lt;=CommissionDD!$E$5,CommissionDD!$C$5,IF(C521&lt;=CommissionDD!$E$6,CommissionDD!$C$6,IF(C521&lt;=CommissionDD!$E$7,CommissionDD!$C$7,IF(C521&lt;=CommissionDD!$E$8,CommissionDD!$C$8,CommissionDD!$C$9))))))</f>
        <v>0.03</v>
      </c>
      <c r="F521" s="23" t="str">
        <f t="shared" si="26"/>
        <v/>
      </c>
      <c r="G521" s="23" t="str">
        <f>IF($B521="","",(Acc!$F521*CommissionDD!$C$30))</f>
        <v/>
      </c>
      <c r="H521" s="23" t="str">
        <f t="shared" si="24"/>
        <v/>
      </c>
    </row>
    <row r="522" spans="1:8">
      <c r="A522" s="21" t="str">
        <f t="shared" si="25"/>
        <v/>
      </c>
      <c r="B522" s="1" t="str">
        <f>IF(Cus!$B522&lt;&gt;"",Cus!$A522,"")</f>
        <v/>
      </c>
      <c r="C522" s="22" t="str">
        <f>IF($B522="","",Cus!$AA522)</f>
        <v/>
      </c>
      <c r="D522" s="23" t="str">
        <f>IF($B522="","",(Acc!$H522*$C522))</f>
        <v/>
      </c>
      <c r="E522" s="24">
        <f>IF(C522&lt;=CommissionDD!$E$3,CommissionDD!$C$3,IF(C522&lt;=CommissionDD!$E$4,CommissionDD!$C$4,IF(C522&lt;=CommissionDD!$E$5,CommissionDD!$C$5,IF(C522&lt;=CommissionDD!$E$6,CommissionDD!$C$6,IF(C522&lt;=CommissionDD!$E$7,CommissionDD!$C$7,IF(C522&lt;=CommissionDD!$E$8,CommissionDD!$C$8,CommissionDD!$C$9))))))</f>
        <v>0.03</v>
      </c>
      <c r="F522" s="23" t="str">
        <f t="shared" si="26"/>
        <v/>
      </c>
      <c r="G522" s="23" t="str">
        <f>IF($B522="","",(Acc!$F522*CommissionDD!$C$30))</f>
        <v/>
      </c>
      <c r="H522" s="23" t="str">
        <f t="shared" si="24"/>
        <v/>
      </c>
    </row>
    <row r="523" spans="1:8">
      <c r="A523" s="21" t="str">
        <f t="shared" si="25"/>
        <v/>
      </c>
      <c r="B523" s="1" t="str">
        <f>IF(Cus!$B523&lt;&gt;"",Cus!$A523,"")</f>
        <v/>
      </c>
      <c r="C523" s="22" t="str">
        <f>IF($B523="","",Cus!$AA523)</f>
        <v/>
      </c>
      <c r="D523" s="23" t="str">
        <f>IF($B523="","",(Acc!$H523*$C523))</f>
        <v/>
      </c>
      <c r="E523" s="24">
        <f>IF(C523&lt;=CommissionDD!$E$3,CommissionDD!$C$3,IF(C523&lt;=CommissionDD!$E$4,CommissionDD!$C$4,IF(C523&lt;=CommissionDD!$E$5,CommissionDD!$C$5,IF(C523&lt;=CommissionDD!$E$6,CommissionDD!$C$6,IF(C523&lt;=CommissionDD!$E$7,CommissionDD!$C$7,IF(C523&lt;=CommissionDD!$E$8,CommissionDD!$C$8,CommissionDD!$C$9))))))</f>
        <v>0.03</v>
      </c>
      <c r="F523" s="23" t="str">
        <f t="shared" si="26"/>
        <v/>
      </c>
      <c r="G523" s="23" t="str">
        <f>IF($B523="","",(Acc!$F523*CommissionDD!$C$30))</f>
        <v/>
      </c>
      <c r="H523" s="23" t="str">
        <f t="shared" si="24"/>
        <v/>
      </c>
    </row>
    <row r="524" spans="1:8">
      <c r="A524" s="21" t="str">
        <f t="shared" si="25"/>
        <v/>
      </c>
      <c r="B524" s="1" t="str">
        <f>IF(Cus!$B524&lt;&gt;"",Cus!$A524,"")</f>
        <v/>
      </c>
      <c r="C524" s="22" t="str">
        <f>IF($B524="","",Cus!$AA524)</f>
        <v/>
      </c>
      <c r="D524" s="23" t="str">
        <f>IF($B524="","",(Acc!$H524*$C524))</f>
        <v/>
      </c>
      <c r="E524" s="24">
        <f>IF(C524&lt;=CommissionDD!$E$3,CommissionDD!$C$3,IF(C524&lt;=CommissionDD!$E$4,CommissionDD!$C$4,IF(C524&lt;=CommissionDD!$E$5,CommissionDD!$C$5,IF(C524&lt;=CommissionDD!$E$6,CommissionDD!$C$6,IF(C524&lt;=CommissionDD!$E$7,CommissionDD!$C$7,IF(C524&lt;=CommissionDD!$E$8,CommissionDD!$C$8,CommissionDD!$C$9))))))</f>
        <v>0.03</v>
      </c>
      <c r="F524" s="23" t="str">
        <f t="shared" si="26"/>
        <v/>
      </c>
      <c r="G524" s="23" t="str">
        <f>IF($B524="","",(Acc!$F524*CommissionDD!$C$30))</f>
        <v/>
      </c>
      <c r="H524" s="23" t="str">
        <f t="shared" si="24"/>
        <v/>
      </c>
    </row>
    <row r="525" spans="1:8">
      <c r="A525" s="21" t="str">
        <f t="shared" si="25"/>
        <v/>
      </c>
      <c r="B525" s="1" t="str">
        <f>IF(Cus!$B525&lt;&gt;"",Cus!$A525,"")</f>
        <v/>
      </c>
      <c r="C525" s="22" t="str">
        <f>IF($B525="","",Cus!$AA525)</f>
        <v/>
      </c>
      <c r="D525" s="23" t="str">
        <f>IF($B525="","",(Acc!$H525*$C525))</f>
        <v/>
      </c>
      <c r="E525" s="24">
        <f>IF(C525&lt;=CommissionDD!$E$3,CommissionDD!$C$3,IF(C525&lt;=CommissionDD!$E$4,CommissionDD!$C$4,IF(C525&lt;=CommissionDD!$E$5,CommissionDD!$C$5,IF(C525&lt;=CommissionDD!$E$6,CommissionDD!$C$6,IF(C525&lt;=CommissionDD!$E$7,CommissionDD!$C$7,IF(C525&lt;=CommissionDD!$E$8,CommissionDD!$C$8,CommissionDD!$C$9))))))</f>
        <v>0.03</v>
      </c>
      <c r="F525" s="23" t="str">
        <f t="shared" si="26"/>
        <v/>
      </c>
      <c r="G525" s="23" t="str">
        <f>IF($B525="","",(Acc!$F525*CommissionDD!$C$30))</f>
        <v/>
      </c>
      <c r="H525" s="23" t="str">
        <f t="shared" si="24"/>
        <v/>
      </c>
    </row>
    <row r="526" spans="1:8">
      <c r="A526" s="21" t="str">
        <f t="shared" si="25"/>
        <v/>
      </c>
      <c r="B526" s="1" t="str">
        <f>IF(Cus!$B526&lt;&gt;"",Cus!$A526,"")</f>
        <v/>
      </c>
      <c r="C526" s="22" t="str">
        <f>IF($B526="","",Cus!$AA526)</f>
        <v/>
      </c>
      <c r="D526" s="23" t="str">
        <f>IF($B526="","",(Acc!$H526*$C526))</f>
        <v/>
      </c>
      <c r="E526" s="24">
        <f>IF(C526&lt;=CommissionDD!$E$3,CommissionDD!$C$3,IF(C526&lt;=CommissionDD!$E$4,CommissionDD!$C$4,IF(C526&lt;=CommissionDD!$E$5,CommissionDD!$C$5,IF(C526&lt;=CommissionDD!$E$6,CommissionDD!$C$6,IF(C526&lt;=CommissionDD!$E$7,CommissionDD!$C$7,IF(C526&lt;=CommissionDD!$E$8,CommissionDD!$C$8,CommissionDD!$C$9))))))</f>
        <v>0.03</v>
      </c>
      <c r="F526" s="23" t="str">
        <f t="shared" si="26"/>
        <v/>
      </c>
      <c r="G526" s="23" t="str">
        <f>IF($B526="","",(Acc!$F526*CommissionDD!$C$30))</f>
        <v/>
      </c>
      <c r="H526" s="23" t="str">
        <f t="shared" si="24"/>
        <v/>
      </c>
    </row>
    <row r="527" spans="1:8">
      <c r="A527" s="21" t="str">
        <f t="shared" si="25"/>
        <v/>
      </c>
      <c r="B527" s="1" t="str">
        <f>IF(Cus!$B527&lt;&gt;"",Cus!$A527,"")</f>
        <v/>
      </c>
      <c r="C527" s="22" t="str">
        <f>IF($B527="","",Cus!$AA527)</f>
        <v/>
      </c>
      <c r="D527" s="23" t="str">
        <f>IF($B527="","",(Acc!$H527*$C527))</f>
        <v/>
      </c>
      <c r="E527" s="24">
        <f>IF(C527&lt;=CommissionDD!$E$3,CommissionDD!$C$3,IF(C527&lt;=CommissionDD!$E$4,CommissionDD!$C$4,IF(C527&lt;=CommissionDD!$E$5,CommissionDD!$C$5,IF(C527&lt;=CommissionDD!$E$6,CommissionDD!$C$6,IF(C527&lt;=CommissionDD!$E$7,CommissionDD!$C$7,IF(C527&lt;=CommissionDD!$E$8,CommissionDD!$C$8,CommissionDD!$C$9))))))</f>
        <v>0.03</v>
      </c>
      <c r="F527" s="23" t="str">
        <f t="shared" si="26"/>
        <v/>
      </c>
      <c r="G527" s="23" t="str">
        <f>IF($B527="","",(Acc!$F527*CommissionDD!$C$30))</f>
        <v/>
      </c>
      <c r="H527" s="23" t="str">
        <f t="shared" si="24"/>
        <v/>
      </c>
    </row>
    <row r="528" spans="1:8">
      <c r="A528" s="21" t="str">
        <f t="shared" si="25"/>
        <v/>
      </c>
      <c r="B528" s="1" t="str">
        <f>IF(Cus!$B528&lt;&gt;"",Cus!$A528,"")</f>
        <v/>
      </c>
      <c r="C528" s="22" t="str">
        <f>IF($B528="","",Cus!$AA528)</f>
        <v/>
      </c>
      <c r="D528" s="23" t="str">
        <f>IF($B528="","",(Acc!$H528*$C528))</f>
        <v/>
      </c>
      <c r="E528" s="24">
        <f>IF(C528&lt;=CommissionDD!$E$3,CommissionDD!$C$3,IF(C528&lt;=CommissionDD!$E$4,CommissionDD!$C$4,IF(C528&lt;=CommissionDD!$E$5,CommissionDD!$C$5,IF(C528&lt;=CommissionDD!$E$6,CommissionDD!$C$6,IF(C528&lt;=CommissionDD!$E$7,CommissionDD!$C$7,IF(C528&lt;=CommissionDD!$E$8,CommissionDD!$C$8,CommissionDD!$C$9))))))</f>
        <v>0.03</v>
      </c>
      <c r="F528" s="23" t="str">
        <f t="shared" si="26"/>
        <v/>
      </c>
      <c r="G528" s="23" t="str">
        <f>IF($B528="","",(Acc!$F528*CommissionDD!$C$30))</f>
        <v/>
      </c>
      <c r="H528" s="23" t="str">
        <f t="shared" si="24"/>
        <v/>
      </c>
    </row>
    <row r="529" spans="1:8">
      <c r="A529" s="21" t="str">
        <f t="shared" si="25"/>
        <v/>
      </c>
      <c r="B529" s="1" t="str">
        <f>IF(Cus!$B529&lt;&gt;"",Cus!$A529,"")</f>
        <v/>
      </c>
      <c r="C529" s="22" t="str">
        <f>IF($B529="","",Cus!$AA529)</f>
        <v/>
      </c>
      <c r="D529" s="23" t="str">
        <f>IF($B529="","",(Acc!$H529*$C529))</f>
        <v/>
      </c>
      <c r="E529" s="24">
        <f>IF(C529&lt;=CommissionDD!$E$3,CommissionDD!$C$3,IF(C529&lt;=CommissionDD!$E$4,CommissionDD!$C$4,IF(C529&lt;=CommissionDD!$E$5,CommissionDD!$C$5,IF(C529&lt;=CommissionDD!$E$6,CommissionDD!$C$6,IF(C529&lt;=CommissionDD!$E$7,CommissionDD!$C$7,IF(C529&lt;=CommissionDD!$E$8,CommissionDD!$C$8,CommissionDD!$C$9))))))</f>
        <v>0.03</v>
      </c>
      <c r="F529" s="23" t="str">
        <f t="shared" si="26"/>
        <v/>
      </c>
      <c r="G529" s="23" t="str">
        <f>IF($B529="","",(Acc!$F529*CommissionDD!$C$30))</f>
        <v/>
      </c>
      <c r="H529" s="23" t="str">
        <f t="shared" si="24"/>
        <v/>
      </c>
    </row>
    <row r="530" spans="1:8">
      <c r="A530" s="21" t="str">
        <f t="shared" si="25"/>
        <v/>
      </c>
      <c r="B530" s="1" t="str">
        <f>IF(Cus!$B530&lt;&gt;"",Cus!$A530,"")</f>
        <v/>
      </c>
      <c r="C530" s="22" t="str">
        <f>IF($B530="","",Cus!$AA530)</f>
        <v/>
      </c>
      <c r="D530" s="23" t="str">
        <f>IF($B530="","",(Acc!$H530*$C530))</f>
        <v/>
      </c>
      <c r="E530" s="24">
        <f>IF(C530&lt;=CommissionDD!$E$3,CommissionDD!$C$3,IF(C530&lt;=CommissionDD!$E$4,CommissionDD!$C$4,IF(C530&lt;=CommissionDD!$E$5,CommissionDD!$C$5,IF(C530&lt;=CommissionDD!$E$6,CommissionDD!$C$6,IF(C530&lt;=CommissionDD!$E$7,CommissionDD!$C$7,IF(C530&lt;=CommissionDD!$E$8,CommissionDD!$C$8,CommissionDD!$C$9))))))</f>
        <v>0.03</v>
      </c>
      <c r="F530" s="23" t="str">
        <f t="shared" si="26"/>
        <v/>
      </c>
      <c r="G530" s="23" t="str">
        <f>IF($B530="","",(Acc!$F530*CommissionDD!$C$30))</f>
        <v/>
      </c>
      <c r="H530" s="23" t="str">
        <f t="shared" si="24"/>
        <v/>
      </c>
    </row>
    <row r="531" spans="1:8">
      <c r="A531" s="21" t="str">
        <f t="shared" si="25"/>
        <v/>
      </c>
      <c r="B531" s="1" t="str">
        <f>IF(Cus!$B531&lt;&gt;"",Cus!$A531,"")</f>
        <v/>
      </c>
      <c r="C531" s="22" t="str">
        <f>IF($B531="","",Cus!$AA531)</f>
        <v/>
      </c>
      <c r="D531" s="23" t="str">
        <f>IF($B531="","",(Acc!$H531*$C531))</f>
        <v/>
      </c>
      <c r="E531" s="24">
        <f>IF(C531&lt;=CommissionDD!$E$3,CommissionDD!$C$3,IF(C531&lt;=CommissionDD!$E$4,CommissionDD!$C$4,IF(C531&lt;=CommissionDD!$E$5,CommissionDD!$C$5,IF(C531&lt;=CommissionDD!$E$6,CommissionDD!$C$6,IF(C531&lt;=CommissionDD!$E$7,CommissionDD!$C$7,IF(C531&lt;=CommissionDD!$E$8,CommissionDD!$C$8,CommissionDD!$C$9))))))</f>
        <v>0.03</v>
      </c>
      <c r="F531" s="23" t="str">
        <f t="shared" si="26"/>
        <v/>
      </c>
      <c r="G531" s="23" t="str">
        <f>IF($B531="","",(Acc!$F531*CommissionDD!$C$30))</f>
        <v/>
      </c>
      <c r="H531" s="23" t="str">
        <f t="shared" si="24"/>
        <v/>
      </c>
    </row>
    <row r="532" spans="1:8">
      <c r="A532" s="21" t="str">
        <f t="shared" si="25"/>
        <v/>
      </c>
      <c r="B532" s="1" t="str">
        <f>IF(Cus!$B532&lt;&gt;"",Cus!$A532,"")</f>
        <v/>
      </c>
      <c r="C532" s="22" t="str">
        <f>IF($B532="","",Cus!$AA532)</f>
        <v/>
      </c>
      <c r="D532" s="23" t="str">
        <f>IF($B532="","",(Acc!$H532*$C532))</f>
        <v/>
      </c>
      <c r="E532" s="24">
        <f>IF(C532&lt;=CommissionDD!$E$3,CommissionDD!$C$3,IF(C532&lt;=CommissionDD!$E$4,CommissionDD!$C$4,IF(C532&lt;=CommissionDD!$E$5,CommissionDD!$C$5,IF(C532&lt;=CommissionDD!$E$6,CommissionDD!$C$6,IF(C532&lt;=CommissionDD!$E$7,CommissionDD!$C$7,IF(C532&lt;=CommissionDD!$E$8,CommissionDD!$C$8,CommissionDD!$C$9))))))</f>
        <v>0.03</v>
      </c>
      <c r="F532" s="23" t="str">
        <f t="shared" si="26"/>
        <v/>
      </c>
      <c r="G532" s="23" t="str">
        <f>IF($B532="","",(Acc!$F532*CommissionDD!$C$30))</f>
        <v/>
      </c>
      <c r="H532" s="23" t="str">
        <f t="shared" si="24"/>
        <v/>
      </c>
    </row>
    <row r="533" spans="1:8">
      <c r="A533" s="21" t="str">
        <f t="shared" si="25"/>
        <v/>
      </c>
      <c r="B533" s="1" t="str">
        <f>IF(Cus!$B533&lt;&gt;"",Cus!$A533,"")</f>
        <v/>
      </c>
      <c r="C533" s="22" t="str">
        <f>IF($B533="","",Cus!$AA533)</f>
        <v/>
      </c>
      <c r="D533" s="23" t="str">
        <f>IF($B533="","",(Acc!$H533*$C533))</f>
        <v/>
      </c>
      <c r="E533" s="24">
        <f>IF(C533&lt;=CommissionDD!$E$3,CommissionDD!$C$3,IF(C533&lt;=CommissionDD!$E$4,CommissionDD!$C$4,IF(C533&lt;=CommissionDD!$E$5,CommissionDD!$C$5,IF(C533&lt;=CommissionDD!$E$6,CommissionDD!$C$6,IF(C533&lt;=CommissionDD!$E$7,CommissionDD!$C$7,IF(C533&lt;=CommissionDD!$E$8,CommissionDD!$C$8,CommissionDD!$C$9))))))</f>
        <v>0.03</v>
      </c>
      <c r="F533" s="23" t="str">
        <f t="shared" si="26"/>
        <v/>
      </c>
      <c r="G533" s="23" t="str">
        <f>IF($B533="","",(Acc!$F533*CommissionDD!$C$30))</f>
        <v/>
      </c>
      <c r="H533" s="23" t="str">
        <f t="shared" si="24"/>
        <v/>
      </c>
    </row>
    <row r="534" spans="1:8">
      <c r="A534" s="21" t="str">
        <f t="shared" si="25"/>
        <v/>
      </c>
      <c r="B534" s="1" t="str">
        <f>IF(Cus!$B534&lt;&gt;"",Cus!$A534,"")</f>
        <v/>
      </c>
      <c r="C534" s="22" t="str">
        <f>IF($B534="","",Cus!$AA534)</f>
        <v/>
      </c>
      <c r="D534" s="23" t="str">
        <f>IF($B534="","",(Acc!$H534*$C534))</f>
        <v/>
      </c>
      <c r="E534" s="24">
        <f>IF(C534&lt;=CommissionDD!$E$3,CommissionDD!$C$3,IF(C534&lt;=CommissionDD!$E$4,CommissionDD!$C$4,IF(C534&lt;=CommissionDD!$E$5,CommissionDD!$C$5,IF(C534&lt;=CommissionDD!$E$6,CommissionDD!$C$6,IF(C534&lt;=CommissionDD!$E$7,CommissionDD!$C$7,IF(C534&lt;=CommissionDD!$E$8,CommissionDD!$C$8,CommissionDD!$C$9))))))</f>
        <v>0.03</v>
      </c>
      <c r="F534" s="23" t="str">
        <f t="shared" si="26"/>
        <v/>
      </c>
      <c r="G534" s="23" t="str">
        <f>IF($B534="","",(Acc!$F534*CommissionDD!$C$30))</f>
        <v/>
      </c>
      <c r="H534" s="23" t="str">
        <f t="shared" si="24"/>
        <v/>
      </c>
    </row>
    <row r="535" spans="1:8">
      <c r="A535" s="21" t="str">
        <f t="shared" si="25"/>
        <v/>
      </c>
      <c r="B535" s="1" t="str">
        <f>IF(Cus!$B535&lt;&gt;"",Cus!$A535,"")</f>
        <v/>
      </c>
      <c r="C535" s="22" t="str">
        <f>IF($B535="","",Cus!$AA535)</f>
        <v/>
      </c>
      <c r="D535" s="23" t="str">
        <f>IF($B535="","",(Acc!$H535*$C535))</f>
        <v/>
      </c>
      <c r="E535" s="24">
        <f>IF(C535&lt;=CommissionDD!$E$3,CommissionDD!$C$3,IF(C535&lt;=CommissionDD!$E$4,CommissionDD!$C$4,IF(C535&lt;=CommissionDD!$E$5,CommissionDD!$C$5,IF(C535&lt;=CommissionDD!$E$6,CommissionDD!$C$6,IF(C535&lt;=CommissionDD!$E$7,CommissionDD!$C$7,IF(C535&lt;=CommissionDD!$E$8,CommissionDD!$C$8,CommissionDD!$C$9))))))</f>
        <v>0.03</v>
      </c>
      <c r="F535" s="23" t="str">
        <f t="shared" si="26"/>
        <v/>
      </c>
      <c r="G535" s="23" t="str">
        <f>IF($B535="","",(Acc!$F535*CommissionDD!$C$30))</f>
        <v/>
      </c>
      <c r="H535" s="23" t="str">
        <f t="shared" si="24"/>
        <v/>
      </c>
    </row>
    <row r="536" spans="1:8">
      <c r="A536" s="21" t="str">
        <f t="shared" si="25"/>
        <v/>
      </c>
      <c r="B536" s="1" t="str">
        <f>IF(Cus!$B536&lt;&gt;"",Cus!$A536,"")</f>
        <v/>
      </c>
      <c r="C536" s="22" t="str">
        <f>IF($B536="","",Cus!$AA536)</f>
        <v/>
      </c>
      <c r="D536" s="23" t="str">
        <f>IF($B536="","",(Acc!$H536*$C536))</f>
        <v/>
      </c>
      <c r="E536" s="24">
        <f>IF(C536&lt;=CommissionDD!$E$3,CommissionDD!$C$3,IF(C536&lt;=CommissionDD!$E$4,CommissionDD!$C$4,IF(C536&lt;=CommissionDD!$E$5,CommissionDD!$C$5,IF(C536&lt;=CommissionDD!$E$6,CommissionDD!$C$6,IF(C536&lt;=CommissionDD!$E$7,CommissionDD!$C$7,IF(C536&lt;=CommissionDD!$E$8,CommissionDD!$C$8,CommissionDD!$C$9))))))</f>
        <v>0.03</v>
      </c>
      <c r="F536" s="23" t="str">
        <f t="shared" si="26"/>
        <v/>
      </c>
      <c r="G536" s="23" t="str">
        <f>IF($B536="","",(Acc!$F536*CommissionDD!$C$30))</f>
        <v/>
      </c>
      <c r="H536" s="23" t="str">
        <f t="shared" si="24"/>
        <v/>
      </c>
    </row>
    <row r="537" spans="1:8">
      <c r="A537" s="21" t="str">
        <f t="shared" si="25"/>
        <v/>
      </c>
      <c r="B537" s="1" t="str">
        <f>IF(Cus!$B537&lt;&gt;"",Cus!$A537,"")</f>
        <v/>
      </c>
      <c r="C537" s="22" t="str">
        <f>IF($B537="","",Cus!$AA537)</f>
        <v/>
      </c>
      <c r="D537" s="23" t="str">
        <f>IF($B537="","",(Acc!$H537*$C537))</f>
        <v/>
      </c>
      <c r="E537" s="24">
        <f>IF(C537&lt;=CommissionDD!$E$3,CommissionDD!$C$3,IF(C537&lt;=CommissionDD!$E$4,CommissionDD!$C$4,IF(C537&lt;=CommissionDD!$E$5,CommissionDD!$C$5,IF(C537&lt;=CommissionDD!$E$6,CommissionDD!$C$6,IF(C537&lt;=CommissionDD!$E$7,CommissionDD!$C$7,IF(C537&lt;=CommissionDD!$E$8,CommissionDD!$C$8,CommissionDD!$C$9))))))</f>
        <v>0.03</v>
      </c>
      <c r="F537" s="23" t="str">
        <f t="shared" si="26"/>
        <v/>
      </c>
      <c r="G537" s="23" t="str">
        <f>IF($B537="","",(Acc!$F537*CommissionDD!$C$30))</f>
        <v/>
      </c>
      <c r="H537" s="23" t="str">
        <f t="shared" si="24"/>
        <v/>
      </c>
    </row>
    <row r="538" spans="1:8">
      <c r="A538" s="21" t="str">
        <f t="shared" si="25"/>
        <v/>
      </c>
      <c r="B538" s="1" t="str">
        <f>IF(Cus!$B538&lt;&gt;"",Cus!$A538,"")</f>
        <v/>
      </c>
      <c r="C538" s="22" t="str">
        <f>IF($B538="","",Cus!$AA538)</f>
        <v/>
      </c>
      <c r="D538" s="23" t="str">
        <f>IF($B538="","",(Acc!$H538*$C538))</f>
        <v/>
      </c>
      <c r="E538" s="24">
        <f>IF(C538&lt;=CommissionDD!$E$3,CommissionDD!$C$3,IF(C538&lt;=CommissionDD!$E$4,CommissionDD!$C$4,IF(C538&lt;=CommissionDD!$E$5,CommissionDD!$C$5,IF(C538&lt;=CommissionDD!$E$6,CommissionDD!$C$6,IF(C538&lt;=CommissionDD!$E$7,CommissionDD!$C$7,IF(C538&lt;=CommissionDD!$E$8,CommissionDD!$C$8,CommissionDD!$C$9))))))</f>
        <v>0.03</v>
      </c>
      <c r="F538" s="23" t="str">
        <f t="shared" si="26"/>
        <v/>
      </c>
      <c r="G538" s="23" t="str">
        <f>IF($B538="","",(Acc!$F538*CommissionDD!$C$30))</f>
        <v/>
      </c>
      <c r="H538" s="23" t="str">
        <f t="shared" si="24"/>
        <v/>
      </c>
    </row>
    <row r="539" spans="1:8">
      <c r="A539" s="21" t="str">
        <f t="shared" si="25"/>
        <v/>
      </c>
      <c r="B539" s="1" t="str">
        <f>IF(Cus!$B539&lt;&gt;"",Cus!$A539,"")</f>
        <v/>
      </c>
      <c r="C539" s="22" t="str">
        <f>IF($B539="","",Cus!$AA539)</f>
        <v/>
      </c>
      <c r="D539" s="23" t="str">
        <f>IF($B539="","",(Acc!$H539*$C539))</f>
        <v/>
      </c>
      <c r="E539" s="24">
        <f>IF(C539&lt;=CommissionDD!$E$3,CommissionDD!$C$3,IF(C539&lt;=CommissionDD!$E$4,CommissionDD!$C$4,IF(C539&lt;=CommissionDD!$E$5,CommissionDD!$C$5,IF(C539&lt;=CommissionDD!$E$6,CommissionDD!$C$6,IF(C539&lt;=CommissionDD!$E$7,CommissionDD!$C$7,IF(C539&lt;=CommissionDD!$E$8,CommissionDD!$C$8,CommissionDD!$C$9))))))</f>
        <v>0.03</v>
      </c>
      <c r="F539" s="23" t="str">
        <f t="shared" si="26"/>
        <v/>
      </c>
      <c r="G539" s="23" t="str">
        <f>IF($B539="","",(Acc!$F539*CommissionDD!$C$30))</f>
        <v/>
      </c>
      <c r="H539" s="23" t="str">
        <f t="shared" si="24"/>
        <v/>
      </c>
    </row>
    <row r="540" spans="1:8">
      <c r="A540" s="21">
        <f t="shared" si="25"/>
        <v>539</v>
      </c>
      <c r="B540" s="1" t="str">
        <f>IF(Cus!$B540&lt;&gt;"",Cus!$A540,"")</f>
        <v>K0000539</v>
      </c>
      <c r="C540" s="22">
        <f>IF($B540="","",Cus!$AA540)</f>
        <v>12</v>
      </c>
      <c r="D540" s="23">
        <f>IF($B540="","",(Acc!$H540*$C540))</f>
        <v>4740</v>
      </c>
      <c r="E540" s="24">
        <f>IF(C540&lt;=CommissionDD!$E$3,CommissionDD!$C$3,IF(C540&lt;=CommissionDD!$E$4,CommissionDD!$C$4,IF(C540&lt;=CommissionDD!$E$5,CommissionDD!$C$5,IF(C540&lt;=CommissionDD!$E$6,CommissionDD!$C$6,IF(C540&lt;=CommissionDD!$E$7,CommissionDD!$C$7,IF(C540&lt;=CommissionDD!$E$8,CommissionDD!$C$8,CommissionDD!$C$9))))))</f>
        <v>0.26</v>
      </c>
      <c r="F540" s="23">
        <f t="shared" si="26"/>
        <v>1232.4000000000001</v>
      </c>
      <c r="G540" s="23">
        <f>IF($B540="","",(Acc!$F540*CommissionDD!$C$30))</f>
        <v>0</v>
      </c>
      <c r="H540" s="23">
        <f t="shared" si="24"/>
        <v>1232.4000000000001</v>
      </c>
    </row>
    <row r="541" spans="1:8">
      <c r="A541" s="21" t="str">
        <f t="shared" si="25"/>
        <v/>
      </c>
      <c r="B541" s="1" t="str">
        <f>IF(Cus!$B541&lt;&gt;"",Cus!$A541,"")</f>
        <v/>
      </c>
      <c r="C541" s="22" t="str">
        <f>IF($B541="","",Cus!$AA541)</f>
        <v/>
      </c>
      <c r="D541" s="23" t="str">
        <f>IF($B541="","",(Acc!$H541*$C541))</f>
        <v/>
      </c>
      <c r="E541" s="24">
        <f>IF(C541&lt;=CommissionDD!$E$3,CommissionDD!$C$3,IF(C541&lt;=CommissionDD!$E$4,CommissionDD!$C$4,IF(C541&lt;=CommissionDD!$E$5,CommissionDD!$C$5,IF(C541&lt;=CommissionDD!$E$6,CommissionDD!$C$6,IF(C541&lt;=CommissionDD!$E$7,CommissionDD!$C$7,IF(C541&lt;=CommissionDD!$E$8,CommissionDD!$C$8,CommissionDD!$C$9))))))</f>
        <v>0.03</v>
      </c>
      <c r="F541" s="23" t="str">
        <f t="shared" si="26"/>
        <v/>
      </c>
      <c r="G541" s="23" t="str">
        <f>IF($B541="","",(Acc!$F541*CommissionDD!$C$30))</f>
        <v/>
      </c>
      <c r="H541" s="23" t="str">
        <f t="shared" si="24"/>
        <v/>
      </c>
    </row>
    <row r="542" spans="1:8">
      <c r="A542" s="21" t="str">
        <f t="shared" si="25"/>
        <v/>
      </c>
      <c r="B542" s="1" t="str">
        <f>IF(Cus!$B542&lt;&gt;"",Cus!$A542,"")</f>
        <v/>
      </c>
      <c r="C542" s="22" t="str">
        <f>IF($B542="","",Cus!$AA542)</f>
        <v/>
      </c>
      <c r="D542" s="23" t="str">
        <f>IF($B542="","",(Acc!$H542*$C542))</f>
        <v/>
      </c>
      <c r="E542" s="24">
        <f>IF(C542&lt;=CommissionDD!$E$3,CommissionDD!$C$3,IF(C542&lt;=CommissionDD!$E$4,CommissionDD!$C$4,IF(C542&lt;=CommissionDD!$E$5,CommissionDD!$C$5,IF(C542&lt;=CommissionDD!$E$6,CommissionDD!$C$6,IF(C542&lt;=CommissionDD!$E$7,CommissionDD!$C$7,IF(C542&lt;=CommissionDD!$E$8,CommissionDD!$C$8,CommissionDD!$C$9))))))</f>
        <v>0.03</v>
      </c>
      <c r="F542" s="23" t="str">
        <f t="shared" si="26"/>
        <v/>
      </c>
      <c r="G542" s="23" t="str">
        <f>IF($B542="","",(Acc!$F542*CommissionDD!$C$30))</f>
        <v/>
      </c>
      <c r="H542" s="23" t="str">
        <f t="shared" si="24"/>
        <v/>
      </c>
    </row>
    <row r="543" spans="1:8">
      <c r="A543" s="21" t="str">
        <f t="shared" si="25"/>
        <v/>
      </c>
      <c r="B543" s="1" t="str">
        <f>IF(Cus!$B543&lt;&gt;"",Cus!$A543,"")</f>
        <v/>
      </c>
      <c r="C543" s="22" t="str">
        <f>IF($B543="","",Cus!$AA543)</f>
        <v/>
      </c>
      <c r="D543" s="23" t="str">
        <f>IF($B543="","",(Acc!$H543*$C543))</f>
        <v/>
      </c>
      <c r="E543" s="24">
        <f>IF(C543&lt;=CommissionDD!$E$3,CommissionDD!$C$3,IF(C543&lt;=CommissionDD!$E$4,CommissionDD!$C$4,IF(C543&lt;=CommissionDD!$E$5,CommissionDD!$C$5,IF(C543&lt;=CommissionDD!$E$6,CommissionDD!$C$6,IF(C543&lt;=CommissionDD!$E$7,CommissionDD!$C$7,IF(C543&lt;=CommissionDD!$E$8,CommissionDD!$C$8,CommissionDD!$C$9))))))</f>
        <v>0.03</v>
      </c>
      <c r="F543" s="23" t="str">
        <f t="shared" si="26"/>
        <v/>
      </c>
      <c r="G543" s="23" t="str">
        <f>IF($B543="","",(Acc!$F543*CommissionDD!$C$30))</f>
        <v/>
      </c>
      <c r="H543" s="23" t="str">
        <f t="shared" si="24"/>
        <v/>
      </c>
    </row>
    <row r="544" spans="1:8">
      <c r="A544" s="21" t="str">
        <f t="shared" si="25"/>
        <v/>
      </c>
      <c r="B544" s="1" t="str">
        <f>IF(Cus!$B544&lt;&gt;"",Cus!$A544,"")</f>
        <v/>
      </c>
      <c r="C544" s="22" t="str">
        <f>IF($B544="","",Cus!$AA544)</f>
        <v/>
      </c>
      <c r="D544" s="23" t="str">
        <f>IF($B544="","",(Acc!$H544*$C544))</f>
        <v/>
      </c>
      <c r="E544" s="24">
        <f>IF(C544&lt;=CommissionDD!$E$3,CommissionDD!$C$3,IF(C544&lt;=CommissionDD!$E$4,CommissionDD!$C$4,IF(C544&lt;=CommissionDD!$E$5,CommissionDD!$C$5,IF(C544&lt;=CommissionDD!$E$6,CommissionDD!$C$6,IF(C544&lt;=CommissionDD!$E$7,CommissionDD!$C$7,IF(C544&lt;=CommissionDD!$E$8,CommissionDD!$C$8,CommissionDD!$C$9))))))</f>
        <v>0.03</v>
      </c>
      <c r="F544" s="23" t="str">
        <f t="shared" si="26"/>
        <v/>
      </c>
      <c r="G544" s="23" t="str">
        <f>IF($B544="","",(Acc!$F544*CommissionDD!$C$30))</f>
        <v/>
      </c>
      <c r="H544" s="23" t="str">
        <f t="shared" si="24"/>
        <v/>
      </c>
    </row>
    <row r="545" spans="1:8">
      <c r="A545" s="21" t="str">
        <f t="shared" si="25"/>
        <v/>
      </c>
      <c r="B545" s="1" t="str">
        <f>IF(Cus!$B545&lt;&gt;"",Cus!$A545,"")</f>
        <v/>
      </c>
      <c r="C545" s="22" t="str">
        <f>IF($B545="","",Cus!$AA545)</f>
        <v/>
      </c>
      <c r="D545" s="23" t="str">
        <f>IF($B545="","",(Acc!$H545*$C545))</f>
        <v/>
      </c>
      <c r="E545" s="24">
        <f>IF(C545&lt;=CommissionDD!$E$3,CommissionDD!$C$3,IF(C545&lt;=CommissionDD!$E$4,CommissionDD!$C$4,IF(C545&lt;=CommissionDD!$E$5,CommissionDD!$C$5,IF(C545&lt;=CommissionDD!$E$6,CommissionDD!$C$6,IF(C545&lt;=CommissionDD!$E$7,CommissionDD!$C$7,IF(C545&lt;=CommissionDD!$E$8,CommissionDD!$C$8,CommissionDD!$C$9))))))</f>
        <v>0.03</v>
      </c>
      <c r="F545" s="23" t="str">
        <f t="shared" si="26"/>
        <v/>
      </c>
      <c r="G545" s="23" t="str">
        <f>IF($B545="","",(Acc!$F545*CommissionDD!$C$30))</f>
        <v/>
      </c>
      <c r="H545" s="23" t="str">
        <f t="shared" si="24"/>
        <v/>
      </c>
    </row>
    <row r="546" spans="1:8">
      <c r="A546" s="21" t="str">
        <f t="shared" si="25"/>
        <v/>
      </c>
      <c r="B546" s="1" t="str">
        <f>IF(Cus!$B546&lt;&gt;"",Cus!$A546,"")</f>
        <v/>
      </c>
      <c r="C546" s="22" t="str">
        <f>IF($B546="","",Cus!$AA546)</f>
        <v/>
      </c>
      <c r="D546" s="23" t="str">
        <f>IF($B546="","",(Acc!$H546*$C546))</f>
        <v/>
      </c>
      <c r="E546" s="24">
        <f>IF(C546&lt;=CommissionDD!$E$3,CommissionDD!$C$3,IF(C546&lt;=CommissionDD!$E$4,CommissionDD!$C$4,IF(C546&lt;=CommissionDD!$E$5,CommissionDD!$C$5,IF(C546&lt;=CommissionDD!$E$6,CommissionDD!$C$6,IF(C546&lt;=CommissionDD!$E$7,CommissionDD!$C$7,IF(C546&lt;=CommissionDD!$E$8,CommissionDD!$C$8,CommissionDD!$C$9))))))</f>
        <v>0.03</v>
      </c>
      <c r="F546" s="23" t="str">
        <f t="shared" si="26"/>
        <v/>
      </c>
      <c r="G546" s="23" t="str">
        <f>IF($B546="","",(Acc!$F546*CommissionDD!$C$30))</f>
        <v/>
      </c>
      <c r="H546" s="23" t="str">
        <f t="shared" si="24"/>
        <v/>
      </c>
    </row>
    <row r="547" spans="1:8">
      <c r="A547" s="21">
        <f t="shared" si="25"/>
        <v>546</v>
      </c>
      <c r="B547" s="1" t="str">
        <f>IF(Cus!$B547&lt;&gt;"",Cus!$A547,"")</f>
        <v>K0000546</v>
      </c>
      <c r="C547" s="22">
        <f>IF($B547="","",Cus!$AA547)</f>
        <v>0</v>
      </c>
      <c r="D547" s="23">
        <f>IF($B547="","",(Acc!$H547*$C547))</f>
        <v>0</v>
      </c>
      <c r="E547" s="24">
        <f>IF(C547&lt;=CommissionDD!$E$3,CommissionDD!$C$3,IF(C547&lt;=CommissionDD!$E$4,CommissionDD!$C$4,IF(C547&lt;=CommissionDD!$E$5,CommissionDD!$C$5,IF(C547&lt;=CommissionDD!$E$6,CommissionDD!$C$6,IF(C547&lt;=CommissionDD!$E$7,CommissionDD!$C$7,IF(C547&lt;=CommissionDD!$E$8,CommissionDD!$C$8,CommissionDD!$C$9))))))</f>
        <v>0.12</v>
      </c>
      <c r="F547" s="23">
        <f t="shared" si="26"/>
        <v>0</v>
      </c>
      <c r="G547" s="23">
        <f>IF($B547="","",(Acc!$F547*CommissionDD!$C$30))</f>
        <v>0</v>
      </c>
      <c r="H547" s="23">
        <f t="shared" si="24"/>
        <v>0</v>
      </c>
    </row>
    <row r="548" spans="1:8">
      <c r="A548" s="21" t="str">
        <f t="shared" si="25"/>
        <v/>
      </c>
      <c r="B548" s="1" t="str">
        <f>IF(Cus!$B548&lt;&gt;"",Cus!$A548,"")</f>
        <v/>
      </c>
      <c r="C548" s="22" t="str">
        <f>IF($B548="","",Cus!$AA548)</f>
        <v/>
      </c>
      <c r="D548" s="23" t="str">
        <f>IF($B548="","",(Acc!$H548*$C548))</f>
        <v/>
      </c>
      <c r="E548" s="24">
        <f>IF(C548&lt;=CommissionDD!$E$3,CommissionDD!$C$3,IF(C548&lt;=CommissionDD!$E$4,CommissionDD!$C$4,IF(C548&lt;=CommissionDD!$E$5,CommissionDD!$C$5,IF(C548&lt;=CommissionDD!$E$6,CommissionDD!$C$6,IF(C548&lt;=CommissionDD!$E$7,CommissionDD!$C$7,IF(C548&lt;=CommissionDD!$E$8,CommissionDD!$C$8,CommissionDD!$C$9))))))</f>
        <v>0.03</v>
      </c>
      <c r="F548" s="23" t="str">
        <f t="shared" si="26"/>
        <v/>
      </c>
      <c r="G548" s="23" t="str">
        <f>IF($B548="","",(Acc!$F548*CommissionDD!$C$30))</f>
        <v/>
      </c>
      <c r="H548" s="23" t="str">
        <f t="shared" si="24"/>
        <v/>
      </c>
    </row>
    <row r="549" spans="1:8">
      <c r="A549" s="21" t="str">
        <f t="shared" si="25"/>
        <v/>
      </c>
      <c r="B549" s="1" t="str">
        <f>IF(Cus!$B549&lt;&gt;"",Cus!$A549,"")</f>
        <v/>
      </c>
      <c r="C549" s="22" t="str">
        <f>IF($B549="","",Cus!$AA549)</f>
        <v/>
      </c>
      <c r="D549" s="23" t="str">
        <f>IF($B549="","",(Acc!$H549*$C549))</f>
        <v/>
      </c>
      <c r="E549" s="24">
        <f>IF(C549&lt;=CommissionDD!$E$3,CommissionDD!$C$3,IF(C549&lt;=CommissionDD!$E$4,CommissionDD!$C$4,IF(C549&lt;=CommissionDD!$E$5,CommissionDD!$C$5,IF(C549&lt;=CommissionDD!$E$6,CommissionDD!$C$6,IF(C549&lt;=CommissionDD!$E$7,CommissionDD!$C$7,IF(C549&lt;=CommissionDD!$E$8,CommissionDD!$C$8,CommissionDD!$C$9))))))</f>
        <v>0.03</v>
      </c>
      <c r="F549" s="23" t="str">
        <f t="shared" si="26"/>
        <v/>
      </c>
      <c r="G549" s="23" t="str">
        <f>IF($B549="","",(Acc!$F549*CommissionDD!$C$30))</f>
        <v/>
      </c>
      <c r="H549" s="23" t="str">
        <f t="shared" si="24"/>
        <v/>
      </c>
    </row>
    <row r="550" spans="1:8">
      <c r="A550" s="21" t="str">
        <f t="shared" si="25"/>
        <v/>
      </c>
      <c r="B550" s="1" t="str">
        <f>IF(Cus!$B550&lt;&gt;"",Cus!$A550,"")</f>
        <v/>
      </c>
      <c r="C550" s="22" t="str">
        <f>IF($B550="","",Cus!$AA550)</f>
        <v/>
      </c>
      <c r="D550" s="23" t="str">
        <f>IF($B550="","",(Acc!$H550*$C550))</f>
        <v/>
      </c>
      <c r="E550" s="24">
        <f>IF(C550&lt;=CommissionDD!$E$3,CommissionDD!$C$3,IF(C550&lt;=CommissionDD!$E$4,CommissionDD!$C$4,IF(C550&lt;=CommissionDD!$E$5,CommissionDD!$C$5,IF(C550&lt;=CommissionDD!$E$6,CommissionDD!$C$6,IF(C550&lt;=CommissionDD!$E$7,CommissionDD!$C$7,IF(C550&lt;=CommissionDD!$E$8,CommissionDD!$C$8,CommissionDD!$C$9))))))</f>
        <v>0.03</v>
      </c>
      <c r="F550" s="23" t="str">
        <f t="shared" si="26"/>
        <v/>
      </c>
      <c r="G550" s="23" t="str">
        <f>IF($B550="","",(Acc!$F550*CommissionDD!$C$30))</f>
        <v/>
      </c>
      <c r="H550" s="23" t="str">
        <f t="shared" si="24"/>
        <v/>
      </c>
    </row>
    <row r="551" spans="1:8">
      <c r="A551" s="21" t="str">
        <f t="shared" si="25"/>
        <v/>
      </c>
      <c r="B551" s="1" t="str">
        <f>IF(Cus!$B551&lt;&gt;"",Cus!$A551,"")</f>
        <v/>
      </c>
      <c r="C551" s="22" t="str">
        <f>IF($B551="","",Cus!$AA551)</f>
        <v/>
      </c>
      <c r="D551" s="23" t="str">
        <f>IF($B551="","",(Acc!$H551*$C551))</f>
        <v/>
      </c>
      <c r="E551" s="24">
        <f>IF(C551&lt;=CommissionDD!$E$3,CommissionDD!$C$3,IF(C551&lt;=CommissionDD!$E$4,CommissionDD!$C$4,IF(C551&lt;=CommissionDD!$E$5,CommissionDD!$C$5,IF(C551&lt;=CommissionDD!$E$6,CommissionDD!$C$6,IF(C551&lt;=CommissionDD!$E$7,CommissionDD!$C$7,IF(C551&lt;=CommissionDD!$E$8,CommissionDD!$C$8,CommissionDD!$C$9))))))</f>
        <v>0.03</v>
      </c>
      <c r="F551" s="23" t="str">
        <f t="shared" si="26"/>
        <v/>
      </c>
      <c r="G551" s="23" t="str">
        <f>IF($B551="","",(Acc!$F551*CommissionDD!$C$30))</f>
        <v/>
      </c>
      <c r="H551" s="23" t="str">
        <f t="shared" si="24"/>
        <v/>
      </c>
    </row>
    <row r="552" spans="1:8">
      <c r="A552" s="21" t="str">
        <f t="shared" si="25"/>
        <v/>
      </c>
      <c r="B552" s="1" t="str">
        <f>IF(Cus!$B552&lt;&gt;"",Cus!$A552,"")</f>
        <v/>
      </c>
      <c r="C552" s="22" t="str">
        <f>IF($B552="","",Cus!$AA552)</f>
        <v/>
      </c>
      <c r="D552" s="23" t="str">
        <f>IF($B552="","",(Acc!$H552*$C552))</f>
        <v/>
      </c>
      <c r="E552" s="24">
        <f>IF(C552&lt;=CommissionDD!$E$3,CommissionDD!$C$3,IF(C552&lt;=CommissionDD!$E$4,CommissionDD!$C$4,IF(C552&lt;=CommissionDD!$E$5,CommissionDD!$C$5,IF(C552&lt;=CommissionDD!$E$6,CommissionDD!$C$6,IF(C552&lt;=CommissionDD!$E$7,CommissionDD!$C$7,IF(C552&lt;=CommissionDD!$E$8,CommissionDD!$C$8,CommissionDD!$C$9))))))</f>
        <v>0.03</v>
      </c>
      <c r="F552" s="23" t="str">
        <f t="shared" si="26"/>
        <v/>
      </c>
      <c r="G552" s="23" t="str">
        <f>IF($B552="","",(Acc!$F552*CommissionDD!$C$30))</f>
        <v/>
      </c>
      <c r="H552" s="23" t="str">
        <f t="shared" si="24"/>
        <v/>
      </c>
    </row>
    <row r="553" spans="1:8">
      <c r="A553" s="21" t="str">
        <f t="shared" si="25"/>
        <v/>
      </c>
      <c r="B553" s="1" t="str">
        <f>IF(Cus!$B553&lt;&gt;"",Cus!$A553,"")</f>
        <v/>
      </c>
      <c r="C553" s="22" t="str">
        <f>IF($B553="","",Cus!$AA553)</f>
        <v/>
      </c>
      <c r="D553" s="23" t="str">
        <f>IF($B553="","",(Acc!$H553*$C553))</f>
        <v/>
      </c>
      <c r="E553" s="24">
        <f>IF(C553&lt;=CommissionDD!$E$3,CommissionDD!$C$3,IF(C553&lt;=CommissionDD!$E$4,CommissionDD!$C$4,IF(C553&lt;=CommissionDD!$E$5,CommissionDD!$C$5,IF(C553&lt;=CommissionDD!$E$6,CommissionDD!$C$6,IF(C553&lt;=CommissionDD!$E$7,CommissionDD!$C$7,IF(C553&lt;=CommissionDD!$E$8,CommissionDD!$C$8,CommissionDD!$C$9))))))</f>
        <v>0.03</v>
      </c>
      <c r="F553" s="23" t="str">
        <f t="shared" si="26"/>
        <v/>
      </c>
      <c r="G553" s="23" t="str">
        <f>IF($B553="","",(Acc!$F553*CommissionDD!$C$30))</f>
        <v/>
      </c>
      <c r="H553" s="23" t="str">
        <f t="shared" si="24"/>
        <v/>
      </c>
    </row>
    <row r="554" spans="1:8">
      <c r="A554" s="21" t="str">
        <f t="shared" si="25"/>
        <v/>
      </c>
      <c r="B554" s="1" t="str">
        <f>IF(Cus!$B554&lt;&gt;"",Cus!$A554,"")</f>
        <v/>
      </c>
      <c r="C554" s="22" t="str">
        <f>IF($B554="","",Cus!$AA554)</f>
        <v/>
      </c>
      <c r="D554" s="23" t="str">
        <f>IF($B554="","",(Acc!$H554*$C554))</f>
        <v/>
      </c>
      <c r="E554" s="24">
        <f>IF(C554&lt;=CommissionDD!$E$3,CommissionDD!$C$3,IF(C554&lt;=CommissionDD!$E$4,CommissionDD!$C$4,IF(C554&lt;=CommissionDD!$E$5,CommissionDD!$C$5,IF(C554&lt;=CommissionDD!$E$6,CommissionDD!$C$6,IF(C554&lt;=CommissionDD!$E$7,CommissionDD!$C$7,IF(C554&lt;=CommissionDD!$E$8,CommissionDD!$C$8,CommissionDD!$C$9))))))</f>
        <v>0.03</v>
      </c>
      <c r="F554" s="23" t="str">
        <f t="shared" si="26"/>
        <v/>
      </c>
      <c r="G554" s="23" t="str">
        <f>IF($B554="","",(Acc!$F554*CommissionDD!$C$30))</f>
        <v/>
      </c>
      <c r="H554" s="23" t="str">
        <f t="shared" si="24"/>
        <v/>
      </c>
    </row>
    <row r="555" spans="1:8">
      <c r="A555" s="21" t="str">
        <f t="shared" si="25"/>
        <v/>
      </c>
      <c r="B555" s="1" t="str">
        <f>IF(Cus!$B555&lt;&gt;"",Cus!$A555,"")</f>
        <v/>
      </c>
      <c r="C555" s="22" t="str">
        <f>IF($B555="","",Cus!$AA555)</f>
        <v/>
      </c>
      <c r="D555" s="23" t="str">
        <f>IF($B555="","",(Acc!$H555*$C555))</f>
        <v/>
      </c>
      <c r="E555" s="24">
        <f>IF(C555&lt;=CommissionDD!$E$3,CommissionDD!$C$3,IF(C555&lt;=CommissionDD!$E$4,CommissionDD!$C$4,IF(C555&lt;=CommissionDD!$E$5,CommissionDD!$C$5,IF(C555&lt;=CommissionDD!$E$6,CommissionDD!$C$6,IF(C555&lt;=CommissionDD!$E$7,CommissionDD!$C$7,IF(C555&lt;=CommissionDD!$E$8,CommissionDD!$C$8,CommissionDD!$C$9))))))</f>
        <v>0.03</v>
      </c>
      <c r="F555" s="23" t="str">
        <f t="shared" si="26"/>
        <v/>
      </c>
      <c r="G555" s="23" t="str">
        <f>IF($B555="","",(Acc!$F555*CommissionDD!$C$30))</f>
        <v/>
      </c>
      <c r="H555" s="23" t="str">
        <f t="shared" si="24"/>
        <v/>
      </c>
    </row>
    <row r="556" spans="1:8">
      <c r="A556" s="21" t="str">
        <f t="shared" si="25"/>
        <v/>
      </c>
      <c r="B556" s="1" t="str">
        <f>IF(Cus!$B556&lt;&gt;"",Cus!$A556,"")</f>
        <v/>
      </c>
      <c r="C556" s="22" t="str">
        <f>IF($B556="","",Cus!$AA556)</f>
        <v/>
      </c>
      <c r="D556" s="23" t="str">
        <f>IF($B556="","",(Acc!$H556*$C556))</f>
        <v/>
      </c>
      <c r="E556" s="24">
        <f>IF(C556&lt;=CommissionDD!$E$3,CommissionDD!$C$3,IF(C556&lt;=CommissionDD!$E$4,CommissionDD!$C$4,IF(C556&lt;=CommissionDD!$E$5,CommissionDD!$C$5,IF(C556&lt;=CommissionDD!$E$6,CommissionDD!$C$6,IF(C556&lt;=CommissionDD!$E$7,CommissionDD!$C$7,IF(C556&lt;=CommissionDD!$E$8,CommissionDD!$C$8,CommissionDD!$C$9))))))</f>
        <v>0.03</v>
      </c>
      <c r="F556" s="23" t="str">
        <f t="shared" si="26"/>
        <v/>
      </c>
      <c r="G556" s="23" t="str">
        <f>IF($B556="","",(Acc!$F556*CommissionDD!$C$30))</f>
        <v/>
      </c>
      <c r="H556" s="23" t="str">
        <f t="shared" si="24"/>
        <v/>
      </c>
    </row>
    <row r="557" spans="1:8">
      <c r="A557" s="21">
        <f t="shared" si="25"/>
        <v>556</v>
      </c>
      <c r="B557" s="1" t="str">
        <f>IF(Cus!$B557&lt;&gt;"",Cus!$A557,"")</f>
        <v>K0000556</v>
      </c>
      <c r="C557" s="22">
        <f>IF($B557="","",Cus!$AA557)</f>
        <v>0</v>
      </c>
      <c r="D557" s="23">
        <f>IF($B557="","",(Acc!$H557*$C557))</f>
        <v>0</v>
      </c>
      <c r="E557" s="24">
        <f>IF(C557&lt;=CommissionDD!$E$3,CommissionDD!$C$3,IF(C557&lt;=CommissionDD!$E$4,CommissionDD!$C$4,IF(C557&lt;=CommissionDD!$E$5,CommissionDD!$C$5,IF(C557&lt;=CommissionDD!$E$6,CommissionDD!$C$6,IF(C557&lt;=CommissionDD!$E$7,CommissionDD!$C$7,IF(C557&lt;=CommissionDD!$E$8,CommissionDD!$C$8,CommissionDD!$C$9))))))</f>
        <v>0.12</v>
      </c>
      <c r="F557" s="23">
        <f t="shared" si="26"/>
        <v>0</v>
      </c>
      <c r="G557" s="23">
        <f>IF($B557="","",(Acc!$F557*CommissionDD!$C$30))</f>
        <v>0</v>
      </c>
      <c r="H557" s="23">
        <f t="shared" si="24"/>
        <v>0</v>
      </c>
    </row>
    <row r="558" spans="1:8">
      <c r="A558" s="21" t="str">
        <f t="shared" si="25"/>
        <v/>
      </c>
      <c r="B558" s="1" t="str">
        <f>IF(Cus!$B558&lt;&gt;"",Cus!$A558,"")</f>
        <v/>
      </c>
      <c r="C558" s="22" t="str">
        <f>IF($B558="","",Cus!$AA558)</f>
        <v/>
      </c>
      <c r="D558" s="23" t="str">
        <f>IF($B558="","",(Acc!$H558*$C558))</f>
        <v/>
      </c>
      <c r="E558" s="24">
        <f>IF(C558&lt;=CommissionDD!$E$3,CommissionDD!$C$3,IF(C558&lt;=CommissionDD!$E$4,CommissionDD!$C$4,IF(C558&lt;=CommissionDD!$E$5,CommissionDD!$C$5,IF(C558&lt;=CommissionDD!$E$6,CommissionDD!$C$6,IF(C558&lt;=CommissionDD!$E$7,CommissionDD!$C$7,IF(C558&lt;=CommissionDD!$E$8,CommissionDD!$C$8,CommissionDD!$C$9))))))</f>
        <v>0.03</v>
      </c>
      <c r="F558" s="23" t="str">
        <f t="shared" si="26"/>
        <v/>
      </c>
      <c r="G558" s="23" t="str">
        <f>IF($B558="","",(Acc!$F558*CommissionDD!$C$30))</f>
        <v/>
      </c>
      <c r="H558" s="23" t="str">
        <f t="shared" si="24"/>
        <v/>
      </c>
    </row>
    <row r="559" spans="1:8">
      <c r="A559" s="21" t="str">
        <f t="shared" si="25"/>
        <v/>
      </c>
      <c r="B559" s="1" t="str">
        <f>IF(Cus!$B559&lt;&gt;"",Cus!$A559,"")</f>
        <v/>
      </c>
      <c r="C559" s="22" t="str">
        <f>IF($B559="","",Cus!$AA559)</f>
        <v/>
      </c>
      <c r="D559" s="23" t="str">
        <f>IF($B559="","",(Acc!$H559*$C559))</f>
        <v/>
      </c>
      <c r="E559" s="24">
        <f>IF(C559&lt;=CommissionDD!$E$3,CommissionDD!$C$3,IF(C559&lt;=CommissionDD!$E$4,CommissionDD!$C$4,IF(C559&lt;=CommissionDD!$E$5,CommissionDD!$C$5,IF(C559&lt;=CommissionDD!$E$6,CommissionDD!$C$6,IF(C559&lt;=CommissionDD!$E$7,CommissionDD!$C$7,IF(C559&lt;=CommissionDD!$E$8,CommissionDD!$C$8,CommissionDD!$C$9))))))</f>
        <v>0.03</v>
      </c>
      <c r="F559" s="23" t="str">
        <f t="shared" si="26"/>
        <v/>
      </c>
      <c r="G559" s="23" t="str">
        <f>IF($B559="","",(Acc!$F559*CommissionDD!$C$30))</f>
        <v/>
      </c>
      <c r="H559" s="23" t="str">
        <f t="shared" si="24"/>
        <v/>
      </c>
    </row>
    <row r="560" spans="1:8">
      <c r="A560" s="21" t="str">
        <f t="shared" si="25"/>
        <v/>
      </c>
      <c r="B560" s="1" t="str">
        <f>IF(Cus!$B560&lt;&gt;"",Cus!$A560,"")</f>
        <v/>
      </c>
      <c r="C560" s="22" t="str">
        <f>IF($B560="","",Cus!$AA560)</f>
        <v/>
      </c>
      <c r="D560" s="23" t="str">
        <f>IF($B560="","",(Acc!$H560*$C560))</f>
        <v/>
      </c>
      <c r="E560" s="24">
        <f>IF(C560&lt;=CommissionDD!$E$3,CommissionDD!$C$3,IF(C560&lt;=CommissionDD!$E$4,CommissionDD!$C$4,IF(C560&lt;=CommissionDD!$E$5,CommissionDD!$C$5,IF(C560&lt;=CommissionDD!$E$6,CommissionDD!$C$6,IF(C560&lt;=CommissionDD!$E$7,CommissionDD!$C$7,IF(C560&lt;=CommissionDD!$E$8,CommissionDD!$C$8,CommissionDD!$C$9))))))</f>
        <v>0.03</v>
      </c>
      <c r="F560" s="23" t="str">
        <f t="shared" si="26"/>
        <v/>
      </c>
      <c r="G560" s="23" t="str">
        <f>IF($B560="","",(Acc!$F560*CommissionDD!$C$30))</f>
        <v/>
      </c>
      <c r="H560" s="23" t="str">
        <f t="shared" si="24"/>
        <v/>
      </c>
    </row>
    <row r="561" spans="1:8">
      <c r="A561" s="21" t="str">
        <f t="shared" si="25"/>
        <v/>
      </c>
      <c r="B561" s="1" t="str">
        <f>IF(Cus!$B561&lt;&gt;"",Cus!$A561,"")</f>
        <v/>
      </c>
      <c r="C561" s="22" t="str">
        <f>IF($B561="","",Cus!$AA561)</f>
        <v/>
      </c>
      <c r="D561" s="23" t="str">
        <f>IF($B561="","",(Acc!$H561*$C561))</f>
        <v/>
      </c>
      <c r="E561" s="24">
        <f>IF(C561&lt;=CommissionDD!$E$3,CommissionDD!$C$3,IF(C561&lt;=CommissionDD!$E$4,CommissionDD!$C$4,IF(C561&lt;=CommissionDD!$E$5,CommissionDD!$C$5,IF(C561&lt;=CommissionDD!$E$6,CommissionDD!$C$6,IF(C561&lt;=CommissionDD!$E$7,CommissionDD!$C$7,IF(C561&lt;=CommissionDD!$E$8,CommissionDD!$C$8,CommissionDD!$C$9))))))</f>
        <v>0.03</v>
      </c>
      <c r="F561" s="23" t="str">
        <f t="shared" si="26"/>
        <v/>
      </c>
      <c r="G561" s="23" t="str">
        <f>IF($B561="","",(Acc!$F561*CommissionDD!$C$30))</f>
        <v/>
      </c>
      <c r="H561" s="23" t="str">
        <f t="shared" si="24"/>
        <v/>
      </c>
    </row>
    <row r="562" spans="1:8">
      <c r="A562" s="21" t="str">
        <f t="shared" si="25"/>
        <v/>
      </c>
      <c r="B562" s="1" t="str">
        <f>IF(Cus!$B562&lt;&gt;"",Cus!$A562,"")</f>
        <v/>
      </c>
      <c r="C562" s="22" t="str">
        <f>IF($B562="","",Cus!$AA562)</f>
        <v/>
      </c>
      <c r="D562" s="23" t="str">
        <f>IF($B562="","",(Acc!$H562*$C562))</f>
        <v/>
      </c>
      <c r="E562" s="24">
        <f>IF(C562&lt;=CommissionDD!$E$3,CommissionDD!$C$3,IF(C562&lt;=CommissionDD!$E$4,CommissionDD!$C$4,IF(C562&lt;=CommissionDD!$E$5,CommissionDD!$C$5,IF(C562&lt;=CommissionDD!$E$6,CommissionDD!$C$6,IF(C562&lt;=CommissionDD!$E$7,CommissionDD!$C$7,IF(C562&lt;=CommissionDD!$E$8,CommissionDD!$C$8,CommissionDD!$C$9))))))</f>
        <v>0.03</v>
      </c>
      <c r="F562" s="23" t="str">
        <f t="shared" si="26"/>
        <v/>
      </c>
      <c r="G562" s="23" t="str">
        <f>IF($B562="","",(Acc!$F562*CommissionDD!$C$30))</f>
        <v/>
      </c>
      <c r="H562" s="23" t="str">
        <f t="shared" si="24"/>
        <v/>
      </c>
    </row>
    <row r="563" spans="1:8">
      <c r="A563" s="21" t="str">
        <f t="shared" si="25"/>
        <v/>
      </c>
      <c r="B563" s="1" t="str">
        <f>IF(Cus!$B563&lt;&gt;"",Cus!$A563,"")</f>
        <v/>
      </c>
      <c r="C563" s="22" t="str">
        <f>IF($B563="","",Cus!$AA563)</f>
        <v/>
      </c>
      <c r="D563" s="23" t="str">
        <f>IF($B563="","",(Acc!$H563*$C563))</f>
        <v/>
      </c>
      <c r="E563" s="24">
        <f>IF(C563&lt;=CommissionDD!$E$3,CommissionDD!$C$3,IF(C563&lt;=CommissionDD!$E$4,CommissionDD!$C$4,IF(C563&lt;=CommissionDD!$E$5,CommissionDD!$C$5,IF(C563&lt;=CommissionDD!$E$6,CommissionDD!$C$6,IF(C563&lt;=CommissionDD!$E$7,CommissionDD!$C$7,IF(C563&lt;=CommissionDD!$E$8,CommissionDD!$C$8,CommissionDD!$C$9))))))</f>
        <v>0.03</v>
      </c>
      <c r="F563" s="23" t="str">
        <f t="shared" si="26"/>
        <v/>
      </c>
      <c r="G563" s="23" t="str">
        <f>IF($B563="","",(Acc!$F563*CommissionDD!$C$30))</f>
        <v/>
      </c>
      <c r="H563" s="23" t="str">
        <f t="shared" si="24"/>
        <v/>
      </c>
    </row>
    <row r="564" spans="1:8">
      <c r="A564" s="21" t="str">
        <f t="shared" si="25"/>
        <v/>
      </c>
      <c r="B564" s="1" t="str">
        <f>IF(Cus!$B564&lt;&gt;"",Cus!$A564,"")</f>
        <v/>
      </c>
      <c r="C564" s="22" t="str">
        <f>IF($B564="","",Cus!$AA564)</f>
        <v/>
      </c>
      <c r="D564" s="23" t="str">
        <f>IF($B564="","",(Acc!$H564*$C564))</f>
        <v/>
      </c>
      <c r="E564" s="24">
        <f>IF(C564&lt;=CommissionDD!$E$3,CommissionDD!$C$3,IF(C564&lt;=CommissionDD!$E$4,CommissionDD!$C$4,IF(C564&lt;=CommissionDD!$E$5,CommissionDD!$C$5,IF(C564&lt;=CommissionDD!$E$6,CommissionDD!$C$6,IF(C564&lt;=CommissionDD!$E$7,CommissionDD!$C$7,IF(C564&lt;=CommissionDD!$E$8,CommissionDD!$C$8,CommissionDD!$C$9))))))</f>
        <v>0.03</v>
      </c>
      <c r="F564" s="23" t="str">
        <f t="shared" si="26"/>
        <v/>
      </c>
      <c r="G564" s="23" t="str">
        <f>IF($B564="","",(Acc!$F564*CommissionDD!$C$30))</f>
        <v/>
      </c>
      <c r="H564" s="23" t="str">
        <f t="shared" si="24"/>
        <v/>
      </c>
    </row>
    <row r="565" spans="1:8">
      <c r="A565" s="21" t="str">
        <f t="shared" si="25"/>
        <v/>
      </c>
      <c r="B565" s="1" t="str">
        <f>IF(Cus!$B565&lt;&gt;"",Cus!$A565,"")</f>
        <v/>
      </c>
      <c r="C565" s="22" t="str">
        <f>IF($B565="","",Cus!$AA565)</f>
        <v/>
      </c>
      <c r="D565" s="23" t="str">
        <f>IF($B565="","",(Acc!$H565*$C565))</f>
        <v/>
      </c>
      <c r="E565" s="24">
        <f>IF(C565&lt;=CommissionDD!$E$3,CommissionDD!$C$3,IF(C565&lt;=CommissionDD!$E$4,CommissionDD!$C$4,IF(C565&lt;=CommissionDD!$E$5,CommissionDD!$C$5,IF(C565&lt;=CommissionDD!$E$6,CommissionDD!$C$6,IF(C565&lt;=CommissionDD!$E$7,CommissionDD!$C$7,IF(C565&lt;=CommissionDD!$E$8,CommissionDD!$C$8,CommissionDD!$C$9))))))</f>
        <v>0.03</v>
      </c>
      <c r="F565" s="23" t="str">
        <f t="shared" si="26"/>
        <v/>
      </c>
      <c r="G565" s="23" t="str">
        <f>IF($B565="","",(Acc!$F565*CommissionDD!$C$30))</f>
        <v/>
      </c>
      <c r="H565" s="23" t="str">
        <f t="shared" si="24"/>
        <v/>
      </c>
    </row>
    <row r="566" spans="1:8">
      <c r="A566" s="21" t="str">
        <f t="shared" si="25"/>
        <v/>
      </c>
      <c r="B566" s="1" t="str">
        <f>IF(Cus!$B566&lt;&gt;"",Cus!$A566,"")</f>
        <v/>
      </c>
      <c r="C566" s="22" t="str">
        <f>IF($B566="","",Cus!$AA566)</f>
        <v/>
      </c>
      <c r="D566" s="23" t="str">
        <f>IF($B566="","",(Acc!$H566*$C566))</f>
        <v/>
      </c>
      <c r="E566" s="24">
        <f>IF(C566&lt;=CommissionDD!$E$3,CommissionDD!$C$3,IF(C566&lt;=CommissionDD!$E$4,CommissionDD!$C$4,IF(C566&lt;=CommissionDD!$E$5,CommissionDD!$C$5,IF(C566&lt;=CommissionDD!$E$6,CommissionDD!$C$6,IF(C566&lt;=CommissionDD!$E$7,CommissionDD!$C$7,IF(C566&lt;=CommissionDD!$E$8,CommissionDD!$C$8,CommissionDD!$C$9))))))</f>
        <v>0.03</v>
      </c>
      <c r="F566" s="23" t="str">
        <f t="shared" si="26"/>
        <v/>
      </c>
      <c r="G566" s="23" t="str">
        <f>IF($B566="","",(Acc!$F566*CommissionDD!$C$30))</f>
        <v/>
      </c>
      <c r="H566" s="23" t="str">
        <f t="shared" si="24"/>
        <v/>
      </c>
    </row>
    <row r="567" spans="1:8">
      <c r="A567" s="21" t="str">
        <f t="shared" si="25"/>
        <v/>
      </c>
      <c r="B567" s="1" t="str">
        <f>IF(Cus!$B567&lt;&gt;"",Cus!$A567,"")</f>
        <v/>
      </c>
      <c r="C567" s="22" t="str">
        <f>IF($B567="","",Cus!$AA567)</f>
        <v/>
      </c>
      <c r="D567" s="23" t="str">
        <f>IF($B567="","",(Acc!$H567*$C567))</f>
        <v/>
      </c>
      <c r="E567" s="24">
        <f>IF(C567&lt;=CommissionDD!$E$3,CommissionDD!$C$3,IF(C567&lt;=CommissionDD!$E$4,CommissionDD!$C$4,IF(C567&lt;=CommissionDD!$E$5,CommissionDD!$C$5,IF(C567&lt;=CommissionDD!$E$6,CommissionDD!$C$6,IF(C567&lt;=CommissionDD!$E$7,CommissionDD!$C$7,IF(C567&lt;=CommissionDD!$E$8,CommissionDD!$C$8,CommissionDD!$C$9))))))</f>
        <v>0.03</v>
      </c>
      <c r="F567" s="23" t="str">
        <f t="shared" si="26"/>
        <v/>
      </c>
      <c r="G567" s="23" t="str">
        <f>IF($B567="","",(Acc!$F567*CommissionDD!$C$30))</f>
        <v/>
      </c>
      <c r="H567" s="23" t="str">
        <f t="shared" si="24"/>
        <v/>
      </c>
    </row>
    <row r="568" spans="1:8">
      <c r="A568" s="21" t="str">
        <f t="shared" si="25"/>
        <v/>
      </c>
      <c r="B568" s="1" t="str">
        <f>IF(Cus!$B568&lt;&gt;"",Cus!$A568,"")</f>
        <v/>
      </c>
      <c r="C568" s="22" t="str">
        <f>IF($B568="","",Cus!$AA568)</f>
        <v/>
      </c>
      <c r="D568" s="23" t="str">
        <f>IF($B568="","",(Acc!$H568*$C568))</f>
        <v/>
      </c>
      <c r="E568" s="24">
        <f>IF(C568&lt;=CommissionDD!$E$3,CommissionDD!$C$3,IF(C568&lt;=CommissionDD!$E$4,CommissionDD!$C$4,IF(C568&lt;=CommissionDD!$E$5,CommissionDD!$C$5,IF(C568&lt;=CommissionDD!$E$6,CommissionDD!$C$6,IF(C568&lt;=CommissionDD!$E$7,CommissionDD!$C$7,IF(C568&lt;=CommissionDD!$E$8,CommissionDD!$C$8,CommissionDD!$C$9))))))</f>
        <v>0.03</v>
      </c>
      <c r="F568" s="23" t="str">
        <f t="shared" si="26"/>
        <v/>
      </c>
      <c r="G568" s="23" t="str">
        <f>IF($B568="","",(Acc!$F568*CommissionDD!$C$30))</f>
        <v/>
      </c>
      <c r="H568" s="23" t="str">
        <f t="shared" si="24"/>
        <v/>
      </c>
    </row>
    <row r="569" spans="1:8">
      <c r="A569" s="21" t="str">
        <f t="shared" si="25"/>
        <v/>
      </c>
      <c r="B569" s="1" t="str">
        <f>IF(Cus!$B569&lt;&gt;"",Cus!$A569,"")</f>
        <v/>
      </c>
      <c r="C569" s="22" t="str">
        <f>IF($B569="","",Cus!$AA569)</f>
        <v/>
      </c>
      <c r="D569" s="23" t="str">
        <f>IF($B569="","",(Acc!$H569*$C569))</f>
        <v/>
      </c>
      <c r="E569" s="24">
        <f>IF(C569&lt;=CommissionDD!$E$3,CommissionDD!$C$3,IF(C569&lt;=CommissionDD!$E$4,CommissionDD!$C$4,IF(C569&lt;=CommissionDD!$E$5,CommissionDD!$C$5,IF(C569&lt;=CommissionDD!$E$6,CommissionDD!$C$6,IF(C569&lt;=CommissionDD!$E$7,CommissionDD!$C$7,IF(C569&lt;=CommissionDD!$E$8,CommissionDD!$C$8,CommissionDD!$C$9))))))</f>
        <v>0.03</v>
      </c>
      <c r="F569" s="23" t="str">
        <f t="shared" si="26"/>
        <v/>
      </c>
      <c r="G569" s="23" t="str">
        <f>IF($B569="","",(Acc!$F569*CommissionDD!$C$30))</f>
        <v/>
      </c>
      <c r="H569" s="23" t="str">
        <f t="shared" si="24"/>
        <v/>
      </c>
    </row>
    <row r="570" spans="1:8">
      <c r="A570" s="21" t="str">
        <f t="shared" si="25"/>
        <v/>
      </c>
      <c r="B570" s="1" t="str">
        <f>IF(Cus!$B570&lt;&gt;"",Cus!$A570,"")</f>
        <v/>
      </c>
      <c r="C570" s="22" t="str">
        <f>IF($B570="","",Cus!$AA570)</f>
        <v/>
      </c>
      <c r="D570" s="23" t="str">
        <f>IF($B570="","",(Acc!$H570*$C570))</f>
        <v/>
      </c>
      <c r="E570" s="24">
        <f>IF(C570&lt;=CommissionDD!$E$3,CommissionDD!$C$3,IF(C570&lt;=CommissionDD!$E$4,CommissionDD!$C$4,IF(C570&lt;=CommissionDD!$E$5,CommissionDD!$C$5,IF(C570&lt;=CommissionDD!$E$6,CommissionDD!$C$6,IF(C570&lt;=CommissionDD!$E$7,CommissionDD!$C$7,IF(C570&lt;=CommissionDD!$E$8,CommissionDD!$C$8,CommissionDD!$C$9))))))</f>
        <v>0.03</v>
      </c>
      <c r="F570" s="23" t="str">
        <f t="shared" si="26"/>
        <v/>
      </c>
      <c r="G570" s="23" t="str">
        <f>IF($B570="","",(Acc!$F570*CommissionDD!$C$30))</f>
        <v/>
      </c>
      <c r="H570" s="23" t="str">
        <f t="shared" si="24"/>
        <v/>
      </c>
    </row>
    <row r="571" spans="1:8">
      <c r="A571" s="21" t="str">
        <f t="shared" si="25"/>
        <v/>
      </c>
      <c r="B571" s="1" t="str">
        <f>IF(Cus!$B571&lt;&gt;"",Cus!$A571,"")</f>
        <v/>
      </c>
      <c r="C571" s="22" t="str">
        <f>IF($B571="","",Cus!$AA571)</f>
        <v/>
      </c>
      <c r="D571" s="23" t="str">
        <f>IF($B571="","",(Acc!$H571*$C571))</f>
        <v/>
      </c>
      <c r="E571" s="24">
        <f>IF(C571&lt;=CommissionDD!$E$3,CommissionDD!$C$3,IF(C571&lt;=CommissionDD!$E$4,CommissionDD!$C$4,IF(C571&lt;=CommissionDD!$E$5,CommissionDD!$C$5,IF(C571&lt;=CommissionDD!$E$6,CommissionDD!$C$6,IF(C571&lt;=CommissionDD!$E$7,CommissionDD!$C$7,IF(C571&lt;=CommissionDD!$E$8,CommissionDD!$C$8,CommissionDD!$C$9))))))</f>
        <v>0.03</v>
      </c>
      <c r="F571" s="23" t="str">
        <f t="shared" si="26"/>
        <v/>
      </c>
      <c r="G571" s="23" t="str">
        <f>IF($B571="","",(Acc!$F571*CommissionDD!$C$30))</f>
        <v/>
      </c>
      <c r="H571" s="23" t="str">
        <f t="shared" si="24"/>
        <v/>
      </c>
    </row>
    <row r="572" spans="1:8">
      <c r="A572" s="21" t="str">
        <f t="shared" si="25"/>
        <v/>
      </c>
      <c r="B572" s="1" t="str">
        <f>IF(Cus!$B572&lt;&gt;"",Cus!$A572,"")</f>
        <v/>
      </c>
      <c r="C572" s="22" t="str">
        <f>IF($B572="","",Cus!$AA572)</f>
        <v/>
      </c>
      <c r="D572" s="23" t="str">
        <f>IF($B572="","",(Acc!$H572*$C572))</f>
        <v/>
      </c>
      <c r="E572" s="24">
        <f>IF(C572&lt;=CommissionDD!$E$3,CommissionDD!$C$3,IF(C572&lt;=CommissionDD!$E$4,CommissionDD!$C$4,IF(C572&lt;=CommissionDD!$E$5,CommissionDD!$C$5,IF(C572&lt;=CommissionDD!$E$6,CommissionDD!$C$6,IF(C572&lt;=CommissionDD!$E$7,CommissionDD!$C$7,IF(C572&lt;=CommissionDD!$E$8,CommissionDD!$C$8,CommissionDD!$C$9))))))</f>
        <v>0.03</v>
      </c>
      <c r="F572" s="23" t="str">
        <f t="shared" si="26"/>
        <v/>
      </c>
      <c r="G572" s="23" t="str">
        <f>IF($B572="","",(Acc!$F572*CommissionDD!$C$30))</f>
        <v/>
      </c>
      <c r="H572" s="23" t="str">
        <f t="shared" si="24"/>
        <v/>
      </c>
    </row>
    <row r="573" spans="1:8">
      <c r="A573" s="21" t="str">
        <f t="shared" si="25"/>
        <v/>
      </c>
      <c r="B573" s="1" t="str">
        <f>IF(Cus!$B573&lt;&gt;"",Cus!$A573,"")</f>
        <v/>
      </c>
      <c r="C573" s="22" t="str">
        <f>IF($B573="","",Cus!$AA573)</f>
        <v/>
      </c>
      <c r="D573" s="23" t="str">
        <f>IF($B573="","",(Acc!$H573*$C573))</f>
        <v/>
      </c>
      <c r="E573" s="24">
        <f>IF(C573&lt;=CommissionDD!$E$3,CommissionDD!$C$3,IF(C573&lt;=CommissionDD!$E$4,CommissionDD!$C$4,IF(C573&lt;=CommissionDD!$E$5,CommissionDD!$C$5,IF(C573&lt;=CommissionDD!$E$6,CommissionDD!$C$6,IF(C573&lt;=CommissionDD!$E$7,CommissionDD!$C$7,IF(C573&lt;=CommissionDD!$E$8,CommissionDD!$C$8,CommissionDD!$C$9))))))</f>
        <v>0.03</v>
      </c>
      <c r="F573" s="23" t="str">
        <f t="shared" si="26"/>
        <v/>
      </c>
      <c r="G573" s="23" t="str">
        <f>IF($B573="","",(Acc!$F573*CommissionDD!$C$30))</f>
        <v/>
      </c>
      <c r="H573" s="23" t="str">
        <f t="shared" si="24"/>
        <v/>
      </c>
    </row>
    <row r="574" spans="1:8">
      <c r="A574" s="21" t="str">
        <f t="shared" si="25"/>
        <v/>
      </c>
      <c r="B574" s="1" t="str">
        <f>IF(Cus!$B574&lt;&gt;"",Cus!$A574,"")</f>
        <v/>
      </c>
      <c r="C574" s="22" t="str">
        <f>IF($B574="","",Cus!$AA574)</f>
        <v/>
      </c>
      <c r="D574" s="23" t="str">
        <f>IF($B574="","",(Acc!$H574*$C574))</f>
        <v/>
      </c>
      <c r="E574" s="24">
        <f>IF(C574&lt;=CommissionDD!$E$3,CommissionDD!$C$3,IF(C574&lt;=CommissionDD!$E$4,CommissionDD!$C$4,IF(C574&lt;=CommissionDD!$E$5,CommissionDD!$C$5,IF(C574&lt;=CommissionDD!$E$6,CommissionDD!$C$6,IF(C574&lt;=CommissionDD!$E$7,CommissionDD!$C$7,IF(C574&lt;=CommissionDD!$E$8,CommissionDD!$C$8,CommissionDD!$C$9))))))</f>
        <v>0.03</v>
      </c>
      <c r="F574" s="23" t="str">
        <f t="shared" si="26"/>
        <v/>
      </c>
      <c r="G574" s="23" t="str">
        <f>IF($B574="","",(Acc!$F574*CommissionDD!$C$30))</f>
        <v/>
      </c>
      <c r="H574" s="23" t="str">
        <f t="shared" si="24"/>
        <v/>
      </c>
    </row>
    <row r="575" spans="1:8">
      <c r="A575" s="21" t="str">
        <f t="shared" si="25"/>
        <v/>
      </c>
      <c r="B575" s="1" t="str">
        <f>IF(Cus!$B575&lt;&gt;"",Cus!$A575,"")</f>
        <v/>
      </c>
      <c r="C575" s="22" t="str">
        <f>IF($B575="","",Cus!$AA575)</f>
        <v/>
      </c>
      <c r="D575" s="23" t="str">
        <f>IF($B575="","",(Acc!$H575*$C575))</f>
        <v/>
      </c>
      <c r="E575" s="24">
        <f>IF(C575&lt;=CommissionDD!$E$3,CommissionDD!$C$3,IF(C575&lt;=CommissionDD!$E$4,CommissionDD!$C$4,IF(C575&lt;=CommissionDD!$E$5,CommissionDD!$C$5,IF(C575&lt;=CommissionDD!$E$6,CommissionDD!$C$6,IF(C575&lt;=CommissionDD!$E$7,CommissionDD!$C$7,IF(C575&lt;=CommissionDD!$E$8,CommissionDD!$C$8,CommissionDD!$C$9))))))</f>
        <v>0.03</v>
      </c>
      <c r="F575" s="23" t="str">
        <f t="shared" si="26"/>
        <v/>
      </c>
      <c r="G575" s="23" t="str">
        <f>IF($B575="","",(Acc!$F575*CommissionDD!$C$30))</f>
        <v/>
      </c>
      <c r="H575" s="23" t="str">
        <f t="shared" si="24"/>
        <v/>
      </c>
    </row>
    <row r="576" spans="1:8">
      <c r="A576" s="21" t="str">
        <f t="shared" si="25"/>
        <v/>
      </c>
      <c r="B576" s="1" t="str">
        <f>IF(Cus!$B576&lt;&gt;"",Cus!$A576,"")</f>
        <v/>
      </c>
      <c r="C576" s="22" t="str">
        <f>IF($B576="","",Cus!$AA576)</f>
        <v/>
      </c>
      <c r="D576" s="23" t="str">
        <f>IF($B576="","",(Acc!$H576*$C576))</f>
        <v/>
      </c>
      <c r="E576" s="24">
        <f>IF(C576&lt;=CommissionDD!$E$3,CommissionDD!$C$3,IF(C576&lt;=CommissionDD!$E$4,CommissionDD!$C$4,IF(C576&lt;=CommissionDD!$E$5,CommissionDD!$C$5,IF(C576&lt;=CommissionDD!$E$6,CommissionDD!$C$6,IF(C576&lt;=CommissionDD!$E$7,CommissionDD!$C$7,IF(C576&lt;=CommissionDD!$E$8,CommissionDD!$C$8,CommissionDD!$C$9))))))</f>
        <v>0.03</v>
      </c>
      <c r="F576" s="23" t="str">
        <f t="shared" si="26"/>
        <v/>
      </c>
      <c r="G576" s="23" t="str">
        <f>IF($B576="","",(Acc!$F576*CommissionDD!$C$30))</f>
        <v/>
      </c>
      <c r="H576" s="23" t="str">
        <f t="shared" si="24"/>
        <v/>
      </c>
    </row>
    <row r="577" spans="1:8">
      <c r="A577" s="21" t="str">
        <f t="shared" si="25"/>
        <v/>
      </c>
      <c r="B577" s="1" t="str">
        <f>IF(Cus!$B577&lt;&gt;"",Cus!$A577,"")</f>
        <v/>
      </c>
      <c r="C577" s="22" t="str">
        <f>IF($B577="","",Cus!$AA577)</f>
        <v/>
      </c>
      <c r="D577" s="23" t="str">
        <f>IF($B577="","",(Acc!$H577*$C577))</f>
        <v/>
      </c>
      <c r="E577" s="24">
        <f>IF(C577&lt;=CommissionDD!$E$3,CommissionDD!$C$3,IF(C577&lt;=CommissionDD!$E$4,CommissionDD!$C$4,IF(C577&lt;=CommissionDD!$E$5,CommissionDD!$C$5,IF(C577&lt;=CommissionDD!$E$6,CommissionDD!$C$6,IF(C577&lt;=CommissionDD!$E$7,CommissionDD!$C$7,IF(C577&lt;=CommissionDD!$E$8,CommissionDD!$C$8,CommissionDD!$C$9))))))</f>
        <v>0.03</v>
      </c>
      <c r="F577" s="23" t="str">
        <f t="shared" si="26"/>
        <v/>
      </c>
      <c r="G577" s="23" t="str">
        <f>IF($B577="","",(Acc!$F577*CommissionDD!$C$30))</f>
        <v/>
      </c>
      <c r="H577" s="23" t="str">
        <f t="shared" si="24"/>
        <v/>
      </c>
    </row>
    <row r="578" spans="1:8">
      <c r="A578" s="21" t="str">
        <f t="shared" si="25"/>
        <v/>
      </c>
      <c r="B578" s="1" t="str">
        <f>IF(Cus!$B578&lt;&gt;"",Cus!$A578,"")</f>
        <v/>
      </c>
      <c r="C578" s="22" t="str">
        <f>IF($B578="","",Cus!$AA578)</f>
        <v/>
      </c>
      <c r="D578" s="23" t="str">
        <f>IF($B578="","",(Acc!$H578*$C578))</f>
        <v/>
      </c>
      <c r="E578" s="24">
        <f>IF(C578&lt;=CommissionDD!$E$3,CommissionDD!$C$3,IF(C578&lt;=CommissionDD!$E$4,CommissionDD!$C$4,IF(C578&lt;=CommissionDD!$E$5,CommissionDD!$C$5,IF(C578&lt;=CommissionDD!$E$6,CommissionDD!$C$6,IF(C578&lt;=CommissionDD!$E$7,CommissionDD!$C$7,IF(C578&lt;=CommissionDD!$E$8,CommissionDD!$C$8,CommissionDD!$C$9))))))</f>
        <v>0.03</v>
      </c>
      <c r="F578" s="23" t="str">
        <f t="shared" si="26"/>
        <v/>
      </c>
      <c r="G578" s="23" t="str">
        <f>IF($B578="","",(Acc!$F578*CommissionDD!$C$30))</f>
        <v/>
      </c>
      <c r="H578" s="23" t="str">
        <f t="shared" ref="H578:H641" si="27">IF($B578="","",F578+G578)</f>
        <v/>
      </c>
    </row>
    <row r="579" spans="1:8">
      <c r="A579" s="21" t="str">
        <f t="shared" ref="A579:A642" si="28">IF($B579="","",(ROW($A578)))</f>
        <v/>
      </c>
      <c r="B579" s="1" t="str">
        <f>IF(Cus!$B579&lt;&gt;"",Cus!$A579,"")</f>
        <v/>
      </c>
      <c r="C579" s="22" t="str">
        <f>IF($B579="","",Cus!$AA579)</f>
        <v/>
      </c>
      <c r="D579" s="23" t="str">
        <f>IF($B579="","",(Acc!$H579*$C579))</f>
        <v/>
      </c>
      <c r="E579" s="24">
        <f>IF(C579&lt;=CommissionDD!$E$3,CommissionDD!$C$3,IF(C579&lt;=CommissionDD!$E$4,CommissionDD!$C$4,IF(C579&lt;=CommissionDD!$E$5,CommissionDD!$C$5,IF(C579&lt;=CommissionDD!$E$6,CommissionDD!$C$6,IF(C579&lt;=CommissionDD!$E$7,CommissionDD!$C$7,IF(C579&lt;=CommissionDD!$E$8,CommissionDD!$C$8,CommissionDD!$C$9))))))</f>
        <v>0.03</v>
      </c>
      <c r="F579" s="23" t="str">
        <f t="shared" si="26"/>
        <v/>
      </c>
      <c r="G579" s="23" t="str">
        <f>IF($B579="","",(Acc!$F579*CommissionDD!$C$30))</f>
        <v/>
      </c>
      <c r="H579" s="23" t="str">
        <f t="shared" si="27"/>
        <v/>
      </c>
    </row>
    <row r="580" spans="1:8">
      <c r="A580" s="21" t="str">
        <f t="shared" si="28"/>
        <v/>
      </c>
      <c r="B580" s="1" t="str">
        <f>IF(Cus!$B580&lt;&gt;"",Cus!$A580,"")</f>
        <v/>
      </c>
      <c r="C580" s="22" t="str">
        <f>IF($B580="","",Cus!$AA580)</f>
        <v/>
      </c>
      <c r="D580" s="23" t="str">
        <f>IF($B580="","",(Acc!$H580*$C580))</f>
        <v/>
      </c>
      <c r="E580" s="24">
        <f>IF(C580&lt;=CommissionDD!$E$3,CommissionDD!$C$3,IF(C580&lt;=CommissionDD!$E$4,CommissionDD!$C$4,IF(C580&lt;=CommissionDD!$E$5,CommissionDD!$C$5,IF(C580&lt;=CommissionDD!$E$6,CommissionDD!$C$6,IF(C580&lt;=CommissionDD!$E$7,CommissionDD!$C$7,IF(C580&lt;=CommissionDD!$E$8,CommissionDD!$C$8,CommissionDD!$C$9))))))</f>
        <v>0.03</v>
      </c>
      <c r="F580" s="23" t="str">
        <f t="shared" si="26"/>
        <v/>
      </c>
      <c r="G580" s="23" t="str">
        <f>IF($B580="","",(Acc!$F580*CommissionDD!$C$30))</f>
        <v/>
      </c>
      <c r="H580" s="23" t="str">
        <f t="shared" si="27"/>
        <v/>
      </c>
    </row>
    <row r="581" spans="1:8">
      <c r="A581" s="21" t="str">
        <f t="shared" si="28"/>
        <v/>
      </c>
      <c r="B581" s="1" t="str">
        <f>IF(Cus!$B581&lt;&gt;"",Cus!$A581,"")</f>
        <v/>
      </c>
      <c r="C581" s="22" t="str">
        <f>IF($B581="","",Cus!$AA581)</f>
        <v/>
      </c>
      <c r="D581" s="23" t="str">
        <f>IF($B581="","",(Acc!$H581*$C581))</f>
        <v/>
      </c>
      <c r="E581" s="24">
        <f>IF(C581&lt;=CommissionDD!$E$3,CommissionDD!$C$3,IF(C581&lt;=CommissionDD!$E$4,CommissionDD!$C$4,IF(C581&lt;=CommissionDD!$E$5,CommissionDD!$C$5,IF(C581&lt;=CommissionDD!$E$6,CommissionDD!$C$6,IF(C581&lt;=CommissionDD!$E$7,CommissionDD!$C$7,IF(C581&lt;=CommissionDD!$E$8,CommissionDD!$C$8,CommissionDD!$C$9))))))</f>
        <v>0.03</v>
      </c>
      <c r="F581" s="23" t="str">
        <f t="shared" ref="F581:F644" si="29">IF($B581="","",D581*E581)</f>
        <v/>
      </c>
      <c r="G581" s="23" t="str">
        <f>IF($B581="","",(Acc!$F581*CommissionDD!$C$30))</f>
        <v/>
      </c>
      <c r="H581" s="23" t="str">
        <f t="shared" si="27"/>
        <v/>
      </c>
    </row>
    <row r="582" spans="1:8">
      <c r="A582" s="21" t="str">
        <f t="shared" si="28"/>
        <v/>
      </c>
      <c r="B582" s="1" t="str">
        <f>IF(Cus!$B582&lt;&gt;"",Cus!$A582,"")</f>
        <v/>
      </c>
      <c r="C582" s="22" t="str">
        <f>IF($B582="","",Cus!$AA582)</f>
        <v/>
      </c>
      <c r="D582" s="23" t="str">
        <f>IF($B582="","",(Acc!$H582*$C582))</f>
        <v/>
      </c>
      <c r="E582" s="24">
        <f>IF(C582&lt;=CommissionDD!$E$3,CommissionDD!$C$3,IF(C582&lt;=CommissionDD!$E$4,CommissionDD!$C$4,IF(C582&lt;=CommissionDD!$E$5,CommissionDD!$C$5,IF(C582&lt;=CommissionDD!$E$6,CommissionDD!$C$6,IF(C582&lt;=CommissionDD!$E$7,CommissionDD!$C$7,IF(C582&lt;=CommissionDD!$E$8,CommissionDD!$C$8,CommissionDD!$C$9))))))</f>
        <v>0.03</v>
      </c>
      <c r="F582" s="23" t="str">
        <f t="shared" si="29"/>
        <v/>
      </c>
      <c r="G582" s="23" t="str">
        <f>IF($B582="","",(Acc!$F582*CommissionDD!$C$30))</f>
        <v/>
      </c>
      <c r="H582" s="23" t="str">
        <f t="shared" si="27"/>
        <v/>
      </c>
    </row>
    <row r="583" spans="1:8">
      <c r="A583" s="21" t="str">
        <f t="shared" si="28"/>
        <v/>
      </c>
      <c r="B583" s="1" t="str">
        <f>IF(Cus!$B583&lt;&gt;"",Cus!$A583,"")</f>
        <v/>
      </c>
      <c r="C583" s="22" t="str">
        <f>IF($B583="","",Cus!$AA583)</f>
        <v/>
      </c>
      <c r="D583" s="23" t="str">
        <f>IF($B583="","",(Acc!$H583*$C583))</f>
        <v/>
      </c>
      <c r="E583" s="24">
        <f>IF(C583&lt;=CommissionDD!$E$3,CommissionDD!$C$3,IF(C583&lt;=CommissionDD!$E$4,CommissionDD!$C$4,IF(C583&lt;=CommissionDD!$E$5,CommissionDD!$C$5,IF(C583&lt;=CommissionDD!$E$6,CommissionDD!$C$6,IF(C583&lt;=CommissionDD!$E$7,CommissionDD!$C$7,IF(C583&lt;=CommissionDD!$E$8,CommissionDD!$C$8,CommissionDD!$C$9))))))</f>
        <v>0.03</v>
      </c>
      <c r="F583" s="23" t="str">
        <f t="shared" si="29"/>
        <v/>
      </c>
      <c r="G583" s="23" t="str">
        <f>IF($B583="","",(Acc!$F583*CommissionDD!$C$30))</f>
        <v/>
      </c>
      <c r="H583" s="23" t="str">
        <f t="shared" si="27"/>
        <v/>
      </c>
    </row>
    <row r="584" spans="1:8">
      <c r="A584" s="21" t="str">
        <f t="shared" si="28"/>
        <v/>
      </c>
      <c r="B584" s="1" t="str">
        <f>IF(Cus!$B584&lt;&gt;"",Cus!$A584,"")</f>
        <v/>
      </c>
      <c r="C584" s="22" t="str">
        <f>IF($B584="","",Cus!$AA584)</f>
        <v/>
      </c>
      <c r="D584" s="23" t="str">
        <f>IF($B584="","",(Acc!$H584*$C584))</f>
        <v/>
      </c>
      <c r="E584" s="24">
        <f>IF(C584&lt;=CommissionDD!$E$3,CommissionDD!$C$3,IF(C584&lt;=CommissionDD!$E$4,CommissionDD!$C$4,IF(C584&lt;=CommissionDD!$E$5,CommissionDD!$C$5,IF(C584&lt;=CommissionDD!$E$6,CommissionDD!$C$6,IF(C584&lt;=CommissionDD!$E$7,CommissionDD!$C$7,IF(C584&lt;=CommissionDD!$E$8,CommissionDD!$C$8,CommissionDD!$C$9))))))</f>
        <v>0.03</v>
      </c>
      <c r="F584" s="23" t="str">
        <f t="shared" si="29"/>
        <v/>
      </c>
      <c r="G584" s="23" t="str">
        <f>IF($B584="","",(Acc!$F584*CommissionDD!$C$30))</f>
        <v/>
      </c>
      <c r="H584" s="23" t="str">
        <f t="shared" si="27"/>
        <v/>
      </c>
    </row>
    <row r="585" spans="1:8">
      <c r="A585" s="21" t="str">
        <f t="shared" si="28"/>
        <v/>
      </c>
      <c r="B585" s="1" t="str">
        <f>IF(Cus!$B585&lt;&gt;"",Cus!$A585,"")</f>
        <v/>
      </c>
      <c r="C585" s="22" t="str">
        <f>IF($B585="","",Cus!$AA585)</f>
        <v/>
      </c>
      <c r="D585" s="23" t="str">
        <f>IF($B585="","",(Acc!$H585*$C585))</f>
        <v/>
      </c>
      <c r="E585" s="24">
        <f>IF(C585&lt;=CommissionDD!$E$3,CommissionDD!$C$3,IF(C585&lt;=CommissionDD!$E$4,CommissionDD!$C$4,IF(C585&lt;=CommissionDD!$E$5,CommissionDD!$C$5,IF(C585&lt;=CommissionDD!$E$6,CommissionDD!$C$6,IF(C585&lt;=CommissionDD!$E$7,CommissionDD!$C$7,IF(C585&lt;=CommissionDD!$E$8,CommissionDD!$C$8,CommissionDD!$C$9))))))</f>
        <v>0.03</v>
      </c>
      <c r="F585" s="23" t="str">
        <f t="shared" si="29"/>
        <v/>
      </c>
      <c r="G585" s="23" t="str">
        <f>IF($B585="","",(Acc!$F585*CommissionDD!$C$30))</f>
        <v/>
      </c>
      <c r="H585" s="23" t="str">
        <f t="shared" si="27"/>
        <v/>
      </c>
    </row>
    <row r="586" spans="1:8">
      <c r="A586" s="21" t="str">
        <f t="shared" si="28"/>
        <v/>
      </c>
      <c r="B586" s="1" t="str">
        <f>IF(Cus!$B586&lt;&gt;"",Cus!$A586,"")</f>
        <v/>
      </c>
      <c r="C586" s="22" t="str">
        <f>IF($B586="","",Cus!$AA586)</f>
        <v/>
      </c>
      <c r="D586" s="23" t="str">
        <f>IF($B586="","",(Acc!$H586*$C586))</f>
        <v/>
      </c>
      <c r="E586" s="24">
        <f>IF(C586&lt;=CommissionDD!$E$3,CommissionDD!$C$3,IF(C586&lt;=CommissionDD!$E$4,CommissionDD!$C$4,IF(C586&lt;=CommissionDD!$E$5,CommissionDD!$C$5,IF(C586&lt;=CommissionDD!$E$6,CommissionDD!$C$6,IF(C586&lt;=CommissionDD!$E$7,CommissionDD!$C$7,IF(C586&lt;=CommissionDD!$E$8,CommissionDD!$C$8,CommissionDD!$C$9))))))</f>
        <v>0.03</v>
      </c>
      <c r="F586" s="23" t="str">
        <f t="shared" si="29"/>
        <v/>
      </c>
      <c r="G586" s="23" t="str">
        <f>IF($B586="","",(Acc!$F586*CommissionDD!$C$30))</f>
        <v/>
      </c>
      <c r="H586" s="23" t="str">
        <f t="shared" si="27"/>
        <v/>
      </c>
    </row>
    <row r="587" spans="1:8">
      <c r="A587" s="21" t="str">
        <f t="shared" si="28"/>
        <v/>
      </c>
      <c r="B587" s="1" t="str">
        <f>IF(Cus!$B587&lt;&gt;"",Cus!$A587,"")</f>
        <v/>
      </c>
      <c r="C587" s="22" t="str">
        <f>IF($B587="","",Cus!$AA587)</f>
        <v/>
      </c>
      <c r="D587" s="23" t="str">
        <f>IF($B587="","",(Acc!$H587*$C587))</f>
        <v/>
      </c>
      <c r="E587" s="24">
        <f>IF(C587&lt;=CommissionDD!$E$3,CommissionDD!$C$3,IF(C587&lt;=CommissionDD!$E$4,CommissionDD!$C$4,IF(C587&lt;=CommissionDD!$E$5,CommissionDD!$C$5,IF(C587&lt;=CommissionDD!$E$6,CommissionDD!$C$6,IF(C587&lt;=CommissionDD!$E$7,CommissionDD!$C$7,IF(C587&lt;=CommissionDD!$E$8,CommissionDD!$C$8,CommissionDD!$C$9))))))</f>
        <v>0.03</v>
      </c>
      <c r="F587" s="23" t="str">
        <f t="shared" si="29"/>
        <v/>
      </c>
      <c r="G587" s="23" t="str">
        <f>IF($B587="","",(Acc!$F587*CommissionDD!$C$30))</f>
        <v/>
      </c>
      <c r="H587" s="23" t="str">
        <f t="shared" si="27"/>
        <v/>
      </c>
    </row>
    <row r="588" spans="1:8">
      <c r="A588" s="21" t="str">
        <f t="shared" si="28"/>
        <v/>
      </c>
      <c r="B588" s="1" t="str">
        <f>IF(Cus!$B588&lt;&gt;"",Cus!$A588,"")</f>
        <v/>
      </c>
      <c r="C588" s="22" t="str">
        <f>IF($B588="","",Cus!$AA588)</f>
        <v/>
      </c>
      <c r="D588" s="23" t="str">
        <f>IF($B588="","",(Acc!$H588*$C588))</f>
        <v/>
      </c>
      <c r="E588" s="24">
        <f>IF(C588&lt;=CommissionDD!$E$3,CommissionDD!$C$3,IF(C588&lt;=CommissionDD!$E$4,CommissionDD!$C$4,IF(C588&lt;=CommissionDD!$E$5,CommissionDD!$C$5,IF(C588&lt;=CommissionDD!$E$6,CommissionDD!$C$6,IF(C588&lt;=CommissionDD!$E$7,CommissionDD!$C$7,IF(C588&lt;=CommissionDD!$E$8,CommissionDD!$C$8,CommissionDD!$C$9))))))</f>
        <v>0.03</v>
      </c>
      <c r="F588" s="23" t="str">
        <f t="shared" si="29"/>
        <v/>
      </c>
      <c r="G588" s="23" t="str">
        <f>IF($B588="","",(Acc!$F588*CommissionDD!$C$30))</f>
        <v/>
      </c>
      <c r="H588" s="23" t="str">
        <f t="shared" si="27"/>
        <v/>
      </c>
    </row>
    <row r="589" spans="1:8">
      <c r="A589" s="21" t="str">
        <f t="shared" si="28"/>
        <v/>
      </c>
      <c r="B589" s="1" t="str">
        <f>IF(Cus!$B589&lt;&gt;"",Cus!$A589,"")</f>
        <v/>
      </c>
      <c r="C589" s="22" t="str">
        <f>IF($B589="","",Cus!$AA589)</f>
        <v/>
      </c>
      <c r="D589" s="23" t="str">
        <f>IF($B589="","",(Acc!$H589*$C589))</f>
        <v/>
      </c>
      <c r="E589" s="24">
        <f>IF(C589&lt;=CommissionDD!$E$3,CommissionDD!$C$3,IF(C589&lt;=CommissionDD!$E$4,CommissionDD!$C$4,IF(C589&lt;=CommissionDD!$E$5,CommissionDD!$C$5,IF(C589&lt;=CommissionDD!$E$6,CommissionDD!$C$6,IF(C589&lt;=CommissionDD!$E$7,CommissionDD!$C$7,IF(C589&lt;=CommissionDD!$E$8,CommissionDD!$C$8,CommissionDD!$C$9))))))</f>
        <v>0.03</v>
      </c>
      <c r="F589" s="23" t="str">
        <f t="shared" si="29"/>
        <v/>
      </c>
      <c r="G589" s="23" t="str">
        <f>IF($B589="","",(Acc!$F589*CommissionDD!$C$30))</f>
        <v/>
      </c>
      <c r="H589" s="23" t="str">
        <f t="shared" si="27"/>
        <v/>
      </c>
    </row>
    <row r="590" spans="1:8">
      <c r="A590" s="21" t="str">
        <f t="shared" si="28"/>
        <v/>
      </c>
      <c r="B590" s="1" t="str">
        <f>IF(Cus!$B590&lt;&gt;"",Cus!$A590,"")</f>
        <v/>
      </c>
      <c r="C590" s="22" t="str">
        <f>IF($B590="","",Cus!$AA590)</f>
        <v/>
      </c>
      <c r="D590" s="23" t="str">
        <f>IF($B590="","",(Acc!$H590*$C590))</f>
        <v/>
      </c>
      <c r="E590" s="24">
        <f>IF(C590&lt;=CommissionDD!$E$3,CommissionDD!$C$3,IF(C590&lt;=CommissionDD!$E$4,CommissionDD!$C$4,IF(C590&lt;=CommissionDD!$E$5,CommissionDD!$C$5,IF(C590&lt;=CommissionDD!$E$6,CommissionDD!$C$6,IF(C590&lt;=CommissionDD!$E$7,CommissionDD!$C$7,IF(C590&lt;=CommissionDD!$E$8,CommissionDD!$C$8,CommissionDD!$C$9))))))</f>
        <v>0.03</v>
      </c>
      <c r="F590" s="23" t="str">
        <f t="shared" si="29"/>
        <v/>
      </c>
      <c r="G590" s="23" t="str">
        <f>IF($B590="","",(Acc!$F590*CommissionDD!$C$30))</f>
        <v/>
      </c>
      <c r="H590" s="23" t="str">
        <f t="shared" si="27"/>
        <v/>
      </c>
    </row>
    <row r="591" spans="1:8">
      <c r="A591" s="21" t="str">
        <f t="shared" si="28"/>
        <v/>
      </c>
      <c r="B591" s="1" t="str">
        <f>IF(Cus!$B591&lt;&gt;"",Cus!$A591,"")</f>
        <v/>
      </c>
      <c r="C591" s="22" t="str">
        <f>IF($B591="","",Cus!$AA591)</f>
        <v/>
      </c>
      <c r="D591" s="23" t="str">
        <f>IF($B591="","",(Acc!$H591*$C591))</f>
        <v/>
      </c>
      <c r="E591" s="24">
        <f>IF(C591&lt;=CommissionDD!$E$3,CommissionDD!$C$3,IF(C591&lt;=CommissionDD!$E$4,CommissionDD!$C$4,IF(C591&lt;=CommissionDD!$E$5,CommissionDD!$C$5,IF(C591&lt;=CommissionDD!$E$6,CommissionDD!$C$6,IF(C591&lt;=CommissionDD!$E$7,CommissionDD!$C$7,IF(C591&lt;=CommissionDD!$E$8,CommissionDD!$C$8,CommissionDD!$C$9))))))</f>
        <v>0.03</v>
      </c>
      <c r="F591" s="23" t="str">
        <f t="shared" si="29"/>
        <v/>
      </c>
      <c r="G591" s="23" t="str">
        <f>IF($B591="","",(Acc!$F591*CommissionDD!$C$30))</f>
        <v/>
      </c>
      <c r="H591" s="23" t="str">
        <f t="shared" si="27"/>
        <v/>
      </c>
    </row>
    <row r="592" spans="1:8">
      <c r="A592" s="21" t="str">
        <f t="shared" si="28"/>
        <v/>
      </c>
      <c r="B592" s="1" t="str">
        <f>IF(Cus!$B592&lt;&gt;"",Cus!$A592,"")</f>
        <v/>
      </c>
      <c r="C592" s="22" t="str">
        <f>IF($B592="","",Cus!$AA592)</f>
        <v/>
      </c>
      <c r="D592" s="23" t="str">
        <f>IF($B592="","",(Acc!$H592*$C592))</f>
        <v/>
      </c>
      <c r="E592" s="24">
        <f>IF(C592&lt;=CommissionDD!$E$3,CommissionDD!$C$3,IF(C592&lt;=CommissionDD!$E$4,CommissionDD!$C$4,IF(C592&lt;=CommissionDD!$E$5,CommissionDD!$C$5,IF(C592&lt;=CommissionDD!$E$6,CommissionDD!$C$6,IF(C592&lt;=CommissionDD!$E$7,CommissionDD!$C$7,IF(C592&lt;=CommissionDD!$E$8,CommissionDD!$C$8,CommissionDD!$C$9))))))</f>
        <v>0.03</v>
      </c>
      <c r="F592" s="23" t="str">
        <f t="shared" si="29"/>
        <v/>
      </c>
      <c r="G592" s="23" t="str">
        <f>IF($B592="","",(Acc!$F592*CommissionDD!$C$30))</f>
        <v/>
      </c>
      <c r="H592" s="23" t="str">
        <f t="shared" si="27"/>
        <v/>
      </c>
    </row>
    <row r="593" spans="1:8">
      <c r="A593" s="21" t="str">
        <f t="shared" si="28"/>
        <v/>
      </c>
      <c r="B593" s="1" t="str">
        <f>IF(Cus!$B593&lt;&gt;"",Cus!$A593,"")</f>
        <v/>
      </c>
      <c r="C593" s="22" t="str">
        <f>IF($B593="","",Cus!$AA593)</f>
        <v/>
      </c>
      <c r="D593" s="23" t="str">
        <f>IF($B593="","",(Acc!$H593*$C593))</f>
        <v/>
      </c>
      <c r="E593" s="24">
        <f>IF(C593&lt;=CommissionDD!$E$3,CommissionDD!$C$3,IF(C593&lt;=CommissionDD!$E$4,CommissionDD!$C$4,IF(C593&lt;=CommissionDD!$E$5,CommissionDD!$C$5,IF(C593&lt;=CommissionDD!$E$6,CommissionDD!$C$6,IF(C593&lt;=CommissionDD!$E$7,CommissionDD!$C$7,IF(C593&lt;=CommissionDD!$E$8,CommissionDD!$C$8,CommissionDD!$C$9))))))</f>
        <v>0.03</v>
      </c>
      <c r="F593" s="23" t="str">
        <f t="shared" si="29"/>
        <v/>
      </c>
      <c r="G593" s="23" t="str">
        <f>IF($B593="","",(Acc!$F593*CommissionDD!$C$30))</f>
        <v/>
      </c>
      <c r="H593" s="23" t="str">
        <f t="shared" si="27"/>
        <v/>
      </c>
    </row>
    <row r="594" spans="1:8">
      <c r="A594" s="21" t="str">
        <f t="shared" si="28"/>
        <v/>
      </c>
      <c r="B594" s="1" t="str">
        <f>IF(Cus!$B594&lt;&gt;"",Cus!$A594,"")</f>
        <v/>
      </c>
      <c r="C594" s="22" t="str">
        <f>IF($B594="","",Cus!$AA594)</f>
        <v/>
      </c>
      <c r="D594" s="23" t="str">
        <f>IF($B594="","",(Acc!$H594*$C594))</f>
        <v/>
      </c>
      <c r="E594" s="24">
        <f>IF(C594&lt;=CommissionDD!$E$3,CommissionDD!$C$3,IF(C594&lt;=CommissionDD!$E$4,CommissionDD!$C$4,IF(C594&lt;=CommissionDD!$E$5,CommissionDD!$C$5,IF(C594&lt;=CommissionDD!$E$6,CommissionDD!$C$6,IF(C594&lt;=CommissionDD!$E$7,CommissionDD!$C$7,IF(C594&lt;=CommissionDD!$E$8,CommissionDD!$C$8,CommissionDD!$C$9))))))</f>
        <v>0.03</v>
      </c>
      <c r="F594" s="23" t="str">
        <f t="shared" si="29"/>
        <v/>
      </c>
      <c r="G594" s="23" t="str">
        <f>IF($B594="","",(Acc!$F594*CommissionDD!$C$30))</f>
        <v/>
      </c>
      <c r="H594" s="23" t="str">
        <f t="shared" si="27"/>
        <v/>
      </c>
    </row>
    <row r="595" spans="1:8">
      <c r="A595" s="21" t="str">
        <f t="shared" si="28"/>
        <v/>
      </c>
      <c r="B595" s="1" t="str">
        <f>IF(Cus!$B595&lt;&gt;"",Cus!$A595,"")</f>
        <v/>
      </c>
      <c r="C595" s="22" t="str">
        <f>IF($B595="","",Cus!$AA595)</f>
        <v/>
      </c>
      <c r="D595" s="23" t="str">
        <f>IF($B595="","",(Acc!$H595*$C595))</f>
        <v/>
      </c>
      <c r="E595" s="24">
        <f>IF(C595&lt;=CommissionDD!$E$3,CommissionDD!$C$3,IF(C595&lt;=CommissionDD!$E$4,CommissionDD!$C$4,IF(C595&lt;=CommissionDD!$E$5,CommissionDD!$C$5,IF(C595&lt;=CommissionDD!$E$6,CommissionDD!$C$6,IF(C595&lt;=CommissionDD!$E$7,CommissionDD!$C$7,IF(C595&lt;=CommissionDD!$E$8,CommissionDD!$C$8,CommissionDD!$C$9))))))</f>
        <v>0.03</v>
      </c>
      <c r="F595" s="23" t="str">
        <f t="shared" si="29"/>
        <v/>
      </c>
      <c r="G595" s="23" t="str">
        <f>IF($B595="","",(Acc!$F595*CommissionDD!$C$30))</f>
        <v/>
      </c>
      <c r="H595" s="23" t="str">
        <f t="shared" si="27"/>
        <v/>
      </c>
    </row>
    <row r="596" spans="1:8">
      <c r="A596" s="21" t="str">
        <f t="shared" si="28"/>
        <v/>
      </c>
      <c r="B596" s="1" t="str">
        <f>IF(Cus!$B596&lt;&gt;"",Cus!$A596,"")</f>
        <v/>
      </c>
      <c r="C596" s="22" t="str">
        <f>IF($B596="","",Cus!$AA596)</f>
        <v/>
      </c>
      <c r="D596" s="23" t="str">
        <f>IF($B596="","",(Acc!$H596*$C596))</f>
        <v/>
      </c>
      <c r="E596" s="24">
        <f>IF(C596&lt;=CommissionDD!$E$3,CommissionDD!$C$3,IF(C596&lt;=CommissionDD!$E$4,CommissionDD!$C$4,IF(C596&lt;=CommissionDD!$E$5,CommissionDD!$C$5,IF(C596&lt;=CommissionDD!$E$6,CommissionDD!$C$6,IF(C596&lt;=CommissionDD!$E$7,CommissionDD!$C$7,IF(C596&lt;=CommissionDD!$E$8,CommissionDD!$C$8,CommissionDD!$C$9))))))</f>
        <v>0.03</v>
      </c>
      <c r="F596" s="23" t="str">
        <f t="shared" si="29"/>
        <v/>
      </c>
      <c r="G596" s="23" t="str">
        <f>IF($B596="","",(Acc!$F596*CommissionDD!$C$30))</f>
        <v/>
      </c>
      <c r="H596" s="23" t="str">
        <f t="shared" si="27"/>
        <v/>
      </c>
    </row>
    <row r="597" spans="1:8">
      <c r="A597" s="21">
        <f t="shared" si="28"/>
        <v>596</v>
      </c>
      <c r="B597" s="1" t="str">
        <f>IF(Cus!$B597&lt;&gt;"",Cus!$A597,"")</f>
        <v>K0000596</v>
      </c>
      <c r="C597" s="22">
        <f>IF($B597="","",Cus!$AA597)</f>
        <v>0</v>
      </c>
      <c r="D597" s="23">
        <f>IF($B597="","",(Acc!$H597*$C597))</f>
        <v>0</v>
      </c>
      <c r="E597" s="24">
        <f>IF(C597&lt;=CommissionDD!$E$3,CommissionDD!$C$3,IF(C597&lt;=CommissionDD!$E$4,CommissionDD!$C$4,IF(C597&lt;=CommissionDD!$E$5,CommissionDD!$C$5,IF(C597&lt;=CommissionDD!$E$6,CommissionDD!$C$6,IF(C597&lt;=CommissionDD!$E$7,CommissionDD!$C$7,IF(C597&lt;=CommissionDD!$E$8,CommissionDD!$C$8,CommissionDD!$C$9))))))</f>
        <v>0.12</v>
      </c>
      <c r="F597" s="23">
        <f t="shared" si="29"/>
        <v>0</v>
      </c>
      <c r="G597" s="23">
        <f>IF($B597="","",(Acc!$F597*CommissionDD!$C$30))</f>
        <v>0</v>
      </c>
      <c r="H597" s="23">
        <f t="shared" si="27"/>
        <v>0</v>
      </c>
    </row>
    <row r="598" spans="1:8">
      <c r="A598" s="21" t="str">
        <f t="shared" si="28"/>
        <v/>
      </c>
      <c r="B598" s="1" t="str">
        <f>IF(Cus!$B598&lt;&gt;"",Cus!$A598,"")</f>
        <v/>
      </c>
      <c r="C598" s="22" t="str">
        <f>IF($B598="","",Cus!$AA598)</f>
        <v/>
      </c>
      <c r="D598" s="23" t="str">
        <f>IF($B598="","",(Acc!$H598*$C598))</f>
        <v/>
      </c>
      <c r="E598" s="24">
        <f>IF(C598&lt;=CommissionDD!$E$3,CommissionDD!$C$3,IF(C598&lt;=CommissionDD!$E$4,CommissionDD!$C$4,IF(C598&lt;=CommissionDD!$E$5,CommissionDD!$C$5,IF(C598&lt;=CommissionDD!$E$6,CommissionDD!$C$6,IF(C598&lt;=CommissionDD!$E$7,CommissionDD!$C$7,IF(C598&lt;=CommissionDD!$E$8,CommissionDD!$C$8,CommissionDD!$C$9))))))</f>
        <v>0.03</v>
      </c>
      <c r="F598" s="23" t="str">
        <f t="shared" si="29"/>
        <v/>
      </c>
      <c r="G598" s="23" t="str">
        <f>IF($B598="","",(Acc!$F598*CommissionDD!$C$30))</f>
        <v/>
      </c>
      <c r="H598" s="23" t="str">
        <f t="shared" si="27"/>
        <v/>
      </c>
    </row>
    <row r="599" spans="1:8">
      <c r="A599" s="21" t="str">
        <f t="shared" si="28"/>
        <v/>
      </c>
      <c r="B599" s="1" t="str">
        <f>IF(Cus!$B599&lt;&gt;"",Cus!$A599,"")</f>
        <v/>
      </c>
      <c r="C599" s="22" t="str">
        <f>IF($B599="","",Cus!$AA599)</f>
        <v/>
      </c>
      <c r="D599" s="23" t="str">
        <f>IF($B599="","",(Acc!$H599*$C599))</f>
        <v/>
      </c>
      <c r="E599" s="24">
        <f>IF(C599&lt;=CommissionDD!$E$3,CommissionDD!$C$3,IF(C599&lt;=CommissionDD!$E$4,CommissionDD!$C$4,IF(C599&lt;=CommissionDD!$E$5,CommissionDD!$C$5,IF(C599&lt;=CommissionDD!$E$6,CommissionDD!$C$6,IF(C599&lt;=CommissionDD!$E$7,CommissionDD!$C$7,IF(C599&lt;=CommissionDD!$E$8,CommissionDD!$C$8,CommissionDD!$C$9))))))</f>
        <v>0.03</v>
      </c>
      <c r="F599" s="23" t="str">
        <f t="shared" si="29"/>
        <v/>
      </c>
      <c r="G599" s="23" t="str">
        <f>IF($B599="","",(Acc!$F599*CommissionDD!$C$30))</f>
        <v/>
      </c>
      <c r="H599" s="23" t="str">
        <f t="shared" si="27"/>
        <v/>
      </c>
    </row>
    <row r="600" spans="1:8">
      <c r="A600" s="21">
        <f t="shared" si="28"/>
        <v>599</v>
      </c>
      <c r="B600" s="1" t="str">
        <f>IF(Cus!$B601&lt;&gt;"",Cus!$A601,"")</f>
        <v>K0000600</v>
      </c>
      <c r="C600" s="22">
        <f>IF($B600="","",Cus!$AA601)</f>
        <v>0</v>
      </c>
      <c r="D600" s="23" t="e">
        <f>IF($B600="","",(Acc!$H600*$C600))</f>
        <v>#VALUE!</v>
      </c>
      <c r="E600" s="24">
        <f>IF(C600&lt;=CommissionDD!$E$3,CommissionDD!$C$3,IF(C600&lt;=CommissionDD!$E$4,CommissionDD!$C$4,IF(C600&lt;=CommissionDD!$E$5,CommissionDD!$C$5,IF(C600&lt;=CommissionDD!$E$6,CommissionDD!$C$6,IF(C600&lt;=CommissionDD!$E$7,CommissionDD!$C$7,IF(C600&lt;=CommissionDD!$E$8,CommissionDD!$C$8,CommissionDD!$C$9))))))</f>
        <v>0.12</v>
      </c>
      <c r="F600" s="23" t="e">
        <f t="shared" si="29"/>
        <v>#VALUE!</v>
      </c>
      <c r="G600" s="23" t="e">
        <f>IF($B600="","",(Acc!$F600*CommissionDD!$C$30))</f>
        <v>#VALUE!</v>
      </c>
      <c r="H600" s="23" t="e">
        <f t="shared" si="27"/>
        <v>#VALUE!</v>
      </c>
    </row>
    <row r="601" spans="1:8">
      <c r="A601" s="21" t="e">
        <f t="shared" si="28"/>
        <v>#REF!</v>
      </c>
      <c r="B601" s="1" t="e">
        <f>IF(Cus!#REF!&lt;&gt;"",Cus!#REF!,"")</f>
        <v>#REF!</v>
      </c>
      <c r="C601" s="22" t="e">
        <f>IF($B601="","",Cus!#REF!)</f>
        <v>#REF!</v>
      </c>
      <c r="D601" s="23" t="e">
        <f>IF($B601="","",(Acc!$H601*$C601))</f>
        <v>#REF!</v>
      </c>
      <c r="E601" s="24" t="e">
        <f>IF(C601&lt;=CommissionDD!$E$3,CommissionDD!$C$3,IF(C601&lt;=CommissionDD!$E$4,CommissionDD!$C$4,IF(C601&lt;=CommissionDD!$E$5,CommissionDD!$C$5,IF(C601&lt;=CommissionDD!$E$6,CommissionDD!$C$6,IF(C601&lt;=CommissionDD!$E$7,CommissionDD!$C$7,IF(C601&lt;=CommissionDD!$E$8,CommissionDD!$C$8,CommissionDD!$C$9))))))</f>
        <v>#REF!</v>
      </c>
      <c r="F601" s="23" t="e">
        <f t="shared" si="29"/>
        <v>#REF!</v>
      </c>
      <c r="G601" s="23" t="e">
        <f>IF($B601="","",(Acc!$F601*CommissionDD!$C$30))</f>
        <v>#REF!</v>
      </c>
      <c r="H601" s="23" t="e">
        <f t="shared" si="27"/>
        <v>#REF!</v>
      </c>
    </row>
    <row r="602" spans="1:8">
      <c r="A602" s="21">
        <f t="shared" si="28"/>
        <v>601</v>
      </c>
      <c r="B602" s="1" t="str">
        <f>IF(Cus!$B602&lt;&gt;"",Cus!$A602,"")</f>
        <v>K0000601</v>
      </c>
      <c r="C602" s="22">
        <f>IF($B602="","",Cus!$AA602)</f>
        <v>0</v>
      </c>
      <c r="D602" s="23">
        <f>IF($B602="","",(Acc!$H602*$C602))</f>
        <v>0</v>
      </c>
      <c r="E602" s="24">
        <f>IF(C602&lt;=CommissionDD!$E$3,CommissionDD!$C$3,IF(C602&lt;=CommissionDD!$E$4,CommissionDD!$C$4,IF(C602&lt;=CommissionDD!$E$5,CommissionDD!$C$5,IF(C602&lt;=CommissionDD!$E$6,CommissionDD!$C$6,IF(C602&lt;=CommissionDD!$E$7,CommissionDD!$C$7,IF(C602&lt;=CommissionDD!$E$8,CommissionDD!$C$8,CommissionDD!$C$9))))))</f>
        <v>0.12</v>
      </c>
      <c r="F602" s="23">
        <f t="shared" si="29"/>
        <v>0</v>
      </c>
      <c r="G602" s="23">
        <f>IF($B602="","",(Acc!$F602*CommissionDD!$C$30))</f>
        <v>0</v>
      </c>
      <c r="H602" s="23">
        <f t="shared" si="27"/>
        <v>0</v>
      </c>
    </row>
    <row r="603" spans="1:8">
      <c r="A603" s="21" t="str">
        <f t="shared" si="28"/>
        <v/>
      </c>
      <c r="B603" s="1" t="str">
        <f>IF(Cus!$B603&lt;&gt;"",Cus!$A603,"")</f>
        <v/>
      </c>
      <c r="C603" s="22" t="str">
        <f>IF($B603="","",Cus!$AA603)</f>
        <v/>
      </c>
      <c r="D603" s="23" t="str">
        <f>IF($B603="","",(Acc!$H603*$C603))</f>
        <v/>
      </c>
      <c r="E603" s="24">
        <f>IF(C603&lt;=CommissionDD!$E$3,CommissionDD!$C$3,IF(C603&lt;=CommissionDD!$E$4,CommissionDD!$C$4,IF(C603&lt;=CommissionDD!$E$5,CommissionDD!$C$5,IF(C603&lt;=CommissionDD!$E$6,CommissionDD!$C$6,IF(C603&lt;=CommissionDD!$E$7,CommissionDD!$C$7,IF(C603&lt;=CommissionDD!$E$8,CommissionDD!$C$8,CommissionDD!$C$9))))))</f>
        <v>0.03</v>
      </c>
      <c r="F603" s="23" t="str">
        <f t="shared" si="29"/>
        <v/>
      </c>
      <c r="G603" s="23" t="str">
        <f>IF($B603="","",(Acc!$F603*CommissionDD!$C$30))</f>
        <v/>
      </c>
      <c r="H603" s="23" t="str">
        <f t="shared" si="27"/>
        <v/>
      </c>
    </row>
    <row r="604" spans="1:8">
      <c r="A604" s="21" t="str">
        <f t="shared" si="28"/>
        <v/>
      </c>
      <c r="B604" s="1" t="str">
        <f>IF(Cus!$B604&lt;&gt;"",Cus!$A604,"")</f>
        <v/>
      </c>
      <c r="C604" s="22" t="str">
        <f>IF($B604="","",Cus!$AA604)</f>
        <v/>
      </c>
      <c r="D604" s="23" t="str">
        <f>IF($B604="","",(Acc!$H604*$C604))</f>
        <v/>
      </c>
      <c r="E604" s="24">
        <f>IF(C604&lt;=CommissionDD!$E$3,CommissionDD!$C$3,IF(C604&lt;=CommissionDD!$E$4,CommissionDD!$C$4,IF(C604&lt;=CommissionDD!$E$5,CommissionDD!$C$5,IF(C604&lt;=CommissionDD!$E$6,CommissionDD!$C$6,IF(C604&lt;=CommissionDD!$E$7,CommissionDD!$C$7,IF(C604&lt;=CommissionDD!$E$8,CommissionDD!$C$8,CommissionDD!$C$9))))))</f>
        <v>0.03</v>
      </c>
      <c r="F604" s="23" t="str">
        <f t="shared" si="29"/>
        <v/>
      </c>
      <c r="G604" s="23" t="str">
        <f>IF($B604="","",(Acc!$F604*CommissionDD!$C$30))</f>
        <v/>
      </c>
      <c r="H604" s="23" t="str">
        <f t="shared" si="27"/>
        <v/>
      </c>
    </row>
    <row r="605" spans="1:8">
      <c r="A605" s="21" t="str">
        <f t="shared" si="28"/>
        <v/>
      </c>
      <c r="B605" s="1" t="str">
        <f>IF(Cus!$B605&lt;&gt;"",Cus!$A605,"")</f>
        <v/>
      </c>
      <c r="C605" s="22" t="str">
        <f>IF($B605="","",Cus!$AA605)</f>
        <v/>
      </c>
      <c r="D605" s="23" t="str">
        <f>IF($B605="","",(Acc!$H605*$C605))</f>
        <v/>
      </c>
      <c r="E605" s="24">
        <f>IF(C605&lt;=CommissionDD!$E$3,CommissionDD!$C$3,IF(C605&lt;=CommissionDD!$E$4,CommissionDD!$C$4,IF(C605&lt;=CommissionDD!$E$5,CommissionDD!$C$5,IF(C605&lt;=CommissionDD!$E$6,CommissionDD!$C$6,IF(C605&lt;=CommissionDD!$E$7,CommissionDD!$C$7,IF(C605&lt;=CommissionDD!$E$8,CommissionDD!$C$8,CommissionDD!$C$9))))))</f>
        <v>0.03</v>
      </c>
      <c r="F605" s="23" t="str">
        <f t="shared" si="29"/>
        <v/>
      </c>
      <c r="G605" s="23" t="str">
        <f>IF($B605="","",(Acc!$F605*CommissionDD!$C$30))</f>
        <v/>
      </c>
      <c r="H605" s="23" t="str">
        <f t="shared" si="27"/>
        <v/>
      </c>
    </row>
    <row r="606" spans="1:8">
      <c r="A606" s="21" t="str">
        <f t="shared" si="28"/>
        <v/>
      </c>
      <c r="B606" s="1" t="str">
        <f>IF(Cus!$B606&lt;&gt;"",Cus!$A606,"")</f>
        <v/>
      </c>
      <c r="C606" s="22" t="str">
        <f>IF($B606="","",Cus!$AA606)</f>
        <v/>
      </c>
      <c r="D606" s="23" t="str">
        <f>IF($B606="","",(Acc!$H606*$C606))</f>
        <v/>
      </c>
      <c r="E606" s="24">
        <f>IF(C606&lt;=CommissionDD!$E$3,CommissionDD!$C$3,IF(C606&lt;=CommissionDD!$E$4,CommissionDD!$C$4,IF(C606&lt;=CommissionDD!$E$5,CommissionDD!$C$5,IF(C606&lt;=CommissionDD!$E$6,CommissionDD!$C$6,IF(C606&lt;=CommissionDD!$E$7,CommissionDD!$C$7,IF(C606&lt;=CommissionDD!$E$8,CommissionDD!$C$8,CommissionDD!$C$9))))))</f>
        <v>0.03</v>
      </c>
      <c r="F606" s="23" t="str">
        <f t="shared" si="29"/>
        <v/>
      </c>
      <c r="G606" s="23" t="str">
        <f>IF($B606="","",(Acc!$F606*CommissionDD!$C$30))</f>
        <v/>
      </c>
      <c r="H606" s="23" t="str">
        <f t="shared" si="27"/>
        <v/>
      </c>
    </row>
    <row r="607" spans="1:8">
      <c r="A607" s="21" t="str">
        <f t="shared" si="28"/>
        <v/>
      </c>
      <c r="B607" s="1" t="str">
        <f>IF(Cus!$B607&lt;&gt;"",Cus!$A607,"")</f>
        <v/>
      </c>
      <c r="C607" s="22" t="str">
        <f>IF($B607="","",Cus!$AA607)</f>
        <v/>
      </c>
      <c r="D607" s="23" t="str">
        <f>IF($B607="","",(Acc!$H607*$C607))</f>
        <v/>
      </c>
      <c r="E607" s="24">
        <f>IF(C607&lt;=CommissionDD!$E$3,CommissionDD!$C$3,IF(C607&lt;=CommissionDD!$E$4,CommissionDD!$C$4,IF(C607&lt;=CommissionDD!$E$5,CommissionDD!$C$5,IF(C607&lt;=CommissionDD!$E$6,CommissionDD!$C$6,IF(C607&lt;=CommissionDD!$E$7,CommissionDD!$C$7,IF(C607&lt;=CommissionDD!$E$8,CommissionDD!$C$8,CommissionDD!$C$9))))))</f>
        <v>0.03</v>
      </c>
      <c r="F607" s="23" t="str">
        <f t="shared" si="29"/>
        <v/>
      </c>
      <c r="G607" s="23" t="str">
        <f>IF($B607="","",(Acc!$F607*CommissionDD!$C$30))</f>
        <v/>
      </c>
      <c r="H607" s="23" t="str">
        <f t="shared" si="27"/>
        <v/>
      </c>
    </row>
    <row r="608" spans="1:8">
      <c r="A608" s="21" t="str">
        <f t="shared" si="28"/>
        <v/>
      </c>
      <c r="B608" s="1" t="str">
        <f>IF(Cus!$B608&lt;&gt;"",Cus!$A608,"")</f>
        <v/>
      </c>
      <c r="C608" s="22" t="str">
        <f>IF($B608="","",Cus!$AA608)</f>
        <v/>
      </c>
      <c r="D608" s="23" t="str">
        <f>IF($B608="","",(Acc!$H608*$C608))</f>
        <v/>
      </c>
      <c r="E608" s="24">
        <f>IF(C608&lt;=CommissionDD!$E$3,CommissionDD!$C$3,IF(C608&lt;=CommissionDD!$E$4,CommissionDD!$C$4,IF(C608&lt;=CommissionDD!$E$5,CommissionDD!$C$5,IF(C608&lt;=CommissionDD!$E$6,CommissionDD!$C$6,IF(C608&lt;=CommissionDD!$E$7,CommissionDD!$C$7,IF(C608&lt;=CommissionDD!$E$8,CommissionDD!$C$8,CommissionDD!$C$9))))))</f>
        <v>0.03</v>
      </c>
      <c r="F608" s="23" t="str">
        <f t="shared" si="29"/>
        <v/>
      </c>
      <c r="G608" s="23" t="str">
        <f>IF($B608="","",(Acc!$F608*CommissionDD!$C$30))</f>
        <v/>
      </c>
      <c r="H608" s="23" t="str">
        <f t="shared" si="27"/>
        <v/>
      </c>
    </row>
    <row r="609" spans="1:8">
      <c r="A609" s="21" t="str">
        <f t="shared" si="28"/>
        <v/>
      </c>
      <c r="B609" s="1" t="str">
        <f>IF(Cus!$B609&lt;&gt;"",Cus!$A609,"")</f>
        <v/>
      </c>
      <c r="C609" s="22" t="str">
        <f>IF($B609="","",Cus!$AA609)</f>
        <v/>
      </c>
      <c r="D609" s="23" t="str">
        <f>IF($B609="","",(Acc!$H609*$C609))</f>
        <v/>
      </c>
      <c r="E609" s="24">
        <f>IF(C609&lt;=CommissionDD!$E$3,CommissionDD!$C$3,IF(C609&lt;=CommissionDD!$E$4,CommissionDD!$C$4,IF(C609&lt;=CommissionDD!$E$5,CommissionDD!$C$5,IF(C609&lt;=CommissionDD!$E$6,CommissionDD!$C$6,IF(C609&lt;=CommissionDD!$E$7,CommissionDD!$C$7,IF(C609&lt;=CommissionDD!$E$8,CommissionDD!$C$8,CommissionDD!$C$9))))))</f>
        <v>0.03</v>
      </c>
      <c r="F609" s="23" t="str">
        <f t="shared" si="29"/>
        <v/>
      </c>
      <c r="G609" s="23" t="str">
        <f>IF($B609="","",(Acc!$F609*CommissionDD!$C$30))</f>
        <v/>
      </c>
      <c r="H609" s="23" t="str">
        <f t="shared" si="27"/>
        <v/>
      </c>
    </row>
    <row r="610" spans="1:8">
      <c r="A610" s="21" t="str">
        <f t="shared" si="28"/>
        <v/>
      </c>
      <c r="B610" s="1" t="str">
        <f>IF(Cus!$B610&lt;&gt;"",Cus!$A610,"")</f>
        <v/>
      </c>
      <c r="C610" s="22" t="str">
        <f>IF($B610="","",Cus!$AA610)</f>
        <v/>
      </c>
      <c r="D610" s="23" t="str">
        <f>IF($B610="","",(Acc!$H610*$C610))</f>
        <v/>
      </c>
      <c r="E610" s="24">
        <f>IF(C610&lt;=CommissionDD!$E$3,CommissionDD!$C$3,IF(C610&lt;=CommissionDD!$E$4,CommissionDD!$C$4,IF(C610&lt;=CommissionDD!$E$5,CommissionDD!$C$5,IF(C610&lt;=CommissionDD!$E$6,CommissionDD!$C$6,IF(C610&lt;=CommissionDD!$E$7,CommissionDD!$C$7,IF(C610&lt;=CommissionDD!$E$8,CommissionDD!$C$8,CommissionDD!$C$9))))))</f>
        <v>0.03</v>
      </c>
      <c r="F610" s="23" t="str">
        <f t="shared" si="29"/>
        <v/>
      </c>
      <c r="G610" s="23" t="str">
        <f>IF($B610="","",(Acc!$F610*CommissionDD!$C$30))</f>
        <v/>
      </c>
      <c r="H610" s="23" t="str">
        <f t="shared" si="27"/>
        <v/>
      </c>
    </row>
    <row r="611" spans="1:8">
      <c r="A611" s="21" t="str">
        <f t="shared" si="28"/>
        <v/>
      </c>
      <c r="B611" s="1" t="str">
        <f>IF(Cus!$B611&lt;&gt;"",Cus!$A611,"")</f>
        <v/>
      </c>
      <c r="C611" s="22" t="str">
        <f>IF($B611="","",Cus!$AA611)</f>
        <v/>
      </c>
      <c r="D611" s="23" t="str">
        <f>IF($B611="","",(Acc!$H611*$C611))</f>
        <v/>
      </c>
      <c r="E611" s="24">
        <f>IF(C611&lt;=CommissionDD!$E$3,CommissionDD!$C$3,IF(C611&lt;=CommissionDD!$E$4,CommissionDD!$C$4,IF(C611&lt;=CommissionDD!$E$5,CommissionDD!$C$5,IF(C611&lt;=CommissionDD!$E$6,CommissionDD!$C$6,IF(C611&lt;=CommissionDD!$E$7,CommissionDD!$C$7,IF(C611&lt;=CommissionDD!$E$8,CommissionDD!$C$8,CommissionDD!$C$9))))))</f>
        <v>0.03</v>
      </c>
      <c r="F611" s="23" t="str">
        <f t="shared" si="29"/>
        <v/>
      </c>
      <c r="G611" s="23" t="str">
        <f>IF($B611="","",(Acc!$F611*CommissionDD!$C$30))</f>
        <v/>
      </c>
      <c r="H611" s="23" t="str">
        <f t="shared" si="27"/>
        <v/>
      </c>
    </row>
    <row r="612" spans="1:8">
      <c r="A612" s="21" t="str">
        <f t="shared" si="28"/>
        <v/>
      </c>
      <c r="B612" s="1" t="str">
        <f>IF(Cus!$B612&lt;&gt;"",Cus!$A612,"")</f>
        <v/>
      </c>
      <c r="C612" s="22" t="str">
        <f>IF($B612="","",Cus!$AA612)</f>
        <v/>
      </c>
      <c r="D612" s="23" t="str">
        <f>IF($B612="","",(Acc!$H612*$C612))</f>
        <v/>
      </c>
      <c r="E612" s="24">
        <f>IF(C612&lt;=CommissionDD!$E$3,CommissionDD!$C$3,IF(C612&lt;=CommissionDD!$E$4,CommissionDD!$C$4,IF(C612&lt;=CommissionDD!$E$5,CommissionDD!$C$5,IF(C612&lt;=CommissionDD!$E$6,CommissionDD!$C$6,IF(C612&lt;=CommissionDD!$E$7,CommissionDD!$C$7,IF(C612&lt;=CommissionDD!$E$8,CommissionDD!$C$8,CommissionDD!$C$9))))))</f>
        <v>0.03</v>
      </c>
      <c r="F612" s="23" t="str">
        <f t="shared" si="29"/>
        <v/>
      </c>
      <c r="G612" s="23" t="str">
        <f>IF($B612="","",(Acc!$F612*CommissionDD!$C$30))</f>
        <v/>
      </c>
      <c r="H612" s="23" t="str">
        <f t="shared" si="27"/>
        <v/>
      </c>
    </row>
    <row r="613" spans="1:8">
      <c r="A613" s="21" t="str">
        <f t="shared" si="28"/>
        <v/>
      </c>
      <c r="B613" s="1" t="str">
        <f>IF(Cus!$B613&lt;&gt;"",Cus!$A613,"")</f>
        <v/>
      </c>
      <c r="C613" s="22" t="str">
        <f>IF($B613="","",Cus!$AA613)</f>
        <v/>
      </c>
      <c r="D613" s="23" t="str">
        <f>IF($B613="","",(Acc!$H613*$C613))</f>
        <v/>
      </c>
      <c r="E613" s="24">
        <f>IF(C613&lt;=CommissionDD!$E$3,CommissionDD!$C$3,IF(C613&lt;=CommissionDD!$E$4,CommissionDD!$C$4,IF(C613&lt;=CommissionDD!$E$5,CommissionDD!$C$5,IF(C613&lt;=CommissionDD!$E$6,CommissionDD!$C$6,IF(C613&lt;=CommissionDD!$E$7,CommissionDD!$C$7,IF(C613&lt;=CommissionDD!$E$8,CommissionDD!$C$8,CommissionDD!$C$9))))))</f>
        <v>0.03</v>
      </c>
      <c r="F613" s="23" t="str">
        <f t="shared" si="29"/>
        <v/>
      </c>
      <c r="G613" s="23" t="str">
        <f>IF($B613="","",(Acc!$F613*CommissionDD!$C$30))</f>
        <v/>
      </c>
      <c r="H613" s="23" t="str">
        <f t="shared" si="27"/>
        <v/>
      </c>
    </row>
    <row r="614" spans="1:8">
      <c r="A614" s="21" t="str">
        <f t="shared" si="28"/>
        <v/>
      </c>
      <c r="B614" s="1" t="str">
        <f>IF(Cus!$B614&lt;&gt;"",Cus!$A614,"")</f>
        <v/>
      </c>
      <c r="C614" s="22" t="str">
        <f>IF($B614="","",Cus!$AA614)</f>
        <v/>
      </c>
      <c r="D614" s="23" t="str">
        <f>IF($B614="","",(Acc!$H614*$C614))</f>
        <v/>
      </c>
      <c r="E614" s="24">
        <f>IF(C614&lt;=CommissionDD!$E$3,CommissionDD!$C$3,IF(C614&lt;=CommissionDD!$E$4,CommissionDD!$C$4,IF(C614&lt;=CommissionDD!$E$5,CommissionDD!$C$5,IF(C614&lt;=CommissionDD!$E$6,CommissionDD!$C$6,IF(C614&lt;=CommissionDD!$E$7,CommissionDD!$C$7,IF(C614&lt;=CommissionDD!$E$8,CommissionDD!$C$8,CommissionDD!$C$9))))))</f>
        <v>0.03</v>
      </c>
      <c r="F614" s="23" t="str">
        <f t="shared" si="29"/>
        <v/>
      </c>
      <c r="G614" s="23" t="str">
        <f>IF($B614="","",(Acc!$F614*CommissionDD!$C$30))</f>
        <v/>
      </c>
      <c r="H614" s="23" t="str">
        <f t="shared" si="27"/>
        <v/>
      </c>
    </row>
    <row r="615" spans="1:8">
      <c r="A615" s="21" t="str">
        <f t="shared" si="28"/>
        <v/>
      </c>
      <c r="B615" s="1" t="str">
        <f>IF(Cus!$B615&lt;&gt;"",Cus!$A615,"")</f>
        <v/>
      </c>
      <c r="C615" s="22" t="str">
        <f>IF($B615="","",Cus!$AA615)</f>
        <v/>
      </c>
      <c r="D615" s="23" t="str">
        <f>IF($B615="","",(Acc!$H615*$C615))</f>
        <v/>
      </c>
      <c r="E615" s="24">
        <f>IF(C615&lt;=CommissionDD!$E$3,CommissionDD!$C$3,IF(C615&lt;=CommissionDD!$E$4,CommissionDD!$C$4,IF(C615&lt;=CommissionDD!$E$5,CommissionDD!$C$5,IF(C615&lt;=CommissionDD!$E$6,CommissionDD!$C$6,IF(C615&lt;=CommissionDD!$E$7,CommissionDD!$C$7,IF(C615&lt;=CommissionDD!$E$8,CommissionDD!$C$8,CommissionDD!$C$9))))))</f>
        <v>0.03</v>
      </c>
      <c r="F615" s="23" t="str">
        <f t="shared" si="29"/>
        <v/>
      </c>
      <c r="G615" s="23" t="str">
        <f>IF($B615="","",(Acc!$F615*CommissionDD!$C$30))</f>
        <v/>
      </c>
      <c r="H615" s="23" t="str">
        <f t="shared" si="27"/>
        <v/>
      </c>
    </row>
    <row r="616" spans="1:8">
      <c r="A616" s="21" t="str">
        <f t="shared" si="28"/>
        <v/>
      </c>
      <c r="B616" s="1" t="str">
        <f>IF(Cus!$B616&lt;&gt;"",Cus!$A616,"")</f>
        <v/>
      </c>
      <c r="C616" s="22" t="str">
        <f>IF($B616="","",Cus!$AA616)</f>
        <v/>
      </c>
      <c r="D616" s="23" t="str">
        <f>IF($B616="","",(Acc!$H616*$C616))</f>
        <v/>
      </c>
      <c r="E616" s="24">
        <f>IF(C616&lt;=CommissionDD!$E$3,CommissionDD!$C$3,IF(C616&lt;=CommissionDD!$E$4,CommissionDD!$C$4,IF(C616&lt;=CommissionDD!$E$5,CommissionDD!$C$5,IF(C616&lt;=CommissionDD!$E$6,CommissionDD!$C$6,IF(C616&lt;=CommissionDD!$E$7,CommissionDD!$C$7,IF(C616&lt;=CommissionDD!$E$8,CommissionDD!$C$8,CommissionDD!$C$9))))))</f>
        <v>0.03</v>
      </c>
      <c r="F616" s="23" t="str">
        <f t="shared" si="29"/>
        <v/>
      </c>
      <c r="G616" s="23" t="str">
        <f>IF($B616="","",(Acc!$F616*CommissionDD!$C$30))</f>
        <v/>
      </c>
      <c r="H616" s="23" t="str">
        <f t="shared" si="27"/>
        <v/>
      </c>
    </row>
    <row r="617" spans="1:8">
      <c r="A617" s="21" t="str">
        <f t="shared" si="28"/>
        <v/>
      </c>
      <c r="B617" s="1" t="str">
        <f>IF(Cus!$B617&lt;&gt;"",Cus!$A617,"")</f>
        <v/>
      </c>
      <c r="C617" s="22" t="str">
        <f>IF($B617="","",Cus!$AA617)</f>
        <v/>
      </c>
      <c r="D617" s="23" t="str">
        <f>IF($B617="","",(Acc!$H617*$C617))</f>
        <v/>
      </c>
      <c r="E617" s="24">
        <f>IF(C617&lt;=CommissionDD!$E$3,CommissionDD!$C$3,IF(C617&lt;=CommissionDD!$E$4,CommissionDD!$C$4,IF(C617&lt;=CommissionDD!$E$5,CommissionDD!$C$5,IF(C617&lt;=CommissionDD!$E$6,CommissionDD!$C$6,IF(C617&lt;=CommissionDD!$E$7,CommissionDD!$C$7,IF(C617&lt;=CommissionDD!$E$8,CommissionDD!$C$8,CommissionDD!$C$9))))))</f>
        <v>0.03</v>
      </c>
      <c r="F617" s="23" t="str">
        <f t="shared" si="29"/>
        <v/>
      </c>
      <c r="G617" s="23" t="str">
        <f>IF($B617="","",(Acc!$F617*CommissionDD!$C$30))</f>
        <v/>
      </c>
      <c r="H617" s="23" t="str">
        <f t="shared" si="27"/>
        <v/>
      </c>
    </row>
    <row r="618" spans="1:8">
      <c r="A618" s="21" t="str">
        <f t="shared" si="28"/>
        <v/>
      </c>
      <c r="B618" s="1" t="str">
        <f>IF(Cus!$B618&lt;&gt;"",Cus!$A618,"")</f>
        <v/>
      </c>
      <c r="C618" s="22" t="str">
        <f>IF($B618="","",Cus!$AA618)</f>
        <v/>
      </c>
      <c r="D618" s="23" t="str">
        <f>IF($B618="","",(Acc!$H618*$C618))</f>
        <v/>
      </c>
      <c r="E618" s="24">
        <f>IF(C618&lt;=CommissionDD!$E$3,CommissionDD!$C$3,IF(C618&lt;=CommissionDD!$E$4,CommissionDD!$C$4,IF(C618&lt;=CommissionDD!$E$5,CommissionDD!$C$5,IF(C618&lt;=CommissionDD!$E$6,CommissionDD!$C$6,IF(C618&lt;=CommissionDD!$E$7,CommissionDD!$C$7,IF(C618&lt;=CommissionDD!$E$8,CommissionDD!$C$8,CommissionDD!$C$9))))))</f>
        <v>0.03</v>
      </c>
      <c r="F618" s="23" t="str">
        <f t="shared" si="29"/>
        <v/>
      </c>
      <c r="G618" s="23" t="str">
        <f>IF($B618="","",(Acc!$F618*CommissionDD!$C$30))</f>
        <v/>
      </c>
      <c r="H618" s="23" t="str">
        <f t="shared" si="27"/>
        <v/>
      </c>
    </row>
    <row r="619" spans="1:8">
      <c r="A619" s="21" t="str">
        <f t="shared" si="28"/>
        <v/>
      </c>
      <c r="B619" s="1" t="str">
        <f>IF(Cus!$B619&lt;&gt;"",Cus!$A619,"")</f>
        <v/>
      </c>
      <c r="C619" s="22" t="str">
        <f>IF($B619="","",Cus!$AA619)</f>
        <v/>
      </c>
      <c r="D619" s="23" t="str">
        <f>IF($B619="","",(Acc!$H619*$C619))</f>
        <v/>
      </c>
      <c r="E619" s="24">
        <f>IF(C619&lt;=CommissionDD!$E$3,CommissionDD!$C$3,IF(C619&lt;=CommissionDD!$E$4,CommissionDD!$C$4,IF(C619&lt;=CommissionDD!$E$5,CommissionDD!$C$5,IF(C619&lt;=CommissionDD!$E$6,CommissionDD!$C$6,IF(C619&lt;=CommissionDD!$E$7,CommissionDD!$C$7,IF(C619&lt;=CommissionDD!$E$8,CommissionDD!$C$8,CommissionDD!$C$9))))))</f>
        <v>0.03</v>
      </c>
      <c r="F619" s="23" t="str">
        <f t="shared" si="29"/>
        <v/>
      </c>
      <c r="G619" s="23" t="str">
        <f>IF($B619="","",(Acc!$F619*CommissionDD!$C$30))</f>
        <v/>
      </c>
      <c r="H619" s="23" t="str">
        <f t="shared" si="27"/>
        <v/>
      </c>
    </row>
    <row r="620" spans="1:8">
      <c r="A620" s="21" t="str">
        <f t="shared" si="28"/>
        <v/>
      </c>
      <c r="B620" s="1" t="str">
        <f>IF(Cus!$B620&lt;&gt;"",Cus!$A620,"")</f>
        <v/>
      </c>
      <c r="C620" s="22" t="str">
        <f>IF($B620="","",Cus!$AA620)</f>
        <v/>
      </c>
      <c r="D620" s="23" t="str">
        <f>IF($B620="","",(Acc!$H620*$C620))</f>
        <v/>
      </c>
      <c r="E620" s="24">
        <f>IF(C620&lt;=CommissionDD!$E$3,CommissionDD!$C$3,IF(C620&lt;=CommissionDD!$E$4,CommissionDD!$C$4,IF(C620&lt;=CommissionDD!$E$5,CommissionDD!$C$5,IF(C620&lt;=CommissionDD!$E$6,CommissionDD!$C$6,IF(C620&lt;=CommissionDD!$E$7,CommissionDD!$C$7,IF(C620&lt;=CommissionDD!$E$8,CommissionDD!$C$8,CommissionDD!$C$9))))))</f>
        <v>0.03</v>
      </c>
      <c r="F620" s="23" t="str">
        <f t="shared" si="29"/>
        <v/>
      </c>
      <c r="G620" s="23" t="str">
        <f>IF($B620="","",(Acc!$F620*CommissionDD!$C$30))</f>
        <v/>
      </c>
      <c r="H620" s="23" t="str">
        <f t="shared" si="27"/>
        <v/>
      </c>
    </row>
    <row r="621" spans="1:8">
      <c r="A621" s="21" t="str">
        <f t="shared" si="28"/>
        <v/>
      </c>
      <c r="B621" s="1" t="str">
        <f>IF(Cus!$B621&lt;&gt;"",Cus!$A621,"")</f>
        <v/>
      </c>
      <c r="C621" s="22" t="str">
        <f>IF($B621="","",Cus!$AA621)</f>
        <v/>
      </c>
      <c r="D621" s="23" t="str">
        <f>IF($B621="","",(Acc!$H621*$C621))</f>
        <v/>
      </c>
      <c r="E621" s="24">
        <f>IF(C621&lt;=CommissionDD!$E$3,CommissionDD!$C$3,IF(C621&lt;=CommissionDD!$E$4,CommissionDD!$C$4,IF(C621&lt;=CommissionDD!$E$5,CommissionDD!$C$5,IF(C621&lt;=CommissionDD!$E$6,CommissionDD!$C$6,IF(C621&lt;=CommissionDD!$E$7,CommissionDD!$C$7,IF(C621&lt;=CommissionDD!$E$8,CommissionDD!$C$8,CommissionDD!$C$9))))))</f>
        <v>0.03</v>
      </c>
      <c r="F621" s="23" t="str">
        <f t="shared" si="29"/>
        <v/>
      </c>
      <c r="G621" s="23" t="str">
        <f>IF($B621="","",(Acc!$F621*CommissionDD!$C$30))</f>
        <v/>
      </c>
      <c r="H621" s="23" t="str">
        <f t="shared" si="27"/>
        <v/>
      </c>
    </row>
    <row r="622" spans="1:8">
      <c r="A622" s="21" t="str">
        <f t="shared" si="28"/>
        <v/>
      </c>
      <c r="B622" s="1" t="str">
        <f>IF(Cus!$B622&lt;&gt;"",Cus!$A622,"")</f>
        <v/>
      </c>
      <c r="C622" s="22" t="str">
        <f>IF($B622="","",Cus!$AA622)</f>
        <v/>
      </c>
      <c r="D622" s="23" t="str">
        <f>IF($B622="","",(Acc!$H622*$C622))</f>
        <v/>
      </c>
      <c r="E622" s="24">
        <f>IF(C622&lt;=CommissionDD!$E$3,CommissionDD!$C$3,IF(C622&lt;=CommissionDD!$E$4,CommissionDD!$C$4,IF(C622&lt;=CommissionDD!$E$5,CommissionDD!$C$5,IF(C622&lt;=CommissionDD!$E$6,CommissionDD!$C$6,IF(C622&lt;=CommissionDD!$E$7,CommissionDD!$C$7,IF(C622&lt;=CommissionDD!$E$8,CommissionDD!$C$8,CommissionDD!$C$9))))))</f>
        <v>0.03</v>
      </c>
      <c r="F622" s="23" t="str">
        <f t="shared" si="29"/>
        <v/>
      </c>
      <c r="G622" s="23" t="str">
        <f>IF($B622="","",(Acc!$F622*CommissionDD!$C$30))</f>
        <v/>
      </c>
      <c r="H622" s="23" t="str">
        <f t="shared" si="27"/>
        <v/>
      </c>
    </row>
    <row r="623" spans="1:8">
      <c r="A623" s="21" t="str">
        <f t="shared" si="28"/>
        <v/>
      </c>
      <c r="B623" s="1" t="str">
        <f>IF(Cus!$B623&lt;&gt;"",Cus!$A623,"")</f>
        <v/>
      </c>
      <c r="C623" s="22" t="str">
        <f>IF($B623="","",Cus!$AA623)</f>
        <v/>
      </c>
      <c r="D623" s="23" t="str">
        <f>IF($B623="","",(Acc!$H623*$C623))</f>
        <v/>
      </c>
      <c r="E623" s="24">
        <f>IF(C623&lt;=CommissionDD!$E$3,CommissionDD!$C$3,IF(C623&lt;=CommissionDD!$E$4,CommissionDD!$C$4,IF(C623&lt;=CommissionDD!$E$5,CommissionDD!$C$5,IF(C623&lt;=CommissionDD!$E$6,CommissionDD!$C$6,IF(C623&lt;=CommissionDD!$E$7,CommissionDD!$C$7,IF(C623&lt;=CommissionDD!$E$8,CommissionDD!$C$8,CommissionDD!$C$9))))))</f>
        <v>0.03</v>
      </c>
      <c r="F623" s="23" t="str">
        <f t="shared" si="29"/>
        <v/>
      </c>
      <c r="G623" s="23" t="str">
        <f>IF($B623="","",(Acc!$F623*CommissionDD!$C$30))</f>
        <v/>
      </c>
      <c r="H623" s="23" t="str">
        <f t="shared" si="27"/>
        <v/>
      </c>
    </row>
    <row r="624" spans="1:8">
      <c r="A624" s="21" t="str">
        <f t="shared" si="28"/>
        <v/>
      </c>
      <c r="B624" s="1" t="str">
        <f>IF(Cus!$B624&lt;&gt;"",Cus!$A624,"")</f>
        <v/>
      </c>
      <c r="C624" s="22" t="str">
        <f>IF($B624="","",Cus!$AA624)</f>
        <v/>
      </c>
      <c r="D624" s="23" t="str">
        <f>IF($B624="","",(Acc!$H624*$C624))</f>
        <v/>
      </c>
      <c r="E624" s="24">
        <f>IF(C624&lt;=CommissionDD!$E$3,CommissionDD!$C$3,IF(C624&lt;=CommissionDD!$E$4,CommissionDD!$C$4,IF(C624&lt;=CommissionDD!$E$5,CommissionDD!$C$5,IF(C624&lt;=CommissionDD!$E$6,CommissionDD!$C$6,IF(C624&lt;=CommissionDD!$E$7,CommissionDD!$C$7,IF(C624&lt;=CommissionDD!$E$8,CommissionDD!$C$8,CommissionDD!$C$9))))))</f>
        <v>0.03</v>
      </c>
      <c r="F624" s="23" t="str">
        <f t="shared" si="29"/>
        <v/>
      </c>
      <c r="G624" s="23" t="str">
        <f>IF($B624="","",(Acc!$F624*CommissionDD!$C$30))</f>
        <v/>
      </c>
      <c r="H624" s="23" t="str">
        <f t="shared" si="27"/>
        <v/>
      </c>
    </row>
    <row r="625" spans="1:8">
      <c r="A625" s="21" t="str">
        <f t="shared" si="28"/>
        <v/>
      </c>
      <c r="B625" s="1" t="str">
        <f>IF(Cus!$B625&lt;&gt;"",Cus!$A625,"")</f>
        <v/>
      </c>
      <c r="C625" s="22" t="str">
        <f>IF($B625="","",Cus!$AA625)</f>
        <v/>
      </c>
      <c r="D625" s="23" t="str">
        <f>IF($B625="","",(Acc!$H625*$C625))</f>
        <v/>
      </c>
      <c r="E625" s="24">
        <f>IF(C625&lt;=CommissionDD!$E$3,CommissionDD!$C$3,IF(C625&lt;=CommissionDD!$E$4,CommissionDD!$C$4,IF(C625&lt;=CommissionDD!$E$5,CommissionDD!$C$5,IF(C625&lt;=CommissionDD!$E$6,CommissionDD!$C$6,IF(C625&lt;=CommissionDD!$E$7,CommissionDD!$C$7,IF(C625&lt;=CommissionDD!$E$8,CommissionDD!$C$8,CommissionDD!$C$9))))))</f>
        <v>0.03</v>
      </c>
      <c r="F625" s="23" t="str">
        <f t="shared" si="29"/>
        <v/>
      </c>
      <c r="G625" s="23" t="str">
        <f>IF($B625="","",(Acc!$F625*CommissionDD!$C$30))</f>
        <v/>
      </c>
      <c r="H625" s="23" t="str">
        <f t="shared" si="27"/>
        <v/>
      </c>
    </row>
    <row r="626" spans="1:8">
      <c r="A626" s="21" t="str">
        <f t="shared" si="28"/>
        <v/>
      </c>
      <c r="B626" s="1" t="str">
        <f>IF(Cus!$B626&lt;&gt;"",Cus!$A626,"")</f>
        <v/>
      </c>
      <c r="C626" s="22" t="str">
        <f>IF($B626="","",Cus!$AA626)</f>
        <v/>
      </c>
      <c r="D626" s="23" t="str">
        <f>IF($B626="","",(Acc!$H626*$C626))</f>
        <v/>
      </c>
      <c r="E626" s="24">
        <f>IF(C626&lt;=CommissionDD!$E$3,CommissionDD!$C$3,IF(C626&lt;=CommissionDD!$E$4,CommissionDD!$C$4,IF(C626&lt;=CommissionDD!$E$5,CommissionDD!$C$5,IF(C626&lt;=CommissionDD!$E$6,CommissionDD!$C$6,IF(C626&lt;=CommissionDD!$E$7,CommissionDD!$C$7,IF(C626&lt;=CommissionDD!$E$8,CommissionDD!$C$8,CommissionDD!$C$9))))))</f>
        <v>0.03</v>
      </c>
      <c r="F626" s="23" t="str">
        <f t="shared" si="29"/>
        <v/>
      </c>
      <c r="G626" s="23" t="str">
        <f>IF($B626="","",(Acc!$F626*CommissionDD!$C$30))</f>
        <v/>
      </c>
      <c r="H626" s="23" t="str">
        <f t="shared" si="27"/>
        <v/>
      </c>
    </row>
    <row r="627" spans="1:8">
      <c r="A627" s="21" t="str">
        <f t="shared" si="28"/>
        <v/>
      </c>
      <c r="B627" s="1" t="str">
        <f>IF(Cus!$B627&lt;&gt;"",Cus!$A627,"")</f>
        <v/>
      </c>
      <c r="C627" s="22" t="str">
        <f>IF($B627="","",Cus!$AA627)</f>
        <v/>
      </c>
      <c r="D627" s="23" t="str">
        <f>IF($B627="","",(Acc!$H627*$C627))</f>
        <v/>
      </c>
      <c r="E627" s="24">
        <f>IF(C627&lt;=CommissionDD!$E$3,CommissionDD!$C$3,IF(C627&lt;=CommissionDD!$E$4,CommissionDD!$C$4,IF(C627&lt;=CommissionDD!$E$5,CommissionDD!$C$5,IF(C627&lt;=CommissionDD!$E$6,CommissionDD!$C$6,IF(C627&lt;=CommissionDD!$E$7,CommissionDD!$C$7,IF(C627&lt;=CommissionDD!$E$8,CommissionDD!$C$8,CommissionDD!$C$9))))))</f>
        <v>0.03</v>
      </c>
      <c r="F627" s="23" t="str">
        <f t="shared" si="29"/>
        <v/>
      </c>
      <c r="G627" s="23" t="str">
        <f>IF($B627="","",(Acc!$F627*CommissionDD!$C$30))</f>
        <v/>
      </c>
      <c r="H627" s="23" t="str">
        <f t="shared" si="27"/>
        <v/>
      </c>
    </row>
    <row r="628" spans="1:8">
      <c r="A628" s="21" t="str">
        <f t="shared" si="28"/>
        <v/>
      </c>
      <c r="B628" s="1" t="str">
        <f>IF(Cus!$B628&lt;&gt;"",Cus!$A628,"")</f>
        <v/>
      </c>
      <c r="C628" s="22" t="str">
        <f>IF($B628="","",Cus!$AA628)</f>
        <v/>
      </c>
      <c r="D628" s="23" t="str">
        <f>IF($B628="","",(Acc!$H628*$C628))</f>
        <v/>
      </c>
      <c r="E628" s="24">
        <f>IF(C628&lt;=CommissionDD!$E$3,CommissionDD!$C$3,IF(C628&lt;=CommissionDD!$E$4,CommissionDD!$C$4,IF(C628&lt;=CommissionDD!$E$5,CommissionDD!$C$5,IF(C628&lt;=CommissionDD!$E$6,CommissionDD!$C$6,IF(C628&lt;=CommissionDD!$E$7,CommissionDD!$C$7,IF(C628&lt;=CommissionDD!$E$8,CommissionDD!$C$8,CommissionDD!$C$9))))))</f>
        <v>0.03</v>
      </c>
      <c r="F628" s="23" t="str">
        <f t="shared" si="29"/>
        <v/>
      </c>
      <c r="G628" s="23" t="str">
        <f>IF($B628="","",(Acc!$F628*CommissionDD!$C$30))</f>
        <v/>
      </c>
      <c r="H628" s="23" t="str">
        <f t="shared" si="27"/>
        <v/>
      </c>
    </row>
    <row r="629" spans="1:8">
      <c r="A629" s="21" t="str">
        <f t="shared" si="28"/>
        <v/>
      </c>
      <c r="B629" s="1" t="str">
        <f>IF(Cus!$B629&lt;&gt;"",Cus!$A629,"")</f>
        <v/>
      </c>
      <c r="C629" s="22" t="str">
        <f>IF($B629="","",Cus!$AA629)</f>
        <v/>
      </c>
      <c r="D629" s="23" t="str">
        <f>IF($B629="","",(Acc!$H629*$C629))</f>
        <v/>
      </c>
      <c r="E629" s="24">
        <f>IF(C629&lt;=CommissionDD!$E$3,CommissionDD!$C$3,IF(C629&lt;=CommissionDD!$E$4,CommissionDD!$C$4,IF(C629&lt;=CommissionDD!$E$5,CommissionDD!$C$5,IF(C629&lt;=CommissionDD!$E$6,CommissionDD!$C$6,IF(C629&lt;=CommissionDD!$E$7,CommissionDD!$C$7,IF(C629&lt;=CommissionDD!$E$8,CommissionDD!$C$8,CommissionDD!$C$9))))))</f>
        <v>0.03</v>
      </c>
      <c r="F629" s="23" t="str">
        <f t="shared" si="29"/>
        <v/>
      </c>
      <c r="G629" s="23" t="str">
        <f>IF($B629="","",(Acc!$F629*CommissionDD!$C$30))</f>
        <v/>
      </c>
      <c r="H629" s="23" t="str">
        <f t="shared" si="27"/>
        <v/>
      </c>
    </row>
    <row r="630" spans="1:8">
      <c r="A630" s="21" t="str">
        <f t="shared" si="28"/>
        <v/>
      </c>
      <c r="B630" s="1" t="str">
        <f>IF(Cus!$B630&lt;&gt;"",Cus!$A630,"")</f>
        <v/>
      </c>
      <c r="C630" s="22" t="str">
        <f>IF($B630="","",Cus!$AA630)</f>
        <v/>
      </c>
      <c r="D630" s="23" t="str">
        <f>IF($B630="","",(Acc!$H630*$C630))</f>
        <v/>
      </c>
      <c r="E630" s="24">
        <f>IF(C630&lt;=CommissionDD!$E$3,CommissionDD!$C$3,IF(C630&lt;=CommissionDD!$E$4,CommissionDD!$C$4,IF(C630&lt;=CommissionDD!$E$5,CommissionDD!$C$5,IF(C630&lt;=CommissionDD!$E$6,CommissionDD!$C$6,IF(C630&lt;=CommissionDD!$E$7,CommissionDD!$C$7,IF(C630&lt;=CommissionDD!$E$8,CommissionDD!$C$8,CommissionDD!$C$9))))))</f>
        <v>0.03</v>
      </c>
      <c r="F630" s="23" t="str">
        <f t="shared" si="29"/>
        <v/>
      </c>
      <c r="G630" s="23" t="str">
        <f>IF($B630="","",(Acc!$F630*CommissionDD!$C$30))</f>
        <v/>
      </c>
      <c r="H630" s="23" t="str">
        <f t="shared" si="27"/>
        <v/>
      </c>
    </row>
    <row r="631" spans="1:8">
      <c r="A631" s="21" t="str">
        <f t="shared" si="28"/>
        <v/>
      </c>
      <c r="B631" s="1" t="str">
        <f>IF(Cus!$B631&lt;&gt;"",Cus!$A631,"")</f>
        <v/>
      </c>
      <c r="C631" s="22" t="str">
        <f>IF($B631="","",Cus!$AA631)</f>
        <v/>
      </c>
      <c r="D631" s="23" t="str">
        <f>IF($B631="","",(Acc!$H631*$C631))</f>
        <v/>
      </c>
      <c r="E631" s="24">
        <f>IF(C631&lt;=CommissionDD!$E$3,CommissionDD!$C$3,IF(C631&lt;=CommissionDD!$E$4,CommissionDD!$C$4,IF(C631&lt;=CommissionDD!$E$5,CommissionDD!$C$5,IF(C631&lt;=CommissionDD!$E$6,CommissionDD!$C$6,IF(C631&lt;=CommissionDD!$E$7,CommissionDD!$C$7,IF(C631&lt;=CommissionDD!$E$8,CommissionDD!$C$8,CommissionDD!$C$9))))))</f>
        <v>0.03</v>
      </c>
      <c r="F631" s="23" t="str">
        <f t="shared" si="29"/>
        <v/>
      </c>
      <c r="G631" s="23" t="str">
        <f>IF($B631="","",(Acc!$F631*CommissionDD!$C$30))</f>
        <v/>
      </c>
      <c r="H631" s="23" t="str">
        <f t="shared" si="27"/>
        <v/>
      </c>
    </row>
    <row r="632" spans="1:8">
      <c r="A632" s="21" t="str">
        <f t="shared" si="28"/>
        <v/>
      </c>
      <c r="B632" s="1" t="str">
        <f>IF(Cus!$B632&lt;&gt;"",Cus!$A632,"")</f>
        <v/>
      </c>
      <c r="C632" s="22" t="str">
        <f>IF($B632="","",Cus!$AA632)</f>
        <v/>
      </c>
      <c r="D632" s="23" t="str">
        <f>IF($B632="","",(Acc!$H632*$C632))</f>
        <v/>
      </c>
      <c r="E632" s="24">
        <f>IF(C632&lt;=CommissionDD!$E$3,CommissionDD!$C$3,IF(C632&lt;=CommissionDD!$E$4,CommissionDD!$C$4,IF(C632&lt;=CommissionDD!$E$5,CommissionDD!$C$5,IF(C632&lt;=CommissionDD!$E$6,CommissionDD!$C$6,IF(C632&lt;=CommissionDD!$E$7,CommissionDD!$C$7,IF(C632&lt;=CommissionDD!$E$8,CommissionDD!$C$8,CommissionDD!$C$9))))))</f>
        <v>0.03</v>
      </c>
      <c r="F632" s="23" t="str">
        <f t="shared" si="29"/>
        <v/>
      </c>
      <c r="G632" s="23" t="str">
        <f>IF($B632="","",(Acc!$F632*CommissionDD!$C$30))</f>
        <v/>
      </c>
      <c r="H632" s="23" t="str">
        <f t="shared" si="27"/>
        <v/>
      </c>
    </row>
    <row r="633" spans="1:8">
      <c r="A633" s="21" t="str">
        <f t="shared" si="28"/>
        <v/>
      </c>
      <c r="B633" s="1" t="str">
        <f>IF(Cus!$B633&lt;&gt;"",Cus!$A633,"")</f>
        <v/>
      </c>
      <c r="C633" s="22" t="str">
        <f>IF($B633="","",Cus!$AA633)</f>
        <v/>
      </c>
      <c r="D633" s="23" t="str">
        <f>IF($B633="","",(Acc!$H633*$C633))</f>
        <v/>
      </c>
      <c r="E633" s="24">
        <f>IF(C633&lt;=CommissionDD!$E$3,CommissionDD!$C$3,IF(C633&lt;=CommissionDD!$E$4,CommissionDD!$C$4,IF(C633&lt;=CommissionDD!$E$5,CommissionDD!$C$5,IF(C633&lt;=CommissionDD!$E$6,CommissionDD!$C$6,IF(C633&lt;=CommissionDD!$E$7,CommissionDD!$C$7,IF(C633&lt;=CommissionDD!$E$8,CommissionDD!$C$8,CommissionDD!$C$9))))))</f>
        <v>0.03</v>
      </c>
      <c r="F633" s="23" t="str">
        <f t="shared" si="29"/>
        <v/>
      </c>
      <c r="G633" s="23" t="str">
        <f>IF($B633="","",(Acc!$F633*CommissionDD!$C$30))</f>
        <v/>
      </c>
      <c r="H633" s="23" t="str">
        <f t="shared" si="27"/>
        <v/>
      </c>
    </row>
    <row r="634" spans="1:8">
      <c r="A634" s="21" t="str">
        <f t="shared" si="28"/>
        <v/>
      </c>
      <c r="B634" s="1" t="str">
        <f>IF(Cus!$B634&lt;&gt;"",Cus!$A634,"")</f>
        <v/>
      </c>
      <c r="C634" s="22" t="str">
        <f>IF($B634="","",Cus!$AA634)</f>
        <v/>
      </c>
      <c r="D634" s="23" t="str">
        <f>IF($B634="","",(Acc!$H634*$C634))</f>
        <v/>
      </c>
      <c r="E634" s="24">
        <f>IF(C634&lt;=CommissionDD!$E$3,CommissionDD!$C$3,IF(C634&lt;=CommissionDD!$E$4,CommissionDD!$C$4,IF(C634&lt;=CommissionDD!$E$5,CommissionDD!$C$5,IF(C634&lt;=CommissionDD!$E$6,CommissionDD!$C$6,IF(C634&lt;=CommissionDD!$E$7,CommissionDD!$C$7,IF(C634&lt;=CommissionDD!$E$8,CommissionDD!$C$8,CommissionDD!$C$9))))))</f>
        <v>0.03</v>
      </c>
      <c r="F634" s="23" t="str">
        <f t="shared" si="29"/>
        <v/>
      </c>
      <c r="G634" s="23" t="str">
        <f>IF($B634="","",(Acc!$F634*CommissionDD!$C$30))</f>
        <v/>
      </c>
      <c r="H634" s="23" t="str">
        <f t="shared" si="27"/>
        <v/>
      </c>
    </row>
    <row r="635" spans="1:8">
      <c r="A635" s="21" t="str">
        <f t="shared" si="28"/>
        <v/>
      </c>
      <c r="B635" s="1" t="str">
        <f>IF(Cus!$B635&lt;&gt;"",Cus!$A635,"")</f>
        <v/>
      </c>
      <c r="C635" s="22" t="str">
        <f>IF($B635="","",Cus!$AA635)</f>
        <v/>
      </c>
      <c r="D635" s="23" t="str">
        <f>IF($B635="","",(Acc!$H635*$C635))</f>
        <v/>
      </c>
      <c r="E635" s="24">
        <f>IF(C635&lt;=CommissionDD!$E$3,CommissionDD!$C$3,IF(C635&lt;=CommissionDD!$E$4,CommissionDD!$C$4,IF(C635&lt;=CommissionDD!$E$5,CommissionDD!$C$5,IF(C635&lt;=CommissionDD!$E$6,CommissionDD!$C$6,IF(C635&lt;=CommissionDD!$E$7,CommissionDD!$C$7,IF(C635&lt;=CommissionDD!$E$8,CommissionDD!$C$8,CommissionDD!$C$9))))))</f>
        <v>0.03</v>
      </c>
      <c r="F635" s="23" t="str">
        <f t="shared" si="29"/>
        <v/>
      </c>
      <c r="G635" s="23" t="str">
        <f>IF($B635="","",(Acc!$F635*CommissionDD!$C$30))</f>
        <v/>
      </c>
      <c r="H635" s="23" t="str">
        <f t="shared" si="27"/>
        <v/>
      </c>
    </row>
    <row r="636" spans="1:8">
      <c r="A636" s="21" t="str">
        <f t="shared" si="28"/>
        <v/>
      </c>
      <c r="B636" s="1" t="str">
        <f>IF(Cus!$B636&lt;&gt;"",Cus!$A636,"")</f>
        <v/>
      </c>
      <c r="C636" s="22" t="str">
        <f>IF($B636="","",Cus!$AA636)</f>
        <v/>
      </c>
      <c r="D636" s="23" t="str">
        <f>IF($B636="","",(Acc!$H636*$C636))</f>
        <v/>
      </c>
      <c r="E636" s="24">
        <f>IF(C636&lt;=CommissionDD!$E$3,CommissionDD!$C$3,IF(C636&lt;=CommissionDD!$E$4,CommissionDD!$C$4,IF(C636&lt;=CommissionDD!$E$5,CommissionDD!$C$5,IF(C636&lt;=CommissionDD!$E$6,CommissionDD!$C$6,IF(C636&lt;=CommissionDD!$E$7,CommissionDD!$C$7,IF(C636&lt;=CommissionDD!$E$8,CommissionDD!$C$8,CommissionDD!$C$9))))))</f>
        <v>0.03</v>
      </c>
      <c r="F636" s="23" t="str">
        <f t="shared" si="29"/>
        <v/>
      </c>
      <c r="G636" s="23" t="str">
        <f>IF($B636="","",(Acc!$F636*CommissionDD!$C$30))</f>
        <v/>
      </c>
      <c r="H636" s="23" t="str">
        <f t="shared" si="27"/>
        <v/>
      </c>
    </row>
    <row r="637" spans="1:8">
      <c r="A637" s="21" t="str">
        <f t="shared" si="28"/>
        <v/>
      </c>
      <c r="B637" s="1" t="str">
        <f>IF(Cus!$B637&lt;&gt;"",Cus!$A637,"")</f>
        <v/>
      </c>
      <c r="C637" s="22" t="str">
        <f>IF($B637="","",Cus!$AA637)</f>
        <v/>
      </c>
      <c r="D637" s="23" t="str">
        <f>IF($B637="","",(Acc!$H637*$C637))</f>
        <v/>
      </c>
      <c r="E637" s="24">
        <f>IF(C637&lt;=CommissionDD!$E$3,CommissionDD!$C$3,IF(C637&lt;=CommissionDD!$E$4,CommissionDD!$C$4,IF(C637&lt;=CommissionDD!$E$5,CommissionDD!$C$5,IF(C637&lt;=CommissionDD!$E$6,CommissionDD!$C$6,IF(C637&lt;=CommissionDD!$E$7,CommissionDD!$C$7,IF(C637&lt;=CommissionDD!$E$8,CommissionDD!$C$8,CommissionDD!$C$9))))))</f>
        <v>0.03</v>
      </c>
      <c r="F637" s="23" t="str">
        <f t="shared" si="29"/>
        <v/>
      </c>
      <c r="G637" s="23" t="str">
        <f>IF($B637="","",(Acc!$F637*CommissionDD!$C$30))</f>
        <v/>
      </c>
      <c r="H637" s="23" t="str">
        <f t="shared" si="27"/>
        <v/>
      </c>
    </row>
    <row r="638" spans="1:8">
      <c r="A638" s="21" t="str">
        <f t="shared" si="28"/>
        <v/>
      </c>
      <c r="B638" s="1" t="str">
        <f>IF(Cus!$B638&lt;&gt;"",Cus!$A638,"")</f>
        <v/>
      </c>
      <c r="C638" s="22" t="str">
        <f>IF($B638="","",Cus!$AA638)</f>
        <v/>
      </c>
      <c r="D638" s="23" t="str">
        <f>IF($B638="","",(Acc!$H638*$C638))</f>
        <v/>
      </c>
      <c r="E638" s="24">
        <f>IF(C638&lt;=CommissionDD!$E$3,CommissionDD!$C$3,IF(C638&lt;=CommissionDD!$E$4,CommissionDD!$C$4,IF(C638&lt;=CommissionDD!$E$5,CommissionDD!$C$5,IF(C638&lt;=CommissionDD!$E$6,CommissionDD!$C$6,IF(C638&lt;=CommissionDD!$E$7,CommissionDD!$C$7,IF(C638&lt;=CommissionDD!$E$8,CommissionDD!$C$8,CommissionDD!$C$9))))))</f>
        <v>0.03</v>
      </c>
      <c r="F638" s="23" t="str">
        <f t="shared" si="29"/>
        <v/>
      </c>
      <c r="G638" s="23" t="str">
        <f>IF($B638="","",(Acc!$F638*CommissionDD!$C$30))</f>
        <v/>
      </c>
      <c r="H638" s="23" t="str">
        <f t="shared" si="27"/>
        <v/>
      </c>
    </row>
    <row r="639" spans="1:8">
      <c r="A639" s="21" t="str">
        <f t="shared" si="28"/>
        <v/>
      </c>
      <c r="B639" s="1" t="str">
        <f>IF(Cus!$B639&lt;&gt;"",Cus!$A639,"")</f>
        <v/>
      </c>
      <c r="C639" s="22" t="str">
        <f>IF($B639="","",Cus!$AA639)</f>
        <v/>
      </c>
      <c r="D639" s="23" t="str">
        <f>IF($B639="","",(Acc!$H639*$C639))</f>
        <v/>
      </c>
      <c r="E639" s="24">
        <f>IF(C639&lt;=CommissionDD!$E$3,CommissionDD!$C$3,IF(C639&lt;=CommissionDD!$E$4,CommissionDD!$C$4,IF(C639&lt;=CommissionDD!$E$5,CommissionDD!$C$5,IF(C639&lt;=CommissionDD!$E$6,CommissionDD!$C$6,IF(C639&lt;=CommissionDD!$E$7,CommissionDD!$C$7,IF(C639&lt;=CommissionDD!$E$8,CommissionDD!$C$8,CommissionDD!$C$9))))))</f>
        <v>0.03</v>
      </c>
      <c r="F639" s="23" t="str">
        <f t="shared" si="29"/>
        <v/>
      </c>
      <c r="G639" s="23" t="str">
        <f>IF($B639="","",(Acc!$F639*CommissionDD!$C$30))</f>
        <v/>
      </c>
      <c r="H639" s="23" t="str">
        <f t="shared" si="27"/>
        <v/>
      </c>
    </row>
    <row r="640" spans="1:8">
      <c r="A640" s="21" t="str">
        <f t="shared" si="28"/>
        <v/>
      </c>
      <c r="B640" s="1" t="str">
        <f>IF(Cus!$B640&lt;&gt;"",Cus!$A640,"")</f>
        <v/>
      </c>
      <c r="C640" s="22" t="str">
        <f>IF($B640="","",Cus!$AA640)</f>
        <v/>
      </c>
      <c r="D640" s="23" t="str">
        <f>IF($B640="","",(Acc!$H640*$C640))</f>
        <v/>
      </c>
      <c r="E640" s="24">
        <f>IF(C640&lt;=CommissionDD!$E$3,CommissionDD!$C$3,IF(C640&lt;=CommissionDD!$E$4,CommissionDD!$C$4,IF(C640&lt;=CommissionDD!$E$5,CommissionDD!$C$5,IF(C640&lt;=CommissionDD!$E$6,CommissionDD!$C$6,IF(C640&lt;=CommissionDD!$E$7,CommissionDD!$C$7,IF(C640&lt;=CommissionDD!$E$8,CommissionDD!$C$8,CommissionDD!$C$9))))))</f>
        <v>0.03</v>
      </c>
      <c r="F640" s="23" t="str">
        <f t="shared" si="29"/>
        <v/>
      </c>
      <c r="G640" s="23" t="str">
        <f>IF($B640="","",(Acc!$F640*CommissionDD!$C$30))</f>
        <v/>
      </c>
      <c r="H640" s="23" t="str">
        <f t="shared" si="27"/>
        <v/>
      </c>
    </row>
    <row r="641" spans="1:8">
      <c r="A641" s="21" t="str">
        <f t="shared" si="28"/>
        <v/>
      </c>
      <c r="B641" s="1" t="str">
        <f>IF(Cus!$B641&lt;&gt;"",Cus!$A641,"")</f>
        <v/>
      </c>
      <c r="C641" s="22" t="str">
        <f>IF($B641="","",Cus!$AA641)</f>
        <v/>
      </c>
      <c r="D641" s="23" t="str">
        <f>IF($B641="","",(Acc!$H641*$C641))</f>
        <v/>
      </c>
      <c r="E641" s="24">
        <f>IF(C641&lt;=CommissionDD!$E$3,CommissionDD!$C$3,IF(C641&lt;=CommissionDD!$E$4,CommissionDD!$C$4,IF(C641&lt;=CommissionDD!$E$5,CommissionDD!$C$5,IF(C641&lt;=CommissionDD!$E$6,CommissionDD!$C$6,IF(C641&lt;=CommissionDD!$E$7,CommissionDD!$C$7,IF(C641&lt;=CommissionDD!$E$8,CommissionDD!$C$8,CommissionDD!$C$9))))))</f>
        <v>0.03</v>
      </c>
      <c r="F641" s="23" t="str">
        <f t="shared" si="29"/>
        <v/>
      </c>
      <c r="G641" s="23" t="str">
        <f>IF($B641="","",(Acc!$F641*CommissionDD!$C$30))</f>
        <v/>
      </c>
      <c r="H641" s="23" t="str">
        <f t="shared" si="27"/>
        <v/>
      </c>
    </row>
    <row r="642" spans="1:8">
      <c r="A642" s="21" t="str">
        <f t="shared" si="28"/>
        <v/>
      </c>
      <c r="B642" s="1" t="str">
        <f>IF(Cus!$B642&lt;&gt;"",Cus!$A642,"")</f>
        <v/>
      </c>
      <c r="C642" s="22" t="str">
        <f>IF($B642="","",Cus!$AA642)</f>
        <v/>
      </c>
      <c r="D642" s="23" t="str">
        <f>IF($B642="","",(Acc!$H642*$C642))</f>
        <v/>
      </c>
      <c r="E642" s="24">
        <f>IF(C642&lt;=CommissionDD!$E$3,CommissionDD!$C$3,IF(C642&lt;=CommissionDD!$E$4,CommissionDD!$C$4,IF(C642&lt;=CommissionDD!$E$5,CommissionDD!$C$5,IF(C642&lt;=CommissionDD!$E$6,CommissionDD!$C$6,IF(C642&lt;=CommissionDD!$E$7,CommissionDD!$C$7,IF(C642&lt;=CommissionDD!$E$8,CommissionDD!$C$8,CommissionDD!$C$9))))))</f>
        <v>0.03</v>
      </c>
      <c r="F642" s="23" t="str">
        <f t="shared" si="29"/>
        <v/>
      </c>
      <c r="G642" s="23" t="str">
        <f>IF($B642="","",(Acc!$F642*CommissionDD!$C$30))</f>
        <v/>
      </c>
      <c r="H642" s="23" t="str">
        <f t="shared" ref="H642:H705" si="30">IF($B642="","",F642+G642)</f>
        <v/>
      </c>
    </row>
    <row r="643" spans="1:8">
      <c r="A643" s="21" t="str">
        <f t="shared" ref="A643:A706" si="31">IF($B643="","",(ROW($A642)))</f>
        <v/>
      </c>
      <c r="B643" s="1" t="str">
        <f>IF(Cus!$B643&lt;&gt;"",Cus!$A643,"")</f>
        <v/>
      </c>
      <c r="C643" s="22" t="str">
        <f>IF($B643="","",Cus!$AA643)</f>
        <v/>
      </c>
      <c r="D643" s="23" t="str">
        <f>IF($B643="","",(Acc!$H643*$C643))</f>
        <v/>
      </c>
      <c r="E643" s="24">
        <f>IF(C643&lt;=CommissionDD!$E$3,CommissionDD!$C$3,IF(C643&lt;=CommissionDD!$E$4,CommissionDD!$C$4,IF(C643&lt;=CommissionDD!$E$5,CommissionDD!$C$5,IF(C643&lt;=CommissionDD!$E$6,CommissionDD!$C$6,IF(C643&lt;=CommissionDD!$E$7,CommissionDD!$C$7,IF(C643&lt;=CommissionDD!$E$8,CommissionDD!$C$8,CommissionDD!$C$9))))))</f>
        <v>0.03</v>
      </c>
      <c r="F643" s="23" t="str">
        <f t="shared" si="29"/>
        <v/>
      </c>
      <c r="G643" s="23" t="str">
        <f>IF($B643="","",(Acc!$F643*CommissionDD!$C$30))</f>
        <v/>
      </c>
      <c r="H643" s="23" t="str">
        <f t="shared" si="30"/>
        <v/>
      </c>
    </row>
    <row r="644" spans="1:8">
      <c r="A644" s="21" t="str">
        <f t="shared" si="31"/>
        <v/>
      </c>
      <c r="B644" s="1" t="str">
        <f>IF(Cus!$B644&lt;&gt;"",Cus!$A644,"")</f>
        <v/>
      </c>
      <c r="C644" s="22" t="str">
        <f>IF($B644="","",Cus!$AA644)</f>
        <v/>
      </c>
      <c r="D644" s="23" t="str">
        <f>IF($B644="","",(Acc!$H644*$C644))</f>
        <v/>
      </c>
      <c r="E644" s="24">
        <f>IF(C644&lt;=CommissionDD!$E$3,CommissionDD!$C$3,IF(C644&lt;=CommissionDD!$E$4,CommissionDD!$C$4,IF(C644&lt;=CommissionDD!$E$5,CommissionDD!$C$5,IF(C644&lt;=CommissionDD!$E$6,CommissionDD!$C$6,IF(C644&lt;=CommissionDD!$E$7,CommissionDD!$C$7,IF(C644&lt;=CommissionDD!$E$8,CommissionDD!$C$8,CommissionDD!$C$9))))))</f>
        <v>0.03</v>
      </c>
      <c r="F644" s="23" t="str">
        <f t="shared" si="29"/>
        <v/>
      </c>
      <c r="G644" s="23" t="str">
        <f>IF($B644="","",(Acc!$F644*CommissionDD!$C$30))</f>
        <v/>
      </c>
      <c r="H644" s="23" t="str">
        <f t="shared" si="30"/>
        <v/>
      </c>
    </row>
    <row r="645" spans="1:8">
      <c r="A645" s="21" t="str">
        <f t="shared" si="31"/>
        <v/>
      </c>
      <c r="B645" s="1" t="str">
        <f>IF(Cus!$B645&lt;&gt;"",Cus!$A645,"")</f>
        <v/>
      </c>
      <c r="C645" s="22" t="str">
        <f>IF($B645="","",Cus!$AA645)</f>
        <v/>
      </c>
      <c r="D645" s="23" t="str">
        <f>IF($B645="","",(Acc!$H645*$C645))</f>
        <v/>
      </c>
      <c r="E645" s="24">
        <f>IF(C645&lt;=CommissionDD!$E$3,CommissionDD!$C$3,IF(C645&lt;=CommissionDD!$E$4,CommissionDD!$C$4,IF(C645&lt;=CommissionDD!$E$5,CommissionDD!$C$5,IF(C645&lt;=CommissionDD!$E$6,CommissionDD!$C$6,IF(C645&lt;=CommissionDD!$E$7,CommissionDD!$C$7,IF(C645&lt;=CommissionDD!$E$8,CommissionDD!$C$8,CommissionDD!$C$9))))))</f>
        <v>0.03</v>
      </c>
      <c r="F645" s="23" t="str">
        <f t="shared" ref="F645:F708" si="32">IF($B645="","",D645*E645)</f>
        <v/>
      </c>
      <c r="G645" s="23" t="str">
        <f>IF($B645="","",(Acc!$F645*CommissionDD!$C$30))</f>
        <v/>
      </c>
      <c r="H645" s="23" t="str">
        <f t="shared" si="30"/>
        <v/>
      </c>
    </row>
    <row r="646" spans="1:8">
      <c r="A646" s="21" t="str">
        <f t="shared" si="31"/>
        <v/>
      </c>
      <c r="B646" s="1" t="str">
        <f>IF(Cus!$B646&lt;&gt;"",Cus!$A646,"")</f>
        <v/>
      </c>
      <c r="C646" s="22" t="str">
        <f>IF($B646="","",Cus!$AA646)</f>
        <v/>
      </c>
      <c r="D646" s="23" t="str">
        <f>IF($B646="","",(Acc!$H646*$C646))</f>
        <v/>
      </c>
      <c r="E646" s="24">
        <f>IF(C646&lt;=CommissionDD!$E$3,CommissionDD!$C$3,IF(C646&lt;=CommissionDD!$E$4,CommissionDD!$C$4,IF(C646&lt;=CommissionDD!$E$5,CommissionDD!$C$5,IF(C646&lt;=CommissionDD!$E$6,CommissionDD!$C$6,IF(C646&lt;=CommissionDD!$E$7,CommissionDD!$C$7,IF(C646&lt;=CommissionDD!$E$8,CommissionDD!$C$8,CommissionDD!$C$9))))))</f>
        <v>0.03</v>
      </c>
      <c r="F646" s="23" t="str">
        <f t="shared" si="32"/>
        <v/>
      </c>
      <c r="G646" s="23" t="str">
        <f>IF($B646="","",(Acc!$F646*CommissionDD!$C$30))</f>
        <v/>
      </c>
      <c r="H646" s="23" t="str">
        <f t="shared" si="30"/>
        <v/>
      </c>
    </row>
    <row r="647" spans="1:8">
      <c r="A647" s="21" t="str">
        <f t="shared" si="31"/>
        <v/>
      </c>
      <c r="B647" s="1" t="str">
        <f>IF(Cus!$B647&lt;&gt;"",Cus!$A647,"")</f>
        <v/>
      </c>
      <c r="C647" s="22" t="str">
        <f>IF($B647="","",Cus!$AA647)</f>
        <v/>
      </c>
      <c r="D647" s="23" t="str">
        <f>IF($B647="","",(Acc!$H647*$C647))</f>
        <v/>
      </c>
      <c r="E647" s="24">
        <f>IF(C647&lt;=CommissionDD!$E$3,CommissionDD!$C$3,IF(C647&lt;=CommissionDD!$E$4,CommissionDD!$C$4,IF(C647&lt;=CommissionDD!$E$5,CommissionDD!$C$5,IF(C647&lt;=CommissionDD!$E$6,CommissionDD!$C$6,IF(C647&lt;=CommissionDD!$E$7,CommissionDD!$C$7,IF(C647&lt;=CommissionDD!$E$8,CommissionDD!$C$8,CommissionDD!$C$9))))))</f>
        <v>0.03</v>
      </c>
      <c r="F647" s="23" t="str">
        <f t="shared" si="32"/>
        <v/>
      </c>
      <c r="G647" s="23" t="str">
        <f>IF($B647="","",(Acc!$F647*CommissionDD!$C$30))</f>
        <v/>
      </c>
      <c r="H647" s="23" t="str">
        <f t="shared" si="30"/>
        <v/>
      </c>
    </row>
    <row r="648" spans="1:8">
      <c r="A648" s="21" t="str">
        <f t="shared" si="31"/>
        <v/>
      </c>
      <c r="B648" s="1" t="str">
        <f>IF(Cus!$B648&lt;&gt;"",Cus!$A648,"")</f>
        <v/>
      </c>
      <c r="C648" s="22" t="str">
        <f>IF($B648="","",Cus!$AA648)</f>
        <v/>
      </c>
      <c r="D648" s="23" t="str">
        <f>IF($B648="","",(Acc!$H648*$C648))</f>
        <v/>
      </c>
      <c r="E648" s="24">
        <f>IF(C648&lt;=CommissionDD!$E$3,CommissionDD!$C$3,IF(C648&lt;=CommissionDD!$E$4,CommissionDD!$C$4,IF(C648&lt;=CommissionDD!$E$5,CommissionDD!$C$5,IF(C648&lt;=CommissionDD!$E$6,CommissionDD!$C$6,IF(C648&lt;=CommissionDD!$E$7,CommissionDD!$C$7,IF(C648&lt;=CommissionDD!$E$8,CommissionDD!$C$8,CommissionDD!$C$9))))))</f>
        <v>0.03</v>
      </c>
      <c r="F648" s="23" t="str">
        <f t="shared" si="32"/>
        <v/>
      </c>
      <c r="G648" s="23" t="str">
        <f>IF($B648="","",(Acc!$F648*CommissionDD!$C$30))</f>
        <v/>
      </c>
      <c r="H648" s="23" t="str">
        <f t="shared" si="30"/>
        <v/>
      </c>
    </row>
    <row r="649" spans="1:8">
      <c r="A649" s="21" t="str">
        <f t="shared" si="31"/>
        <v/>
      </c>
      <c r="B649" s="1" t="str">
        <f>IF(Cus!$B649&lt;&gt;"",Cus!$A649,"")</f>
        <v/>
      </c>
      <c r="C649" s="22" t="str">
        <f>IF($B649="","",Cus!$AA649)</f>
        <v/>
      </c>
      <c r="D649" s="23" t="str">
        <f>IF($B649="","",(Acc!$H649*$C649))</f>
        <v/>
      </c>
      <c r="E649" s="24">
        <f>IF(C649&lt;=CommissionDD!$E$3,CommissionDD!$C$3,IF(C649&lt;=CommissionDD!$E$4,CommissionDD!$C$4,IF(C649&lt;=CommissionDD!$E$5,CommissionDD!$C$5,IF(C649&lt;=CommissionDD!$E$6,CommissionDD!$C$6,IF(C649&lt;=CommissionDD!$E$7,CommissionDD!$C$7,IF(C649&lt;=CommissionDD!$E$8,CommissionDD!$C$8,CommissionDD!$C$9))))))</f>
        <v>0.03</v>
      </c>
      <c r="F649" s="23" t="str">
        <f t="shared" si="32"/>
        <v/>
      </c>
      <c r="G649" s="23" t="str">
        <f>IF($B649="","",(Acc!$F649*CommissionDD!$C$30))</f>
        <v/>
      </c>
      <c r="H649" s="23" t="str">
        <f t="shared" si="30"/>
        <v/>
      </c>
    </row>
    <row r="650" spans="1:8">
      <c r="A650" s="21" t="str">
        <f t="shared" si="31"/>
        <v/>
      </c>
      <c r="B650" s="1" t="str">
        <f>IF(Cus!$B650&lt;&gt;"",Cus!$A650,"")</f>
        <v/>
      </c>
      <c r="C650" s="22" t="str">
        <f>IF($B650="","",Cus!$AA650)</f>
        <v/>
      </c>
      <c r="D650" s="23" t="str">
        <f>IF($B650="","",(Acc!$H650*$C650))</f>
        <v/>
      </c>
      <c r="E650" s="24">
        <f>IF(C650&lt;=CommissionDD!$E$3,CommissionDD!$C$3,IF(C650&lt;=CommissionDD!$E$4,CommissionDD!$C$4,IF(C650&lt;=CommissionDD!$E$5,CommissionDD!$C$5,IF(C650&lt;=CommissionDD!$E$6,CommissionDD!$C$6,IF(C650&lt;=CommissionDD!$E$7,CommissionDD!$C$7,IF(C650&lt;=CommissionDD!$E$8,CommissionDD!$C$8,CommissionDD!$C$9))))))</f>
        <v>0.03</v>
      </c>
      <c r="F650" s="23" t="str">
        <f t="shared" si="32"/>
        <v/>
      </c>
      <c r="G650" s="23" t="str">
        <f>IF($B650="","",(Acc!$F650*CommissionDD!$C$30))</f>
        <v/>
      </c>
      <c r="H650" s="23" t="str">
        <f t="shared" si="30"/>
        <v/>
      </c>
    </row>
    <row r="651" spans="1:8">
      <c r="A651" s="21" t="str">
        <f t="shared" si="31"/>
        <v/>
      </c>
      <c r="B651" s="1" t="str">
        <f>IF(Cus!$B651&lt;&gt;"",Cus!$A651,"")</f>
        <v/>
      </c>
      <c r="C651" s="22" t="str">
        <f>IF($B651="","",Cus!$AA651)</f>
        <v/>
      </c>
      <c r="D651" s="23" t="str">
        <f>IF($B651="","",(Acc!$H651*$C651))</f>
        <v/>
      </c>
      <c r="E651" s="24">
        <f>IF(C651&lt;=CommissionDD!$E$3,CommissionDD!$C$3,IF(C651&lt;=CommissionDD!$E$4,CommissionDD!$C$4,IF(C651&lt;=CommissionDD!$E$5,CommissionDD!$C$5,IF(C651&lt;=CommissionDD!$E$6,CommissionDD!$C$6,IF(C651&lt;=CommissionDD!$E$7,CommissionDD!$C$7,IF(C651&lt;=CommissionDD!$E$8,CommissionDD!$C$8,CommissionDD!$C$9))))))</f>
        <v>0.03</v>
      </c>
      <c r="F651" s="23" t="str">
        <f t="shared" si="32"/>
        <v/>
      </c>
      <c r="G651" s="23" t="str">
        <f>IF($B651="","",(Acc!$F651*CommissionDD!$C$30))</f>
        <v/>
      </c>
      <c r="H651" s="23" t="str">
        <f t="shared" si="30"/>
        <v/>
      </c>
    </row>
    <row r="652" spans="1:8">
      <c r="A652" s="21" t="str">
        <f t="shared" si="31"/>
        <v/>
      </c>
      <c r="B652" s="1" t="str">
        <f>IF(Cus!$B652&lt;&gt;"",Cus!$A652,"")</f>
        <v/>
      </c>
      <c r="C652" s="22" t="str">
        <f>IF($B652="","",Cus!$AA652)</f>
        <v/>
      </c>
      <c r="D652" s="23" t="str">
        <f>IF($B652="","",(Acc!$H652*$C652))</f>
        <v/>
      </c>
      <c r="E652" s="24">
        <f>IF(C652&lt;=CommissionDD!$E$3,CommissionDD!$C$3,IF(C652&lt;=CommissionDD!$E$4,CommissionDD!$C$4,IF(C652&lt;=CommissionDD!$E$5,CommissionDD!$C$5,IF(C652&lt;=CommissionDD!$E$6,CommissionDD!$C$6,IF(C652&lt;=CommissionDD!$E$7,CommissionDD!$C$7,IF(C652&lt;=CommissionDD!$E$8,CommissionDD!$C$8,CommissionDD!$C$9))))))</f>
        <v>0.03</v>
      </c>
      <c r="F652" s="23" t="str">
        <f t="shared" si="32"/>
        <v/>
      </c>
      <c r="G652" s="23" t="str">
        <f>IF($B652="","",(Acc!$F652*CommissionDD!$C$30))</f>
        <v/>
      </c>
      <c r="H652" s="23" t="str">
        <f t="shared" si="30"/>
        <v/>
      </c>
    </row>
    <row r="653" spans="1:8">
      <c r="A653" s="21" t="str">
        <f t="shared" si="31"/>
        <v/>
      </c>
      <c r="B653" s="1" t="str">
        <f>IF(Cus!$B653&lt;&gt;"",Cus!$A653,"")</f>
        <v/>
      </c>
      <c r="C653" s="22" t="str">
        <f>IF($B653="","",Cus!$AA653)</f>
        <v/>
      </c>
      <c r="D653" s="23" t="str">
        <f>IF($B653="","",(Acc!$H653*$C653))</f>
        <v/>
      </c>
      <c r="E653" s="24">
        <f>IF(C653&lt;=CommissionDD!$E$3,CommissionDD!$C$3,IF(C653&lt;=CommissionDD!$E$4,CommissionDD!$C$4,IF(C653&lt;=CommissionDD!$E$5,CommissionDD!$C$5,IF(C653&lt;=CommissionDD!$E$6,CommissionDD!$C$6,IF(C653&lt;=CommissionDD!$E$7,CommissionDD!$C$7,IF(C653&lt;=CommissionDD!$E$8,CommissionDD!$C$8,CommissionDD!$C$9))))))</f>
        <v>0.03</v>
      </c>
      <c r="F653" s="23" t="str">
        <f t="shared" si="32"/>
        <v/>
      </c>
      <c r="G653" s="23" t="str">
        <f>IF($B653="","",(Acc!$F653*CommissionDD!$C$30))</f>
        <v/>
      </c>
      <c r="H653" s="23" t="str">
        <f t="shared" si="30"/>
        <v/>
      </c>
    </row>
    <row r="654" spans="1:8">
      <c r="A654" s="21" t="str">
        <f t="shared" si="31"/>
        <v/>
      </c>
      <c r="B654" s="1" t="str">
        <f>IF(Cus!$B654&lt;&gt;"",Cus!$A654,"")</f>
        <v/>
      </c>
      <c r="C654" s="22" t="str">
        <f>IF($B654="","",Cus!$AA654)</f>
        <v/>
      </c>
      <c r="D654" s="23" t="str">
        <f>IF($B654="","",(Acc!$H654*$C654))</f>
        <v/>
      </c>
      <c r="E654" s="24">
        <f>IF(C654&lt;=CommissionDD!$E$3,CommissionDD!$C$3,IF(C654&lt;=CommissionDD!$E$4,CommissionDD!$C$4,IF(C654&lt;=CommissionDD!$E$5,CommissionDD!$C$5,IF(C654&lt;=CommissionDD!$E$6,CommissionDD!$C$6,IF(C654&lt;=CommissionDD!$E$7,CommissionDD!$C$7,IF(C654&lt;=CommissionDD!$E$8,CommissionDD!$C$8,CommissionDD!$C$9))))))</f>
        <v>0.03</v>
      </c>
      <c r="F654" s="23" t="str">
        <f t="shared" si="32"/>
        <v/>
      </c>
      <c r="G654" s="23" t="str">
        <f>IF($B654="","",(Acc!$F654*CommissionDD!$C$30))</f>
        <v/>
      </c>
      <c r="H654" s="23" t="str">
        <f t="shared" si="30"/>
        <v/>
      </c>
    </row>
    <row r="655" spans="1:8">
      <c r="A655" s="21" t="str">
        <f t="shared" si="31"/>
        <v/>
      </c>
      <c r="B655" s="1" t="str">
        <f>IF(Cus!$B655&lt;&gt;"",Cus!$A655,"")</f>
        <v/>
      </c>
      <c r="C655" s="22" t="str">
        <f>IF($B655="","",Cus!$AA655)</f>
        <v/>
      </c>
      <c r="D655" s="23" t="str">
        <f>IF($B655="","",(Acc!$H655*$C655))</f>
        <v/>
      </c>
      <c r="E655" s="24">
        <f>IF(C655&lt;=CommissionDD!$E$3,CommissionDD!$C$3,IF(C655&lt;=CommissionDD!$E$4,CommissionDD!$C$4,IF(C655&lt;=CommissionDD!$E$5,CommissionDD!$C$5,IF(C655&lt;=CommissionDD!$E$6,CommissionDD!$C$6,IF(C655&lt;=CommissionDD!$E$7,CommissionDD!$C$7,IF(C655&lt;=CommissionDD!$E$8,CommissionDD!$C$8,CommissionDD!$C$9))))))</f>
        <v>0.03</v>
      </c>
      <c r="F655" s="23" t="str">
        <f t="shared" si="32"/>
        <v/>
      </c>
      <c r="G655" s="23" t="str">
        <f>IF($B655="","",(Acc!$F655*CommissionDD!$C$30))</f>
        <v/>
      </c>
      <c r="H655" s="23" t="str">
        <f t="shared" si="30"/>
        <v/>
      </c>
    </row>
    <row r="656" spans="1:8">
      <c r="A656" s="21" t="str">
        <f t="shared" si="31"/>
        <v/>
      </c>
      <c r="B656" s="1" t="str">
        <f>IF(Cus!$B656&lt;&gt;"",Cus!$A656,"")</f>
        <v/>
      </c>
      <c r="C656" s="22" t="str">
        <f>IF($B656="","",Cus!$AA656)</f>
        <v/>
      </c>
      <c r="D656" s="23" t="str">
        <f>IF($B656="","",(Acc!$H656*$C656))</f>
        <v/>
      </c>
      <c r="E656" s="24">
        <f>IF(C656&lt;=CommissionDD!$E$3,CommissionDD!$C$3,IF(C656&lt;=CommissionDD!$E$4,CommissionDD!$C$4,IF(C656&lt;=CommissionDD!$E$5,CommissionDD!$C$5,IF(C656&lt;=CommissionDD!$E$6,CommissionDD!$C$6,IF(C656&lt;=CommissionDD!$E$7,CommissionDD!$C$7,IF(C656&lt;=CommissionDD!$E$8,CommissionDD!$C$8,CommissionDD!$C$9))))))</f>
        <v>0.03</v>
      </c>
      <c r="F656" s="23" t="str">
        <f t="shared" si="32"/>
        <v/>
      </c>
      <c r="G656" s="23" t="str">
        <f>IF($B656="","",(Acc!$F656*CommissionDD!$C$30))</f>
        <v/>
      </c>
      <c r="H656" s="23" t="str">
        <f t="shared" si="30"/>
        <v/>
      </c>
    </row>
    <row r="657" spans="1:8">
      <c r="A657" s="21" t="str">
        <f t="shared" si="31"/>
        <v/>
      </c>
      <c r="B657" s="1" t="str">
        <f>IF(Cus!$B657&lt;&gt;"",Cus!$A657,"")</f>
        <v/>
      </c>
      <c r="C657" s="22" t="str">
        <f>IF($B657="","",Cus!$AA657)</f>
        <v/>
      </c>
      <c r="D657" s="23" t="str">
        <f>IF($B657="","",(Acc!$H657*$C657))</f>
        <v/>
      </c>
      <c r="E657" s="24">
        <f>IF(C657&lt;=CommissionDD!$E$3,CommissionDD!$C$3,IF(C657&lt;=CommissionDD!$E$4,CommissionDD!$C$4,IF(C657&lt;=CommissionDD!$E$5,CommissionDD!$C$5,IF(C657&lt;=CommissionDD!$E$6,CommissionDD!$C$6,IF(C657&lt;=CommissionDD!$E$7,CommissionDD!$C$7,IF(C657&lt;=CommissionDD!$E$8,CommissionDD!$C$8,CommissionDD!$C$9))))))</f>
        <v>0.03</v>
      </c>
      <c r="F657" s="23" t="str">
        <f t="shared" si="32"/>
        <v/>
      </c>
      <c r="G657" s="23" t="str">
        <f>IF($B657="","",(Acc!$F657*CommissionDD!$C$30))</f>
        <v/>
      </c>
      <c r="H657" s="23" t="str">
        <f t="shared" si="30"/>
        <v/>
      </c>
    </row>
    <row r="658" spans="1:8">
      <c r="A658" s="21" t="str">
        <f t="shared" si="31"/>
        <v/>
      </c>
      <c r="B658" s="1" t="str">
        <f>IF(Cus!$B658&lt;&gt;"",Cus!$A658,"")</f>
        <v/>
      </c>
      <c r="C658" s="22" t="str">
        <f>IF($B658="","",Cus!$AA658)</f>
        <v/>
      </c>
      <c r="D658" s="23" t="str">
        <f>IF($B658="","",(Acc!$H658*$C658))</f>
        <v/>
      </c>
      <c r="E658" s="24">
        <f>IF(C658&lt;=CommissionDD!$E$3,CommissionDD!$C$3,IF(C658&lt;=CommissionDD!$E$4,CommissionDD!$C$4,IF(C658&lt;=CommissionDD!$E$5,CommissionDD!$C$5,IF(C658&lt;=CommissionDD!$E$6,CommissionDD!$C$6,IF(C658&lt;=CommissionDD!$E$7,CommissionDD!$C$7,IF(C658&lt;=CommissionDD!$E$8,CommissionDD!$C$8,CommissionDD!$C$9))))))</f>
        <v>0.03</v>
      </c>
      <c r="F658" s="23" t="str">
        <f t="shared" si="32"/>
        <v/>
      </c>
      <c r="G658" s="23" t="str">
        <f>IF($B658="","",(Acc!$F658*CommissionDD!$C$30))</f>
        <v/>
      </c>
      <c r="H658" s="23" t="str">
        <f t="shared" si="30"/>
        <v/>
      </c>
    </row>
    <row r="659" spans="1:8">
      <c r="A659" s="21" t="str">
        <f t="shared" si="31"/>
        <v/>
      </c>
      <c r="B659" s="1" t="str">
        <f>IF(Cus!$B659&lt;&gt;"",Cus!$A659,"")</f>
        <v/>
      </c>
      <c r="C659" s="22" t="str">
        <f>IF($B659="","",Cus!$AA659)</f>
        <v/>
      </c>
      <c r="D659" s="23" t="str">
        <f>IF($B659="","",(Acc!$H659*$C659))</f>
        <v/>
      </c>
      <c r="E659" s="24">
        <f>IF(C659&lt;=CommissionDD!$E$3,CommissionDD!$C$3,IF(C659&lt;=CommissionDD!$E$4,CommissionDD!$C$4,IF(C659&lt;=CommissionDD!$E$5,CommissionDD!$C$5,IF(C659&lt;=CommissionDD!$E$6,CommissionDD!$C$6,IF(C659&lt;=CommissionDD!$E$7,CommissionDD!$C$7,IF(C659&lt;=CommissionDD!$E$8,CommissionDD!$C$8,CommissionDD!$C$9))))))</f>
        <v>0.03</v>
      </c>
      <c r="F659" s="23" t="str">
        <f t="shared" si="32"/>
        <v/>
      </c>
      <c r="G659" s="23" t="str">
        <f>IF($B659="","",(Acc!$F659*CommissionDD!$C$30))</f>
        <v/>
      </c>
      <c r="H659" s="23" t="str">
        <f t="shared" si="30"/>
        <v/>
      </c>
    </row>
    <row r="660" spans="1:8">
      <c r="A660" s="21" t="str">
        <f t="shared" si="31"/>
        <v/>
      </c>
      <c r="B660" s="1" t="str">
        <f>IF(Cus!$B660&lt;&gt;"",Cus!$A660,"")</f>
        <v/>
      </c>
      <c r="C660" s="22" t="str">
        <f>IF($B660="","",Cus!$AA660)</f>
        <v/>
      </c>
      <c r="D660" s="23" t="str">
        <f>IF($B660="","",(Acc!$H660*$C660))</f>
        <v/>
      </c>
      <c r="E660" s="24">
        <f>IF(C660&lt;=CommissionDD!$E$3,CommissionDD!$C$3,IF(C660&lt;=CommissionDD!$E$4,CommissionDD!$C$4,IF(C660&lt;=CommissionDD!$E$5,CommissionDD!$C$5,IF(C660&lt;=CommissionDD!$E$6,CommissionDD!$C$6,IF(C660&lt;=CommissionDD!$E$7,CommissionDD!$C$7,IF(C660&lt;=CommissionDD!$E$8,CommissionDD!$C$8,CommissionDD!$C$9))))))</f>
        <v>0.03</v>
      </c>
      <c r="F660" s="23" t="str">
        <f t="shared" si="32"/>
        <v/>
      </c>
      <c r="G660" s="23" t="str">
        <f>IF($B660="","",(Acc!$F660*CommissionDD!$C$30))</f>
        <v/>
      </c>
      <c r="H660" s="23" t="str">
        <f t="shared" si="30"/>
        <v/>
      </c>
    </row>
    <row r="661" spans="1:8">
      <c r="A661" s="21" t="str">
        <f t="shared" si="31"/>
        <v/>
      </c>
      <c r="B661" s="1" t="str">
        <f>IF(Cus!$B661&lt;&gt;"",Cus!$A661,"")</f>
        <v/>
      </c>
      <c r="C661" s="22" t="str">
        <f>IF($B661="","",Cus!$AA661)</f>
        <v/>
      </c>
      <c r="D661" s="23" t="str">
        <f>IF($B661="","",(Acc!$H661*$C661))</f>
        <v/>
      </c>
      <c r="E661" s="24">
        <f>IF(C661&lt;=CommissionDD!$E$3,CommissionDD!$C$3,IF(C661&lt;=CommissionDD!$E$4,CommissionDD!$C$4,IF(C661&lt;=CommissionDD!$E$5,CommissionDD!$C$5,IF(C661&lt;=CommissionDD!$E$6,CommissionDD!$C$6,IF(C661&lt;=CommissionDD!$E$7,CommissionDD!$C$7,IF(C661&lt;=CommissionDD!$E$8,CommissionDD!$C$8,CommissionDD!$C$9))))))</f>
        <v>0.03</v>
      </c>
      <c r="F661" s="23" t="str">
        <f t="shared" si="32"/>
        <v/>
      </c>
      <c r="G661" s="23" t="str">
        <f>IF($B661="","",(Acc!$F661*CommissionDD!$C$30))</f>
        <v/>
      </c>
      <c r="H661" s="23" t="str">
        <f t="shared" si="30"/>
        <v/>
      </c>
    </row>
    <row r="662" spans="1:8">
      <c r="A662" s="21" t="str">
        <f t="shared" si="31"/>
        <v/>
      </c>
      <c r="B662" s="1" t="str">
        <f>IF(Cus!$B662&lt;&gt;"",Cus!$A662,"")</f>
        <v/>
      </c>
      <c r="C662" s="22" t="str">
        <f>IF($B662="","",Cus!$AA662)</f>
        <v/>
      </c>
      <c r="D662" s="23" t="str">
        <f>IF($B662="","",(Acc!$H662*$C662))</f>
        <v/>
      </c>
      <c r="E662" s="24">
        <f>IF(C662&lt;=CommissionDD!$E$3,CommissionDD!$C$3,IF(C662&lt;=CommissionDD!$E$4,CommissionDD!$C$4,IF(C662&lt;=CommissionDD!$E$5,CommissionDD!$C$5,IF(C662&lt;=CommissionDD!$E$6,CommissionDD!$C$6,IF(C662&lt;=CommissionDD!$E$7,CommissionDD!$C$7,IF(C662&lt;=CommissionDD!$E$8,CommissionDD!$C$8,CommissionDD!$C$9))))))</f>
        <v>0.03</v>
      </c>
      <c r="F662" s="23" t="str">
        <f t="shared" si="32"/>
        <v/>
      </c>
      <c r="G662" s="23" t="str">
        <f>IF($B662="","",(Acc!$F662*CommissionDD!$C$30))</f>
        <v/>
      </c>
      <c r="H662" s="23" t="str">
        <f t="shared" si="30"/>
        <v/>
      </c>
    </row>
    <row r="663" spans="1:8">
      <c r="A663" s="21" t="str">
        <f t="shared" si="31"/>
        <v/>
      </c>
      <c r="B663" s="1" t="str">
        <f>IF(Cus!$B663&lt;&gt;"",Cus!$A663,"")</f>
        <v/>
      </c>
      <c r="C663" s="22" t="str">
        <f>IF($B663="","",Cus!$AA663)</f>
        <v/>
      </c>
      <c r="D663" s="23" t="str">
        <f>IF($B663="","",(Acc!$H663*$C663))</f>
        <v/>
      </c>
      <c r="E663" s="24">
        <f>IF(C663&lt;=CommissionDD!$E$3,CommissionDD!$C$3,IF(C663&lt;=CommissionDD!$E$4,CommissionDD!$C$4,IF(C663&lt;=CommissionDD!$E$5,CommissionDD!$C$5,IF(C663&lt;=CommissionDD!$E$6,CommissionDD!$C$6,IF(C663&lt;=CommissionDD!$E$7,CommissionDD!$C$7,IF(C663&lt;=CommissionDD!$E$8,CommissionDD!$C$8,CommissionDD!$C$9))))))</f>
        <v>0.03</v>
      </c>
      <c r="F663" s="23" t="str">
        <f t="shared" si="32"/>
        <v/>
      </c>
      <c r="G663" s="23" t="str">
        <f>IF($B663="","",(Acc!$F663*CommissionDD!$C$30))</f>
        <v/>
      </c>
      <c r="H663" s="23" t="str">
        <f t="shared" si="30"/>
        <v/>
      </c>
    </row>
    <row r="664" spans="1:8">
      <c r="A664" s="21" t="str">
        <f t="shared" si="31"/>
        <v/>
      </c>
      <c r="B664" s="1" t="str">
        <f>IF(Cus!$B664&lt;&gt;"",Cus!$A664,"")</f>
        <v/>
      </c>
      <c r="C664" s="22" t="str">
        <f>IF($B664="","",Cus!$AA664)</f>
        <v/>
      </c>
      <c r="D664" s="23" t="str">
        <f>IF($B664="","",(Acc!$H664*$C664))</f>
        <v/>
      </c>
      <c r="E664" s="24">
        <f>IF(C664&lt;=CommissionDD!$E$3,CommissionDD!$C$3,IF(C664&lt;=CommissionDD!$E$4,CommissionDD!$C$4,IF(C664&lt;=CommissionDD!$E$5,CommissionDD!$C$5,IF(C664&lt;=CommissionDD!$E$6,CommissionDD!$C$6,IF(C664&lt;=CommissionDD!$E$7,CommissionDD!$C$7,IF(C664&lt;=CommissionDD!$E$8,CommissionDD!$C$8,CommissionDD!$C$9))))))</f>
        <v>0.03</v>
      </c>
      <c r="F664" s="23" t="str">
        <f t="shared" si="32"/>
        <v/>
      </c>
      <c r="G664" s="23" t="str">
        <f>IF($B664="","",(Acc!$F664*CommissionDD!$C$30))</f>
        <v/>
      </c>
      <c r="H664" s="23" t="str">
        <f t="shared" si="30"/>
        <v/>
      </c>
    </row>
    <row r="665" spans="1:8">
      <c r="A665" s="21" t="str">
        <f t="shared" si="31"/>
        <v/>
      </c>
      <c r="B665" s="1" t="str">
        <f>IF(Cus!$B665&lt;&gt;"",Cus!$A665,"")</f>
        <v/>
      </c>
      <c r="C665" s="22" t="str">
        <f>IF($B665="","",Cus!$AA665)</f>
        <v/>
      </c>
      <c r="D665" s="23" t="str">
        <f>IF($B665="","",(Acc!$H665*$C665))</f>
        <v/>
      </c>
      <c r="E665" s="24">
        <f>IF(C665&lt;=CommissionDD!$E$3,CommissionDD!$C$3,IF(C665&lt;=CommissionDD!$E$4,CommissionDD!$C$4,IF(C665&lt;=CommissionDD!$E$5,CommissionDD!$C$5,IF(C665&lt;=CommissionDD!$E$6,CommissionDD!$C$6,IF(C665&lt;=CommissionDD!$E$7,CommissionDD!$C$7,IF(C665&lt;=CommissionDD!$E$8,CommissionDD!$C$8,CommissionDD!$C$9))))))</f>
        <v>0.03</v>
      </c>
      <c r="F665" s="23" t="str">
        <f t="shared" si="32"/>
        <v/>
      </c>
      <c r="G665" s="23" t="str">
        <f>IF($B665="","",(Acc!$F665*CommissionDD!$C$30))</f>
        <v/>
      </c>
      <c r="H665" s="23" t="str">
        <f t="shared" si="30"/>
        <v/>
      </c>
    </row>
    <row r="666" spans="1:8">
      <c r="A666" s="21">
        <f t="shared" si="31"/>
        <v>665</v>
      </c>
      <c r="B666" s="1" t="str">
        <f>IF(Cus!$B666&lt;&gt;"",Cus!$A666,"")</f>
        <v>K0000665</v>
      </c>
      <c r="C666" s="22">
        <f>IF($B666="","",Cus!$AA666)</f>
        <v>1</v>
      </c>
      <c r="D666" s="23">
        <f>IF($B666="","",(Acc!$H666*$C666))</f>
        <v>395</v>
      </c>
      <c r="E666" s="24">
        <f>IF(C666&lt;=CommissionDD!$E$3,CommissionDD!$C$3,IF(C666&lt;=CommissionDD!$E$4,CommissionDD!$C$4,IF(C666&lt;=CommissionDD!$E$5,CommissionDD!$C$5,IF(C666&lt;=CommissionDD!$E$6,CommissionDD!$C$6,IF(C666&lt;=CommissionDD!$E$7,CommissionDD!$C$7,IF(C666&lt;=CommissionDD!$E$8,CommissionDD!$C$8,CommissionDD!$C$9))))))</f>
        <v>0.12</v>
      </c>
      <c r="F666" s="23">
        <f t="shared" si="32"/>
        <v>47.4</v>
      </c>
      <c r="G666" s="23">
        <f>IF($B666="","",(Acc!$F666*CommissionDD!$C$30))</f>
        <v>0</v>
      </c>
      <c r="H666" s="23">
        <f t="shared" si="30"/>
        <v>47.4</v>
      </c>
    </row>
    <row r="667" spans="1:8">
      <c r="A667" s="21">
        <f t="shared" si="31"/>
        <v>666</v>
      </c>
      <c r="B667" s="1" t="str">
        <f>IF(Cus!$B667&lt;&gt;"",Cus!$A667,"")</f>
        <v>K0000666</v>
      </c>
      <c r="C667" s="22">
        <f>IF($B667="","",Cus!$AA667)</f>
        <v>3</v>
      </c>
      <c r="D667" s="23">
        <f>IF($B667="","",(Acc!$H667*$C667))</f>
        <v>1185</v>
      </c>
      <c r="E667" s="24">
        <f>IF(C667&lt;=CommissionDD!$E$3,CommissionDD!$C$3,IF(C667&lt;=CommissionDD!$E$4,CommissionDD!$C$4,IF(C667&lt;=CommissionDD!$E$5,CommissionDD!$C$5,IF(C667&lt;=CommissionDD!$E$6,CommissionDD!$C$6,IF(C667&lt;=CommissionDD!$E$7,CommissionDD!$C$7,IF(C667&lt;=CommissionDD!$E$8,CommissionDD!$C$8,CommissionDD!$C$9))))))</f>
        <v>0.12</v>
      </c>
      <c r="F667" s="23">
        <f t="shared" si="32"/>
        <v>142.19999999999999</v>
      </c>
      <c r="G667" s="23">
        <f>IF($B667="","",(Acc!$F667*CommissionDD!$C$30))</f>
        <v>0</v>
      </c>
      <c r="H667" s="23">
        <f t="shared" si="30"/>
        <v>142.19999999999999</v>
      </c>
    </row>
    <row r="668" spans="1:8">
      <c r="A668" s="21" t="str">
        <f t="shared" si="31"/>
        <v/>
      </c>
      <c r="B668" s="1" t="str">
        <f>IF(Cus!$B668&lt;&gt;"",Cus!$A668,"")</f>
        <v/>
      </c>
      <c r="C668" s="22" t="str">
        <f>IF($B668="","",Cus!$AA668)</f>
        <v/>
      </c>
      <c r="D668" s="23" t="str">
        <f>IF($B668="","",(Acc!$H668*$C668))</f>
        <v/>
      </c>
      <c r="E668" s="24">
        <f>IF(C668&lt;=CommissionDD!$E$3,CommissionDD!$C$3,IF(C668&lt;=CommissionDD!$E$4,CommissionDD!$C$4,IF(C668&lt;=CommissionDD!$E$5,CommissionDD!$C$5,IF(C668&lt;=CommissionDD!$E$6,CommissionDD!$C$6,IF(C668&lt;=CommissionDD!$E$7,CommissionDD!$C$7,IF(C668&lt;=CommissionDD!$E$8,CommissionDD!$C$8,CommissionDD!$C$9))))))</f>
        <v>0.03</v>
      </c>
      <c r="F668" s="23" t="str">
        <f t="shared" si="32"/>
        <v/>
      </c>
      <c r="G668" s="23" t="str">
        <f>IF($B668="","",(Acc!$F668*CommissionDD!$C$30))</f>
        <v/>
      </c>
      <c r="H668" s="23" t="str">
        <f t="shared" si="30"/>
        <v/>
      </c>
    </row>
    <row r="669" spans="1:8">
      <c r="A669" s="21" t="str">
        <f t="shared" si="31"/>
        <v/>
      </c>
      <c r="B669" s="1" t="str">
        <f>IF(Cus!$B669&lt;&gt;"",Cus!$A669,"")</f>
        <v/>
      </c>
      <c r="C669" s="22" t="str">
        <f>IF($B669="","",Cus!$AA669)</f>
        <v/>
      </c>
      <c r="D669" s="23" t="str">
        <f>IF($B669="","",(Acc!$H669*$C669))</f>
        <v/>
      </c>
      <c r="E669" s="24">
        <f>IF(C669&lt;=CommissionDD!$E$3,CommissionDD!$C$3,IF(C669&lt;=CommissionDD!$E$4,CommissionDD!$C$4,IF(C669&lt;=CommissionDD!$E$5,CommissionDD!$C$5,IF(C669&lt;=CommissionDD!$E$6,CommissionDD!$C$6,IF(C669&lt;=CommissionDD!$E$7,CommissionDD!$C$7,IF(C669&lt;=CommissionDD!$E$8,CommissionDD!$C$8,CommissionDD!$C$9))))))</f>
        <v>0.03</v>
      </c>
      <c r="F669" s="23" t="str">
        <f t="shared" si="32"/>
        <v/>
      </c>
      <c r="G669" s="23" t="str">
        <f>IF($B669="","",(Acc!$F669*CommissionDD!$C$30))</f>
        <v/>
      </c>
      <c r="H669" s="23" t="str">
        <f t="shared" si="30"/>
        <v/>
      </c>
    </row>
    <row r="670" spans="1:8">
      <c r="A670" s="21" t="str">
        <f t="shared" si="31"/>
        <v/>
      </c>
      <c r="B670" s="1" t="str">
        <f>IF(Cus!$B670&lt;&gt;"",Cus!$A670,"")</f>
        <v/>
      </c>
      <c r="C670" s="22" t="str">
        <f>IF($B670="","",Cus!$AA670)</f>
        <v/>
      </c>
      <c r="D670" s="23" t="str">
        <f>IF($B670="","",(Acc!$H670*$C670))</f>
        <v/>
      </c>
      <c r="E670" s="24">
        <f>IF(C670&lt;=CommissionDD!$E$3,CommissionDD!$C$3,IF(C670&lt;=CommissionDD!$E$4,CommissionDD!$C$4,IF(C670&lt;=CommissionDD!$E$5,CommissionDD!$C$5,IF(C670&lt;=CommissionDD!$E$6,CommissionDD!$C$6,IF(C670&lt;=CommissionDD!$E$7,CommissionDD!$C$7,IF(C670&lt;=CommissionDD!$E$8,CommissionDD!$C$8,CommissionDD!$C$9))))))</f>
        <v>0.03</v>
      </c>
      <c r="F670" s="23" t="str">
        <f t="shared" si="32"/>
        <v/>
      </c>
      <c r="G670" s="23" t="str">
        <f>IF($B670="","",(Acc!$F670*CommissionDD!$C$30))</f>
        <v/>
      </c>
      <c r="H670" s="23" t="str">
        <f t="shared" si="30"/>
        <v/>
      </c>
    </row>
    <row r="671" spans="1:8">
      <c r="A671" s="21">
        <f t="shared" si="31"/>
        <v>670</v>
      </c>
      <c r="B671" s="1" t="str">
        <f>IF(Cus!$B671&lt;&gt;"",Cus!$A671,"")</f>
        <v>K0000670</v>
      </c>
      <c r="C671" s="22">
        <f>IF($B671="","",Cus!$AA671)</f>
        <v>2</v>
      </c>
      <c r="D671" s="23">
        <f>IF($B671="","",(Acc!$H671*$C671))</f>
        <v>790</v>
      </c>
      <c r="E671" s="24">
        <f>IF(C671&lt;=CommissionDD!$E$3,CommissionDD!$C$3,IF(C671&lt;=CommissionDD!$E$4,CommissionDD!$C$4,IF(C671&lt;=CommissionDD!$E$5,CommissionDD!$C$5,IF(C671&lt;=CommissionDD!$E$6,CommissionDD!$C$6,IF(C671&lt;=CommissionDD!$E$7,CommissionDD!$C$7,IF(C671&lt;=CommissionDD!$E$8,CommissionDD!$C$8,CommissionDD!$C$9))))))</f>
        <v>0.12</v>
      </c>
      <c r="F671" s="23">
        <f t="shared" si="32"/>
        <v>94.8</v>
      </c>
      <c r="G671" s="23">
        <f>IF($B671="","",(Acc!$F671*CommissionDD!$C$30))</f>
        <v>0</v>
      </c>
      <c r="H671" s="23">
        <f t="shared" si="30"/>
        <v>94.8</v>
      </c>
    </row>
    <row r="672" spans="1:8">
      <c r="A672" s="21" t="str">
        <f t="shared" si="31"/>
        <v/>
      </c>
      <c r="B672" s="1" t="str">
        <f>IF(Cus!$B672&lt;&gt;"",Cus!$A672,"")</f>
        <v/>
      </c>
      <c r="C672" s="22" t="str">
        <f>IF($B672="","",Cus!$AA672)</f>
        <v/>
      </c>
      <c r="D672" s="23" t="str">
        <f>IF($B672="","",(Acc!$H672*$C672))</f>
        <v/>
      </c>
      <c r="E672" s="24">
        <f>IF(C672&lt;=CommissionDD!$E$3,CommissionDD!$C$3,IF(C672&lt;=CommissionDD!$E$4,CommissionDD!$C$4,IF(C672&lt;=CommissionDD!$E$5,CommissionDD!$C$5,IF(C672&lt;=CommissionDD!$E$6,CommissionDD!$C$6,IF(C672&lt;=CommissionDD!$E$7,CommissionDD!$C$7,IF(C672&lt;=CommissionDD!$E$8,CommissionDD!$C$8,CommissionDD!$C$9))))))</f>
        <v>0.03</v>
      </c>
      <c r="F672" s="23" t="str">
        <f t="shared" si="32"/>
        <v/>
      </c>
      <c r="G672" s="23" t="str">
        <f>IF($B672="","",(Acc!$F672*CommissionDD!$C$30))</f>
        <v/>
      </c>
      <c r="H672" s="23" t="str">
        <f t="shared" si="30"/>
        <v/>
      </c>
    </row>
    <row r="673" spans="1:8">
      <c r="A673" s="21" t="str">
        <f t="shared" si="31"/>
        <v/>
      </c>
      <c r="B673" s="1" t="str">
        <f>IF(Cus!$B673&lt;&gt;"",Cus!$A673,"")</f>
        <v/>
      </c>
      <c r="C673" s="22" t="str">
        <f>IF($B673="","",Cus!$AA673)</f>
        <v/>
      </c>
      <c r="D673" s="23" t="str">
        <f>IF($B673="","",(Acc!$H673*$C673))</f>
        <v/>
      </c>
      <c r="E673" s="24">
        <f>IF(C673&lt;=CommissionDD!$E$3,CommissionDD!$C$3,IF(C673&lt;=CommissionDD!$E$4,CommissionDD!$C$4,IF(C673&lt;=CommissionDD!$E$5,CommissionDD!$C$5,IF(C673&lt;=CommissionDD!$E$6,CommissionDD!$C$6,IF(C673&lt;=CommissionDD!$E$7,CommissionDD!$C$7,IF(C673&lt;=CommissionDD!$E$8,CommissionDD!$C$8,CommissionDD!$C$9))))))</f>
        <v>0.03</v>
      </c>
      <c r="F673" s="23" t="str">
        <f t="shared" si="32"/>
        <v/>
      </c>
      <c r="G673" s="23" t="str">
        <f>IF($B673="","",(Acc!$F673*CommissionDD!$C$30))</f>
        <v/>
      </c>
      <c r="H673" s="23" t="str">
        <f t="shared" si="30"/>
        <v/>
      </c>
    </row>
    <row r="674" spans="1:8">
      <c r="A674" s="21" t="str">
        <f t="shared" si="31"/>
        <v/>
      </c>
      <c r="B674" s="1" t="str">
        <f>IF(Cus!$B674&lt;&gt;"",Cus!$A674,"")</f>
        <v/>
      </c>
      <c r="C674" s="22" t="str">
        <f>IF($B674="","",Cus!$AA674)</f>
        <v/>
      </c>
      <c r="D674" s="23" t="str">
        <f>IF($B674="","",(Acc!$H674*$C674))</f>
        <v/>
      </c>
      <c r="E674" s="24">
        <f>IF(C674&lt;=CommissionDD!$E$3,CommissionDD!$C$3,IF(C674&lt;=CommissionDD!$E$4,CommissionDD!$C$4,IF(C674&lt;=CommissionDD!$E$5,CommissionDD!$C$5,IF(C674&lt;=CommissionDD!$E$6,CommissionDD!$C$6,IF(C674&lt;=CommissionDD!$E$7,CommissionDD!$C$7,IF(C674&lt;=CommissionDD!$E$8,CommissionDD!$C$8,CommissionDD!$C$9))))))</f>
        <v>0.03</v>
      </c>
      <c r="F674" s="23" t="str">
        <f t="shared" si="32"/>
        <v/>
      </c>
      <c r="G674" s="23" t="str">
        <f>IF($B674="","",(Acc!$F674*CommissionDD!$C$30))</f>
        <v/>
      </c>
      <c r="H674" s="23" t="str">
        <f t="shared" si="30"/>
        <v/>
      </c>
    </row>
    <row r="675" spans="1:8">
      <c r="A675" s="21" t="str">
        <f t="shared" si="31"/>
        <v/>
      </c>
      <c r="B675" s="1" t="str">
        <f>IF(Cus!$B675&lt;&gt;"",Cus!$A675,"")</f>
        <v/>
      </c>
      <c r="C675" s="22" t="str">
        <f>IF($B675="","",Cus!$AA675)</f>
        <v/>
      </c>
      <c r="D675" s="23" t="str">
        <f>IF($B675="","",(Acc!$H675*$C675))</f>
        <v/>
      </c>
      <c r="E675" s="24">
        <f>IF(C675&lt;=CommissionDD!$E$3,CommissionDD!$C$3,IF(C675&lt;=CommissionDD!$E$4,CommissionDD!$C$4,IF(C675&lt;=CommissionDD!$E$5,CommissionDD!$C$5,IF(C675&lt;=CommissionDD!$E$6,CommissionDD!$C$6,IF(C675&lt;=CommissionDD!$E$7,CommissionDD!$C$7,IF(C675&lt;=CommissionDD!$E$8,CommissionDD!$C$8,CommissionDD!$C$9))))))</f>
        <v>0.03</v>
      </c>
      <c r="F675" s="23" t="str">
        <f t="shared" si="32"/>
        <v/>
      </c>
      <c r="G675" s="23" t="str">
        <f>IF($B675="","",(Acc!$F675*CommissionDD!$C$30))</f>
        <v/>
      </c>
      <c r="H675" s="23" t="str">
        <f t="shared" si="30"/>
        <v/>
      </c>
    </row>
    <row r="676" spans="1:8">
      <c r="A676" s="21" t="str">
        <f t="shared" si="31"/>
        <v/>
      </c>
      <c r="B676" s="1" t="str">
        <f>IF(Cus!$B676&lt;&gt;"",Cus!$A676,"")</f>
        <v/>
      </c>
      <c r="C676" s="22" t="str">
        <f>IF($B676="","",Cus!$AA676)</f>
        <v/>
      </c>
      <c r="D676" s="23" t="str">
        <f>IF($B676="","",(Acc!$H676*$C676))</f>
        <v/>
      </c>
      <c r="E676" s="24">
        <f>IF(C676&lt;=CommissionDD!$E$3,CommissionDD!$C$3,IF(C676&lt;=CommissionDD!$E$4,CommissionDD!$C$4,IF(C676&lt;=CommissionDD!$E$5,CommissionDD!$C$5,IF(C676&lt;=CommissionDD!$E$6,CommissionDD!$C$6,IF(C676&lt;=CommissionDD!$E$7,CommissionDD!$C$7,IF(C676&lt;=CommissionDD!$E$8,CommissionDD!$C$8,CommissionDD!$C$9))))))</f>
        <v>0.03</v>
      </c>
      <c r="F676" s="23" t="str">
        <f t="shared" si="32"/>
        <v/>
      </c>
      <c r="G676" s="23" t="str">
        <f>IF($B676="","",(Acc!$F676*CommissionDD!$C$30))</f>
        <v/>
      </c>
      <c r="H676" s="23" t="str">
        <f t="shared" si="30"/>
        <v/>
      </c>
    </row>
    <row r="677" spans="1:8">
      <c r="A677" s="21">
        <f t="shared" si="31"/>
        <v>676</v>
      </c>
      <c r="B677" s="1" t="str">
        <f>IF(Cus!$B677&lt;&gt;"",Cus!$A677,"")</f>
        <v>K0000676</v>
      </c>
      <c r="C677" s="22">
        <f>IF($B677="","",Cus!$AA677)</f>
        <v>1</v>
      </c>
      <c r="D677" s="23">
        <f>IF($B677="","",(Acc!$H677*$C677))</f>
        <v>395</v>
      </c>
      <c r="E677" s="24">
        <f>IF(C677&lt;=CommissionDD!$E$3,CommissionDD!$C$3,IF(C677&lt;=CommissionDD!$E$4,CommissionDD!$C$4,IF(C677&lt;=CommissionDD!$E$5,CommissionDD!$C$5,IF(C677&lt;=CommissionDD!$E$6,CommissionDD!$C$6,IF(C677&lt;=CommissionDD!$E$7,CommissionDD!$C$7,IF(C677&lt;=CommissionDD!$E$8,CommissionDD!$C$8,CommissionDD!$C$9))))))</f>
        <v>0.12</v>
      </c>
      <c r="F677" s="23">
        <f t="shared" si="32"/>
        <v>47.4</v>
      </c>
      <c r="G677" s="23">
        <f>IF($B677="","",(Acc!$F677*CommissionDD!$C$30))</f>
        <v>0</v>
      </c>
      <c r="H677" s="23">
        <f t="shared" si="30"/>
        <v>47.4</v>
      </c>
    </row>
    <row r="678" spans="1:8">
      <c r="A678" s="21" t="str">
        <f t="shared" si="31"/>
        <v/>
      </c>
      <c r="B678" s="1" t="str">
        <f>IF(Cus!$B678&lt;&gt;"",Cus!$A678,"")</f>
        <v/>
      </c>
      <c r="C678" s="22" t="str">
        <f>IF($B678="","",Cus!$AA678)</f>
        <v/>
      </c>
      <c r="D678" s="23" t="str">
        <f>IF($B678="","",(Acc!$H678*$C678))</f>
        <v/>
      </c>
      <c r="E678" s="24">
        <f>IF(C678&lt;=CommissionDD!$E$3,CommissionDD!$C$3,IF(C678&lt;=CommissionDD!$E$4,CommissionDD!$C$4,IF(C678&lt;=CommissionDD!$E$5,CommissionDD!$C$5,IF(C678&lt;=CommissionDD!$E$6,CommissionDD!$C$6,IF(C678&lt;=CommissionDD!$E$7,CommissionDD!$C$7,IF(C678&lt;=CommissionDD!$E$8,CommissionDD!$C$8,CommissionDD!$C$9))))))</f>
        <v>0.03</v>
      </c>
      <c r="F678" s="23" t="str">
        <f t="shared" si="32"/>
        <v/>
      </c>
      <c r="G678" s="23" t="str">
        <f>IF($B678="","",(Acc!$F678*CommissionDD!$C$30))</f>
        <v/>
      </c>
      <c r="H678" s="23" t="str">
        <f t="shared" si="30"/>
        <v/>
      </c>
    </row>
    <row r="679" spans="1:8">
      <c r="A679" s="21" t="str">
        <f t="shared" si="31"/>
        <v/>
      </c>
      <c r="B679" s="1" t="str">
        <f>IF(Cus!$B679&lt;&gt;"",Cus!$A679,"")</f>
        <v/>
      </c>
      <c r="C679" s="22" t="str">
        <f>IF($B679="","",Cus!$AA679)</f>
        <v/>
      </c>
      <c r="D679" s="23" t="str">
        <f>IF($B679="","",(Acc!$H679*$C679))</f>
        <v/>
      </c>
      <c r="E679" s="24">
        <f>IF(C679&lt;=CommissionDD!$E$3,CommissionDD!$C$3,IF(C679&lt;=CommissionDD!$E$4,CommissionDD!$C$4,IF(C679&lt;=CommissionDD!$E$5,CommissionDD!$C$5,IF(C679&lt;=CommissionDD!$E$6,CommissionDD!$C$6,IF(C679&lt;=CommissionDD!$E$7,CommissionDD!$C$7,IF(C679&lt;=CommissionDD!$E$8,CommissionDD!$C$8,CommissionDD!$C$9))))))</f>
        <v>0.03</v>
      </c>
      <c r="F679" s="23" t="str">
        <f t="shared" si="32"/>
        <v/>
      </c>
      <c r="G679" s="23" t="str">
        <f>IF($B679="","",(Acc!$F679*CommissionDD!$C$30))</f>
        <v/>
      </c>
      <c r="H679" s="23" t="str">
        <f t="shared" si="30"/>
        <v/>
      </c>
    </row>
    <row r="680" spans="1:8">
      <c r="A680" s="21" t="str">
        <f t="shared" si="31"/>
        <v/>
      </c>
      <c r="B680" s="1" t="str">
        <f>IF(Cus!$B680&lt;&gt;"",Cus!$A680,"")</f>
        <v/>
      </c>
      <c r="C680" s="22" t="str">
        <f>IF($B680="","",Cus!$AA680)</f>
        <v/>
      </c>
      <c r="D680" s="23" t="str">
        <f>IF($B680="","",(Acc!$H680*$C680))</f>
        <v/>
      </c>
      <c r="E680" s="24">
        <f>IF(C680&lt;=CommissionDD!$E$3,CommissionDD!$C$3,IF(C680&lt;=CommissionDD!$E$4,CommissionDD!$C$4,IF(C680&lt;=CommissionDD!$E$5,CommissionDD!$C$5,IF(C680&lt;=CommissionDD!$E$6,CommissionDD!$C$6,IF(C680&lt;=CommissionDD!$E$7,CommissionDD!$C$7,IF(C680&lt;=CommissionDD!$E$8,CommissionDD!$C$8,CommissionDD!$C$9))))))</f>
        <v>0.03</v>
      </c>
      <c r="F680" s="23" t="str">
        <f t="shared" si="32"/>
        <v/>
      </c>
      <c r="G680" s="23" t="str">
        <f>IF($B680="","",(Acc!$F680*CommissionDD!$C$30))</f>
        <v/>
      </c>
      <c r="H680" s="23" t="str">
        <f t="shared" si="30"/>
        <v/>
      </c>
    </row>
    <row r="681" spans="1:8">
      <c r="A681" s="21" t="str">
        <f t="shared" si="31"/>
        <v/>
      </c>
      <c r="B681" s="1" t="str">
        <f>IF(Cus!$B681&lt;&gt;"",Cus!$A681,"")</f>
        <v/>
      </c>
      <c r="C681" s="22" t="str">
        <f>IF($B681="","",Cus!$AA681)</f>
        <v/>
      </c>
      <c r="D681" s="23" t="str">
        <f>IF($B681="","",(Acc!$H681*$C681))</f>
        <v/>
      </c>
      <c r="E681" s="24">
        <f>IF(C681&lt;=CommissionDD!$E$3,CommissionDD!$C$3,IF(C681&lt;=CommissionDD!$E$4,CommissionDD!$C$4,IF(C681&lt;=CommissionDD!$E$5,CommissionDD!$C$5,IF(C681&lt;=CommissionDD!$E$6,CommissionDD!$C$6,IF(C681&lt;=CommissionDD!$E$7,CommissionDD!$C$7,IF(C681&lt;=CommissionDD!$E$8,CommissionDD!$C$8,CommissionDD!$C$9))))))</f>
        <v>0.03</v>
      </c>
      <c r="F681" s="23" t="str">
        <f t="shared" si="32"/>
        <v/>
      </c>
      <c r="G681" s="23" t="str">
        <f>IF($B681="","",(Acc!$F681*CommissionDD!$C$30))</f>
        <v/>
      </c>
      <c r="H681" s="23" t="str">
        <f t="shared" si="30"/>
        <v/>
      </c>
    </row>
    <row r="682" spans="1:8">
      <c r="A682" s="21" t="str">
        <f t="shared" si="31"/>
        <v/>
      </c>
      <c r="B682" s="1" t="str">
        <f>IF(Cus!$B682&lt;&gt;"",Cus!$A682,"")</f>
        <v/>
      </c>
      <c r="C682" s="22" t="str">
        <f>IF($B682="","",Cus!$AA682)</f>
        <v/>
      </c>
      <c r="D682" s="23" t="str">
        <f>IF($B682="","",(Acc!$H682*$C682))</f>
        <v/>
      </c>
      <c r="E682" s="24">
        <f>IF(C682&lt;=CommissionDD!$E$3,CommissionDD!$C$3,IF(C682&lt;=CommissionDD!$E$4,CommissionDD!$C$4,IF(C682&lt;=CommissionDD!$E$5,CommissionDD!$C$5,IF(C682&lt;=CommissionDD!$E$6,CommissionDD!$C$6,IF(C682&lt;=CommissionDD!$E$7,CommissionDD!$C$7,IF(C682&lt;=CommissionDD!$E$8,CommissionDD!$C$8,CommissionDD!$C$9))))))</f>
        <v>0.03</v>
      </c>
      <c r="F682" s="23" t="str">
        <f t="shared" si="32"/>
        <v/>
      </c>
      <c r="G682" s="23" t="str">
        <f>IF($B682="","",(Acc!$F682*CommissionDD!$C$30))</f>
        <v/>
      </c>
      <c r="H682" s="23" t="str">
        <f t="shared" si="30"/>
        <v/>
      </c>
    </row>
    <row r="683" spans="1:8">
      <c r="A683" s="21" t="str">
        <f t="shared" si="31"/>
        <v/>
      </c>
      <c r="B683" s="1" t="str">
        <f>IF(Cus!$B683&lt;&gt;"",Cus!$A683,"")</f>
        <v/>
      </c>
      <c r="C683" s="22" t="str">
        <f>IF($B683="","",Cus!$AA683)</f>
        <v/>
      </c>
      <c r="D683" s="23" t="str">
        <f>IF($B683="","",(Acc!$H683*$C683))</f>
        <v/>
      </c>
      <c r="E683" s="24">
        <f>IF(C683&lt;=CommissionDD!$E$3,CommissionDD!$C$3,IF(C683&lt;=CommissionDD!$E$4,CommissionDD!$C$4,IF(C683&lt;=CommissionDD!$E$5,CommissionDD!$C$5,IF(C683&lt;=CommissionDD!$E$6,CommissionDD!$C$6,IF(C683&lt;=CommissionDD!$E$7,CommissionDD!$C$7,IF(C683&lt;=CommissionDD!$E$8,CommissionDD!$C$8,CommissionDD!$C$9))))))</f>
        <v>0.03</v>
      </c>
      <c r="F683" s="23" t="str">
        <f t="shared" si="32"/>
        <v/>
      </c>
      <c r="G683" s="23" t="str">
        <f>IF($B683="","",(Acc!$F683*CommissionDD!$C$30))</f>
        <v/>
      </c>
      <c r="H683" s="23" t="str">
        <f t="shared" si="30"/>
        <v/>
      </c>
    </row>
    <row r="684" spans="1:8">
      <c r="A684" s="21" t="str">
        <f t="shared" si="31"/>
        <v/>
      </c>
      <c r="B684" s="1" t="str">
        <f>IF(Cus!$B684&lt;&gt;"",Cus!$A684,"")</f>
        <v/>
      </c>
      <c r="C684" s="22" t="str">
        <f>IF($B684="","",Cus!$AA684)</f>
        <v/>
      </c>
      <c r="D684" s="23" t="str">
        <f>IF($B684="","",(Acc!$H684*$C684))</f>
        <v/>
      </c>
      <c r="E684" s="24">
        <f>IF(C684&lt;=CommissionDD!$E$3,CommissionDD!$C$3,IF(C684&lt;=CommissionDD!$E$4,CommissionDD!$C$4,IF(C684&lt;=CommissionDD!$E$5,CommissionDD!$C$5,IF(C684&lt;=CommissionDD!$E$6,CommissionDD!$C$6,IF(C684&lt;=CommissionDD!$E$7,CommissionDD!$C$7,IF(C684&lt;=CommissionDD!$E$8,CommissionDD!$C$8,CommissionDD!$C$9))))))</f>
        <v>0.03</v>
      </c>
      <c r="F684" s="23" t="str">
        <f t="shared" si="32"/>
        <v/>
      </c>
      <c r="G684" s="23" t="str">
        <f>IF($B684="","",(Acc!$F684*CommissionDD!$C$30))</f>
        <v/>
      </c>
      <c r="H684" s="23" t="str">
        <f t="shared" si="30"/>
        <v/>
      </c>
    </row>
    <row r="685" spans="1:8">
      <c r="A685" s="21" t="str">
        <f t="shared" si="31"/>
        <v/>
      </c>
      <c r="B685" s="1" t="str">
        <f>IF(Cus!$B685&lt;&gt;"",Cus!$A685,"")</f>
        <v/>
      </c>
      <c r="C685" s="22" t="str">
        <f>IF($B685="","",Cus!$AA685)</f>
        <v/>
      </c>
      <c r="D685" s="23" t="str">
        <f>IF($B685="","",(Acc!$H685*$C685))</f>
        <v/>
      </c>
      <c r="E685" s="24">
        <f>IF(C685&lt;=CommissionDD!$E$3,CommissionDD!$C$3,IF(C685&lt;=CommissionDD!$E$4,CommissionDD!$C$4,IF(C685&lt;=CommissionDD!$E$5,CommissionDD!$C$5,IF(C685&lt;=CommissionDD!$E$6,CommissionDD!$C$6,IF(C685&lt;=CommissionDD!$E$7,CommissionDD!$C$7,IF(C685&lt;=CommissionDD!$E$8,CommissionDD!$C$8,CommissionDD!$C$9))))))</f>
        <v>0.03</v>
      </c>
      <c r="F685" s="23" t="str">
        <f t="shared" si="32"/>
        <v/>
      </c>
      <c r="G685" s="23" t="str">
        <f>IF($B685="","",(Acc!$F685*CommissionDD!$C$30))</f>
        <v/>
      </c>
      <c r="H685" s="23" t="str">
        <f t="shared" si="30"/>
        <v/>
      </c>
    </row>
    <row r="686" spans="1:8">
      <c r="A686" s="21" t="str">
        <f t="shared" si="31"/>
        <v/>
      </c>
      <c r="B686" s="1" t="str">
        <f>IF(Cus!$B686&lt;&gt;"",Cus!$A686,"")</f>
        <v/>
      </c>
      <c r="C686" s="22" t="str">
        <f>IF($B686="","",Cus!$AA686)</f>
        <v/>
      </c>
      <c r="D686" s="23" t="str">
        <f>IF($B686="","",(Acc!$H686*$C686))</f>
        <v/>
      </c>
      <c r="E686" s="24">
        <f>IF(C686&lt;=CommissionDD!$E$3,CommissionDD!$C$3,IF(C686&lt;=CommissionDD!$E$4,CommissionDD!$C$4,IF(C686&lt;=CommissionDD!$E$5,CommissionDD!$C$5,IF(C686&lt;=CommissionDD!$E$6,CommissionDD!$C$6,IF(C686&lt;=CommissionDD!$E$7,CommissionDD!$C$7,IF(C686&lt;=CommissionDD!$E$8,CommissionDD!$C$8,CommissionDD!$C$9))))))</f>
        <v>0.03</v>
      </c>
      <c r="F686" s="23" t="str">
        <f t="shared" si="32"/>
        <v/>
      </c>
      <c r="G686" s="23" t="str">
        <f>IF($B686="","",(Acc!$F686*CommissionDD!$C$30))</f>
        <v/>
      </c>
      <c r="H686" s="23" t="str">
        <f t="shared" si="30"/>
        <v/>
      </c>
    </row>
    <row r="687" spans="1:8">
      <c r="A687" s="21" t="str">
        <f t="shared" si="31"/>
        <v/>
      </c>
      <c r="B687" s="1" t="str">
        <f>IF(Cus!$B687&lt;&gt;"",Cus!$A687,"")</f>
        <v/>
      </c>
      <c r="C687" s="22" t="str">
        <f>IF($B687="","",Cus!$AA687)</f>
        <v/>
      </c>
      <c r="D687" s="23" t="str">
        <f>IF($B687="","",(Acc!$H687*$C687))</f>
        <v/>
      </c>
      <c r="E687" s="24">
        <f>IF(C687&lt;=CommissionDD!$E$3,CommissionDD!$C$3,IF(C687&lt;=CommissionDD!$E$4,CommissionDD!$C$4,IF(C687&lt;=CommissionDD!$E$5,CommissionDD!$C$5,IF(C687&lt;=CommissionDD!$E$6,CommissionDD!$C$6,IF(C687&lt;=CommissionDD!$E$7,CommissionDD!$C$7,IF(C687&lt;=CommissionDD!$E$8,CommissionDD!$C$8,CommissionDD!$C$9))))))</f>
        <v>0.03</v>
      </c>
      <c r="F687" s="23" t="str">
        <f t="shared" si="32"/>
        <v/>
      </c>
      <c r="G687" s="23" t="str">
        <f>IF($B687="","",(Acc!$F687*CommissionDD!$C$30))</f>
        <v/>
      </c>
      <c r="H687" s="23" t="str">
        <f t="shared" si="30"/>
        <v/>
      </c>
    </row>
    <row r="688" spans="1:8">
      <c r="A688" s="21" t="str">
        <f t="shared" si="31"/>
        <v/>
      </c>
      <c r="B688" s="1" t="str">
        <f>IF(Cus!$B688&lt;&gt;"",Cus!$A688,"")</f>
        <v/>
      </c>
      <c r="C688" s="22" t="str">
        <f>IF($B688="","",Cus!$AA688)</f>
        <v/>
      </c>
      <c r="D688" s="23" t="str">
        <f>IF($B688="","",(Acc!$H688*$C688))</f>
        <v/>
      </c>
      <c r="E688" s="24">
        <f>IF(C688&lt;=CommissionDD!$E$3,CommissionDD!$C$3,IF(C688&lt;=CommissionDD!$E$4,CommissionDD!$C$4,IF(C688&lt;=CommissionDD!$E$5,CommissionDD!$C$5,IF(C688&lt;=CommissionDD!$E$6,CommissionDD!$C$6,IF(C688&lt;=CommissionDD!$E$7,CommissionDD!$C$7,IF(C688&lt;=CommissionDD!$E$8,CommissionDD!$C$8,CommissionDD!$C$9))))))</f>
        <v>0.03</v>
      </c>
      <c r="F688" s="23" t="str">
        <f t="shared" si="32"/>
        <v/>
      </c>
      <c r="G688" s="23" t="str">
        <f>IF($B688="","",(Acc!$F688*CommissionDD!$C$30))</f>
        <v/>
      </c>
      <c r="H688" s="23" t="str">
        <f t="shared" si="30"/>
        <v/>
      </c>
    </row>
    <row r="689" spans="1:8">
      <c r="A689" s="21" t="str">
        <f t="shared" si="31"/>
        <v/>
      </c>
      <c r="B689" s="1" t="str">
        <f>IF(Cus!$B689&lt;&gt;"",Cus!$A689,"")</f>
        <v/>
      </c>
      <c r="C689" s="22" t="str">
        <f>IF($B689="","",Cus!$AA689)</f>
        <v/>
      </c>
      <c r="D689" s="23" t="str">
        <f>IF($B689="","",(Acc!$H689*$C689))</f>
        <v/>
      </c>
      <c r="E689" s="24">
        <f>IF(C689&lt;=CommissionDD!$E$3,CommissionDD!$C$3,IF(C689&lt;=CommissionDD!$E$4,CommissionDD!$C$4,IF(C689&lt;=CommissionDD!$E$5,CommissionDD!$C$5,IF(C689&lt;=CommissionDD!$E$6,CommissionDD!$C$6,IF(C689&lt;=CommissionDD!$E$7,CommissionDD!$C$7,IF(C689&lt;=CommissionDD!$E$8,CommissionDD!$C$8,CommissionDD!$C$9))))))</f>
        <v>0.03</v>
      </c>
      <c r="F689" s="23" t="str">
        <f t="shared" si="32"/>
        <v/>
      </c>
      <c r="G689" s="23" t="str">
        <f>IF($B689="","",(Acc!$F689*CommissionDD!$C$30))</f>
        <v/>
      </c>
      <c r="H689" s="23" t="str">
        <f t="shared" si="30"/>
        <v/>
      </c>
    </row>
    <row r="690" spans="1:8">
      <c r="A690" s="21" t="str">
        <f t="shared" si="31"/>
        <v/>
      </c>
      <c r="B690" s="1" t="str">
        <f>IF(Cus!$B690&lt;&gt;"",Cus!$A690,"")</f>
        <v/>
      </c>
      <c r="C690" s="22" t="str">
        <f>IF($B690="","",Cus!$AA690)</f>
        <v/>
      </c>
      <c r="D690" s="23" t="str">
        <f>IF($B690="","",(Acc!$H690*$C690))</f>
        <v/>
      </c>
      <c r="E690" s="24">
        <f>IF(C690&lt;=CommissionDD!$E$3,CommissionDD!$C$3,IF(C690&lt;=CommissionDD!$E$4,CommissionDD!$C$4,IF(C690&lt;=CommissionDD!$E$5,CommissionDD!$C$5,IF(C690&lt;=CommissionDD!$E$6,CommissionDD!$C$6,IF(C690&lt;=CommissionDD!$E$7,CommissionDD!$C$7,IF(C690&lt;=CommissionDD!$E$8,CommissionDD!$C$8,CommissionDD!$C$9))))))</f>
        <v>0.03</v>
      </c>
      <c r="F690" s="23" t="str">
        <f t="shared" si="32"/>
        <v/>
      </c>
      <c r="G690" s="23" t="str">
        <f>IF($B690="","",(Acc!$F690*CommissionDD!$C$30))</f>
        <v/>
      </c>
      <c r="H690" s="23" t="str">
        <f t="shared" si="30"/>
        <v/>
      </c>
    </row>
    <row r="691" spans="1:8">
      <c r="A691" s="21">
        <f t="shared" si="31"/>
        <v>690</v>
      </c>
      <c r="B691" s="1" t="str">
        <f>IF(Cus!$B691&lt;&gt;"",Cus!$A691,"")</f>
        <v>K0000690</v>
      </c>
      <c r="C691" s="22">
        <f>IF($B691="","",Cus!$AA691)</f>
        <v>0</v>
      </c>
      <c r="D691" s="23">
        <f>IF($B691="","",(Acc!$H691*$C691))</f>
        <v>0</v>
      </c>
      <c r="E691" s="24">
        <f>IF(C691&lt;=CommissionDD!$E$3,CommissionDD!$C$3,IF(C691&lt;=CommissionDD!$E$4,CommissionDD!$C$4,IF(C691&lt;=CommissionDD!$E$5,CommissionDD!$C$5,IF(C691&lt;=CommissionDD!$E$6,CommissionDD!$C$6,IF(C691&lt;=CommissionDD!$E$7,CommissionDD!$C$7,IF(C691&lt;=CommissionDD!$E$8,CommissionDD!$C$8,CommissionDD!$C$9))))))</f>
        <v>0.12</v>
      </c>
      <c r="F691" s="23">
        <f t="shared" si="32"/>
        <v>0</v>
      </c>
      <c r="G691" s="23">
        <f>IF($B691="","",(Acc!$F691*CommissionDD!$C$30))</f>
        <v>0</v>
      </c>
      <c r="H691" s="23">
        <f t="shared" si="30"/>
        <v>0</v>
      </c>
    </row>
    <row r="692" spans="1:8">
      <c r="A692" s="21">
        <f t="shared" si="31"/>
        <v>691</v>
      </c>
      <c r="B692" s="1" t="str">
        <f>IF(Cus!$B692&lt;&gt;"",Cus!$A692,"")</f>
        <v>K0000691</v>
      </c>
      <c r="C692" s="22">
        <f>IF($B692="","",Cus!$AA692)</f>
        <v>0</v>
      </c>
      <c r="D692" s="23">
        <f>IF($B692="","",(Acc!$H692*$C692))</f>
        <v>0</v>
      </c>
      <c r="E692" s="24">
        <f>IF(C692&lt;=CommissionDD!$E$3,CommissionDD!$C$3,IF(C692&lt;=CommissionDD!$E$4,CommissionDD!$C$4,IF(C692&lt;=CommissionDD!$E$5,CommissionDD!$C$5,IF(C692&lt;=CommissionDD!$E$6,CommissionDD!$C$6,IF(C692&lt;=CommissionDD!$E$7,CommissionDD!$C$7,IF(C692&lt;=CommissionDD!$E$8,CommissionDD!$C$8,CommissionDD!$C$9))))))</f>
        <v>0.12</v>
      </c>
      <c r="F692" s="23">
        <f t="shared" si="32"/>
        <v>0</v>
      </c>
      <c r="G692" s="23">
        <f>IF($B692="","",(Acc!$F692*CommissionDD!$C$30))</f>
        <v>0</v>
      </c>
      <c r="H692" s="23">
        <f t="shared" si="30"/>
        <v>0</v>
      </c>
    </row>
    <row r="693" spans="1:8">
      <c r="A693" s="21" t="str">
        <f t="shared" si="31"/>
        <v/>
      </c>
      <c r="B693" s="1" t="str">
        <f>IF(Cus!$B693&lt;&gt;"",Cus!$A693,"")</f>
        <v/>
      </c>
      <c r="C693" s="22" t="str">
        <f>IF($B693="","",Cus!$AA693)</f>
        <v/>
      </c>
      <c r="D693" s="23" t="str">
        <f>IF($B693="","",(Acc!$H693*$C693))</f>
        <v/>
      </c>
      <c r="E693" s="24">
        <f>IF(C693&lt;=CommissionDD!$E$3,CommissionDD!$C$3,IF(C693&lt;=CommissionDD!$E$4,CommissionDD!$C$4,IF(C693&lt;=CommissionDD!$E$5,CommissionDD!$C$5,IF(C693&lt;=CommissionDD!$E$6,CommissionDD!$C$6,IF(C693&lt;=CommissionDD!$E$7,CommissionDD!$C$7,IF(C693&lt;=CommissionDD!$E$8,CommissionDD!$C$8,CommissionDD!$C$9))))))</f>
        <v>0.03</v>
      </c>
      <c r="F693" s="23" t="str">
        <f t="shared" si="32"/>
        <v/>
      </c>
      <c r="G693" s="23" t="str">
        <f>IF($B693="","",(Acc!$F693*CommissionDD!$C$30))</f>
        <v/>
      </c>
      <c r="H693" s="23" t="str">
        <f t="shared" si="30"/>
        <v/>
      </c>
    </row>
    <row r="694" spans="1:8">
      <c r="A694" s="21">
        <f t="shared" si="31"/>
        <v>693</v>
      </c>
      <c r="B694" s="1" t="str">
        <f>IF(Cus!$B694&lt;&gt;"",Cus!$A694,"")</f>
        <v>K0000693</v>
      </c>
      <c r="C694" s="22">
        <f>IF($B694="","",Cus!$AA694)</f>
        <v>0</v>
      </c>
      <c r="D694" s="23">
        <f>IF($B694="","",(Acc!$H694*$C694))</f>
        <v>0</v>
      </c>
      <c r="E694" s="24">
        <f>IF(C694&lt;=CommissionDD!$E$3,CommissionDD!$C$3,IF(C694&lt;=CommissionDD!$E$4,CommissionDD!$C$4,IF(C694&lt;=CommissionDD!$E$5,CommissionDD!$C$5,IF(C694&lt;=CommissionDD!$E$6,CommissionDD!$C$6,IF(C694&lt;=CommissionDD!$E$7,CommissionDD!$C$7,IF(C694&lt;=CommissionDD!$E$8,CommissionDD!$C$8,CommissionDD!$C$9))))))</f>
        <v>0.12</v>
      </c>
      <c r="F694" s="23">
        <f t="shared" si="32"/>
        <v>0</v>
      </c>
      <c r="G694" s="23">
        <f>IF($B694="","",(Acc!$F694*CommissionDD!$C$30))</f>
        <v>0</v>
      </c>
      <c r="H694" s="23">
        <f t="shared" si="30"/>
        <v>0</v>
      </c>
    </row>
    <row r="695" spans="1:8">
      <c r="A695" s="21" t="str">
        <f t="shared" si="31"/>
        <v/>
      </c>
      <c r="B695" s="1" t="str">
        <f>IF(Cus!$B695&lt;&gt;"",Cus!$A695,"")</f>
        <v/>
      </c>
      <c r="C695" s="22" t="str">
        <f>IF($B695="","",Cus!$AA695)</f>
        <v/>
      </c>
      <c r="D695" s="23" t="str">
        <f>IF($B695="","",(Acc!$H695*$C695))</f>
        <v/>
      </c>
      <c r="E695" s="24">
        <f>IF(C695&lt;=CommissionDD!$E$3,CommissionDD!$C$3,IF(C695&lt;=CommissionDD!$E$4,CommissionDD!$C$4,IF(C695&lt;=CommissionDD!$E$5,CommissionDD!$C$5,IF(C695&lt;=CommissionDD!$E$6,CommissionDD!$C$6,IF(C695&lt;=CommissionDD!$E$7,CommissionDD!$C$7,IF(C695&lt;=CommissionDD!$E$8,CommissionDD!$C$8,CommissionDD!$C$9))))))</f>
        <v>0.03</v>
      </c>
      <c r="F695" s="23" t="str">
        <f t="shared" si="32"/>
        <v/>
      </c>
      <c r="G695" s="23" t="str">
        <f>IF($B695="","",(Acc!$F695*CommissionDD!$C$30))</f>
        <v/>
      </c>
      <c r="H695" s="23" t="str">
        <f t="shared" si="30"/>
        <v/>
      </c>
    </row>
    <row r="696" spans="1:8">
      <c r="A696" s="21">
        <f t="shared" si="31"/>
        <v>695</v>
      </c>
      <c r="B696" s="1" t="str">
        <f>IF(Cus!$B696&lt;&gt;"",Cus!$A696,"")</f>
        <v>K0000695</v>
      </c>
      <c r="C696" s="22">
        <f>IF($B696="","",Cus!$AA696)</f>
        <v>0</v>
      </c>
      <c r="D696" s="23">
        <f>IF($B696="","",(Acc!$H696*$C696))</f>
        <v>0</v>
      </c>
      <c r="E696" s="24">
        <f>IF(C696&lt;=CommissionDD!$E$3,CommissionDD!$C$3,IF(C696&lt;=CommissionDD!$E$4,CommissionDD!$C$4,IF(C696&lt;=CommissionDD!$E$5,CommissionDD!$C$5,IF(C696&lt;=CommissionDD!$E$6,CommissionDD!$C$6,IF(C696&lt;=CommissionDD!$E$7,CommissionDD!$C$7,IF(C696&lt;=CommissionDD!$E$8,CommissionDD!$C$8,CommissionDD!$C$9))))))</f>
        <v>0.12</v>
      </c>
      <c r="F696" s="23">
        <f t="shared" si="32"/>
        <v>0</v>
      </c>
      <c r="G696" s="23">
        <f>IF($B696="","",(Acc!$F696*CommissionDD!$C$30))</f>
        <v>0</v>
      </c>
      <c r="H696" s="23">
        <f t="shared" si="30"/>
        <v>0</v>
      </c>
    </row>
    <row r="697" spans="1:8">
      <c r="A697" s="21" t="str">
        <f t="shared" si="31"/>
        <v/>
      </c>
      <c r="B697" s="1" t="str">
        <f>IF(Cus!$B697&lt;&gt;"",Cus!$A697,"")</f>
        <v/>
      </c>
      <c r="C697" s="22" t="str">
        <f>IF($B697="","",Cus!$AA697)</f>
        <v/>
      </c>
      <c r="D697" s="23" t="str">
        <f>IF($B697="","",(Acc!$H697*$C697))</f>
        <v/>
      </c>
      <c r="E697" s="24">
        <f>IF(C697&lt;=CommissionDD!$E$3,CommissionDD!$C$3,IF(C697&lt;=CommissionDD!$E$4,CommissionDD!$C$4,IF(C697&lt;=CommissionDD!$E$5,CommissionDD!$C$5,IF(C697&lt;=CommissionDD!$E$6,CommissionDD!$C$6,IF(C697&lt;=CommissionDD!$E$7,CommissionDD!$C$7,IF(C697&lt;=CommissionDD!$E$8,CommissionDD!$C$8,CommissionDD!$C$9))))))</f>
        <v>0.03</v>
      </c>
      <c r="F697" s="23" t="str">
        <f t="shared" si="32"/>
        <v/>
      </c>
      <c r="G697" s="23" t="str">
        <f>IF($B697="","",(Acc!$F697*CommissionDD!$C$30))</f>
        <v/>
      </c>
      <c r="H697" s="23" t="str">
        <f t="shared" si="30"/>
        <v/>
      </c>
    </row>
    <row r="698" spans="1:8">
      <c r="A698" s="21" t="str">
        <f t="shared" si="31"/>
        <v/>
      </c>
      <c r="B698" s="1" t="str">
        <f>IF(Cus!$B698&lt;&gt;"",Cus!$A698,"")</f>
        <v/>
      </c>
      <c r="C698" s="22" t="str">
        <f>IF($B698="","",Cus!$AA698)</f>
        <v/>
      </c>
      <c r="D698" s="23" t="str">
        <f>IF($B698="","",(Acc!$H698*$C698))</f>
        <v/>
      </c>
      <c r="E698" s="24">
        <f>IF(C698&lt;=CommissionDD!$E$3,CommissionDD!$C$3,IF(C698&lt;=CommissionDD!$E$4,CommissionDD!$C$4,IF(C698&lt;=CommissionDD!$E$5,CommissionDD!$C$5,IF(C698&lt;=CommissionDD!$E$6,CommissionDD!$C$6,IF(C698&lt;=CommissionDD!$E$7,CommissionDD!$C$7,IF(C698&lt;=CommissionDD!$E$8,CommissionDD!$C$8,CommissionDD!$C$9))))))</f>
        <v>0.03</v>
      </c>
      <c r="F698" s="23" t="str">
        <f t="shared" si="32"/>
        <v/>
      </c>
      <c r="G698" s="23" t="str">
        <f>IF($B698="","",(Acc!$F698*CommissionDD!$C$30))</f>
        <v/>
      </c>
      <c r="H698" s="23" t="str">
        <f t="shared" si="30"/>
        <v/>
      </c>
    </row>
    <row r="699" spans="1:8">
      <c r="A699" s="21" t="str">
        <f t="shared" si="31"/>
        <v/>
      </c>
      <c r="B699" s="1" t="str">
        <f>IF(Cus!$B699&lt;&gt;"",Cus!$A699,"")</f>
        <v/>
      </c>
      <c r="C699" s="22" t="str">
        <f>IF($B699="","",Cus!$AA699)</f>
        <v/>
      </c>
      <c r="D699" s="23" t="str">
        <f>IF($B699="","",(Acc!$H699*$C699))</f>
        <v/>
      </c>
      <c r="E699" s="24">
        <f>IF(C699&lt;=CommissionDD!$E$3,CommissionDD!$C$3,IF(C699&lt;=CommissionDD!$E$4,CommissionDD!$C$4,IF(C699&lt;=CommissionDD!$E$5,CommissionDD!$C$5,IF(C699&lt;=CommissionDD!$E$6,CommissionDD!$C$6,IF(C699&lt;=CommissionDD!$E$7,CommissionDD!$C$7,IF(C699&lt;=CommissionDD!$E$8,CommissionDD!$C$8,CommissionDD!$C$9))))))</f>
        <v>0.03</v>
      </c>
      <c r="F699" s="23" t="str">
        <f t="shared" si="32"/>
        <v/>
      </c>
      <c r="G699" s="23" t="str">
        <f>IF($B699="","",(Acc!$F699*CommissionDD!$C$30))</f>
        <v/>
      </c>
      <c r="H699" s="23" t="str">
        <f t="shared" si="30"/>
        <v/>
      </c>
    </row>
    <row r="700" spans="1:8">
      <c r="A700" s="21" t="str">
        <f t="shared" si="31"/>
        <v/>
      </c>
      <c r="B700" s="1" t="str">
        <f>IF(Cus!$B700&lt;&gt;"",Cus!$A700,"")</f>
        <v/>
      </c>
      <c r="C700" s="22" t="str">
        <f>IF($B700="","",Cus!$AA700)</f>
        <v/>
      </c>
      <c r="D700" s="23" t="str">
        <f>IF($B700="","",(Acc!$H700*$C700))</f>
        <v/>
      </c>
      <c r="E700" s="24">
        <f>IF(C700&lt;=CommissionDD!$E$3,CommissionDD!$C$3,IF(C700&lt;=CommissionDD!$E$4,CommissionDD!$C$4,IF(C700&lt;=CommissionDD!$E$5,CommissionDD!$C$5,IF(C700&lt;=CommissionDD!$E$6,CommissionDD!$C$6,IF(C700&lt;=CommissionDD!$E$7,CommissionDD!$C$7,IF(C700&lt;=CommissionDD!$E$8,CommissionDD!$C$8,CommissionDD!$C$9))))))</f>
        <v>0.03</v>
      </c>
      <c r="F700" s="23" t="str">
        <f t="shared" si="32"/>
        <v/>
      </c>
      <c r="G700" s="23" t="str">
        <f>IF($B700="","",(Acc!$F700*CommissionDD!$C$30))</f>
        <v/>
      </c>
      <c r="H700" s="23" t="str">
        <f t="shared" si="30"/>
        <v/>
      </c>
    </row>
    <row r="701" spans="1:8">
      <c r="A701" s="21" t="str">
        <f t="shared" si="31"/>
        <v/>
      </c>
      <c r="B701" s="1" t="str">
        <f>IF(Cus!$B701&lt;&gt;"",Cus!$A701,"")</f>
        <v/>
      </c>
      <c r="C701" s="22" t="str">
        <f>IF($B701="","",Cus!$AA701)</f>
        <v/>
      </c>
      <c r="D701" s="23" t="str">
        <f>IF($B701="","",(Acc!$H701*$C701))</f>
        <v/>
      </c>
      <c r="E701" s="24">
        <f>IF(C701&lt;=CommissionDD!$E$3,CommissionDD!$C$3,IF(C701&lt;=CommissionDD!$E$4,CommissionDD!$C$4,IF(C701&lt;=CommissionDD!$E$5,CommissionDD!$C$5,IF(C701&lt;=CommissionDD!$E$6,CommissionDD!$C$6,IF(C701&lt;=CommissionDD!$E$7,CommissionDD!$C$7,IF(C701&lt;=CommissionDD!$E$8,CommissionDD!$C$8,CommissionDD!$C$9))))))</f>
        <v>0.03</v>
      </c>
      <c r="F701" s="23" t="str">
        <f t="shared" si="32"/>
        <v/>
      </c>
      <c r="G701" s="23" t="str">
        <f>IF($B701="","",(Acc!$F701*CommissionDD!$C$30))</f>
        <v/>
      </c>
      <c r="H701" s="23" t="str">
        <f t="shared" si="30"/>
        <v/>
      </c>
    </row>
    <row r="702" spans="1:8">
      <c r="A702" s="21" t="str">
        <f t="shared" si="31"/>
        <v/>
      </c>
      <c r="B702" s="1" t="str">
        <f>IF(Cus!$B702&lt;&gt;"",Cus!$A702,"")</f>
        <v/>
      </c>
      <c r="C702" s="22" t="str">
        <f>IF($B702="","",Cus!$AA702)</f>
        <v/>
      </c>
      <c r="D702" s="23" t="str">
        <f>IF($B702="","",(Acc!$H702*$C702))</f>
        <v/>
      </c>
      <c r="E702" s="24">
        <f>IF(C702&lt;=CommissionDD!$E$3,CommissionDD!$C$3,IF(C702&lt;=CommissionDD!$E$4,CommissionDD!$C$4,IF(C702&lt;=CommissionDD!$E$5,CommissionDD!$C$5,IF(C702&lt;=CommissionDD!$E$6,CommissionDD!$C$6,IF(C702&lt;=CommissionDD!$E$7,CommissionDD!$C$7,IF(C702&lt;=CommissionDD!$E$8,CommissionDD!$C$8,CommissionDD!$C$9))))))</f>
        <v>0.03</v>
      </c>
      <c r="F702" s="23" t="str">
        <f t="shared" si="32"/>
        <v/>
      </c>
      <c r="G702" s="23" t="str">
        <f>IF($B702="","",(Acc!$F702*CommissionDD!$C$30))</f>
        <v/>
      </c>
      <c r="H702" s="23" t="str">
        <f t="shared" si="30"/>
        <v/>
      </c>
    </row>
    <row r="703" spans="1:8">
      <c r="A703" s="21" t="str">
        <f t="shared" si="31"/>
        <v/>
      </c>
      <c r="B703" s="1" t="str">
        <f>IF(Cus!$B703&lt;&gt;"",Cus!$A703,"")</f>
        <v/>
      </c>
      <c r="C703" s="22" t="str">
        <f>IF($B703="","",Cus!$AA703)</f>
        <v/>
      </c>
      <c r="D703" s="23" t="str">
        <f>IF($B703="","",(Acc!$H703*$C703))</f>
        <v/>
      </c>
      <c r="E703" s="24">
        <f>IF(C703&lt;=CommissionDD!$E$3,CommissionDD!$C$3,IF(C703&lt;=CommissionDD!$E$4,CommissionDD!$C$4,IF(C703&lt;=CommissionDD!$E$5,CommissionDD!$C$5,IF(C703&lt;=CommissionDD!$E$6,CommissionDD!$C$6,IF(C703&lt;=CommissionDD!$E$7,CommissionDD!$C$7,IF(C703&lt;=CommissionDD!$E$8,CommissionDD!$C$8,CommissionDD!$C$9))))))</f>
        <v>0.03</v>
      </c>
      <c r="F703" s="23" t="str">
        <f t="shared" si="32"/>
        <v/>
      </c>
      <c r="G703" s="23" t="str">
        <f>IF($B703="","",(Acc!$F703*CommissionDD!$C$30))</f>
        <v/>
      </c>
      <c r="H703" s="23" t="str">
        <f t="shared" si="30"/>
        <v/>
      </c>
    </row>
    <row r="704" spans="1:8">
      <c r="A704" s="21" t="str">
        <f t="shared" si="31"/>
        <v/>
      </c>
      <c r="B704" s="1" t="str">
        <f>IF(Cus!$B704&lt;&gt;"",Cus!$A704,"")</f>
        <v/>
      </c>
      <c r="C704" s="22" t="str">
        <f>IF($B704="","",Cus!$AA704)</f>
        <v/>
      </c>
      <c r="D704" s="23" t="str">
        <f>IF($B704="","",(Acc!$H704*$C704))</f>
        <v/>
      </c>
      <c r="E704" s="24">
        <f>IF(C704&lt;=CommissionDD!$E$3,CommissionDD!$C$3,IF(C704&lt;=CommissionDD!$E$4,CommissionDD!$C$4,IF(C704&lt;=CommissionDD!$E$5,CommissionDD!$C$5,IF(C704&lt;=CommissionDD!$E$6,CommissionDD!$C$6,IF(C704&lt;=CommissionDD!$E$7,CommissionDD!$C$7,IF(C704&lt;=CommissionDD!$E$8,CommissionDD!$C$8,CommissionDD!$C$9))))))</f>
        <v>0.03</v>
      </c>
      <c r="F704" s="23" t="str">
        <f t="shared" si="32"/>
        <v/>
      </c>
      <c r="G704" s="23" t="str">
        <f>IF($B704="","",(Acc!$F704*CommissionDD!$C$30))</f>
        <v/>
      </c>
      <c r="H704" s="23" t="str">
        <f t="shared" si="30"/>
        <v/>
      </c>
    </row>
    <row r="705" spans="1:8">
      <c r="A705" s="21" t="str">
        <f t="shared" si="31"/>
        <v/>
      </c>
      <c r="B705" s="1" t="str">
        <f>IF(Cus!$B705&lt;&gt;"",Cus!$A705,"")</f>
        <v/>
      </c>
      <c r="C705" s="22" t="str">
        <f>IF($B705="","",Cus!$AA705)</f>
        <v/>
      </c>
      <c r="D705" s="23" t="str">
        <f>IF($B705="","",(Acc!$H705*$C705))</f>
        <v/>
      </c>
      <c r="E705" s="24">
        <f>IF(C705&lt;=CommissionDD!$E$3,CommissionDD!$C$3,IF(C705&lt;=CommissionDD!$E$4,CommissionDD!$C$4,IF(C705&lt;=CommissionDD!$E$5,CommissionDD!$C$5,IF(C705&lt;=CommissionDD!$E$6,CommissionDD!$C$6,IF(C705&lt;=CommissionDD!$E$7,CommissionDD!$C$7,IF(C705&lt;=CommissionDD!$E$8,CommissionDD!$C$8,CommissionDD!$C$9))))))</f>
        <v>0.03</v>
      </c>
      <c r="F705" s="23" t="str">
        <f t="shared" si="32"/>
        <v/>
      </c>
      <c r="G705" s="23" t="str">
        <f>IF($B705="","",(Acc!$F705*CommissionDD!$C$30))</f>
        <v/>
      </c>
      <c r="H705" s="23" t="str">
        <f t="shared" si="30"/>
        <v/>
      </c>
    </row>
    <row r="706" spans="1:8">
      <c r="A706" s="21" t="str">
        <f t="shared" si="31"/>
        <v/>
      </c>
      <c r="B706" s="1" t="str">
        <f>IF(Cus!$B706&lt;&gt;"",Cus!$A706,"")</f>
        <v/>
      </c>
      <c r="C706" s="22" t="str">
        <f>IF($B706="","",Cus!$AA706)</f>
        <v/>
      </c>
      <c r="D706" s="23" t="str">
        <f>IF($B706="","",(Acc!$H706*$C706))</f>
        <v/>
      </c>
      <c r="E706" s="24">
        <f>IF(C706&lt;=CommissionDD!$E$3,CommissionDD!$C$3,IF(C706&lt;=CommissionDD!$E$4,CommissionDD!$C$4,IF(C706&lt;=CommissionDD!$E$5,CommissionDD!$C$5,IF(C706&lt;=CommissionDD!$E$6,CommissionDD!$C$6,IF(C706&lt;=CommissionDD!$E$7,CommissionDD!$C$7,IF(C706&lt;=CommissionDD!$E$8,CommissionDD!$C$8,CommissionDD!$C$9))))))</f>
        <v>0.03</v>
      </c>
      <c r="F706" s="23" t="str">
        <f t="shared" si="32"/>
        <v/>
      </c>
      <c r="G706" s="23" t="str">
        <f>IF($B706="","",(Acc!$F706*CommissionDD!$C$30))</f>
        <v/>
      </c>
      <c r="H706" s="23" t="str">
        <f t="shared" ref="H706:H769" si="33">IF($B706="","",F706+G706)</f>
        <v/>
      </c>
    </row>
    <row r="707" spans="1:8">
      <c r="A707" s="21" t="str">
        <f t="shared" ref="A707:A770" si="34">IF($B707="","",(ROW($A706)))</f>
        <v/>
      </c>
      <c r="B707" s="1" t="str">
        <f>IF(Cus!$B707&lt;&gt;"",Cus!$A707,"")</f>
        <v/>
      </c>
      <c r="C707" s="22" t="str">
        <f>IF($B707="","",Cus!$AA707)</f>
        <v/>
      </c>
      <c r="D707" s="23" t="str">
        <f>IF($B707="","",(Acc!$H707*$C707))</f>
        <v/>
      </c>
      <c r="E707" s="24">
        <f>IF(C707&lt;=CommissionDD!$E$3,CommissionDD!$C$3,IF(C707&lt;=CommissionDD!$E$4,CommissionDD!$C$4,IF(C707&lt;=CommissionDD!$E$5,CommissionDD!$C$5,IF(C707&lt;=CommissionDD!$E$6,CommissionDD!$C$6,IF(C707&lt;=CommissionDD!$E$7,CommissionDD!$C$7,IF(C707&lt;=CommissionDD!$E$8,CommissionDD!$C$8,CommissionDD!$C$9))))))</f>
        <v>0.03</v>
      </c>
      <c r="F707" s="23" t="str">
        <f t="shared" si="32"/>
        <v/>
      </c>
      <c r="G707" s="23" t="str">
        <f>IF($B707="","",(Acc!$F707*CommissionDD!$C$30))</f>
        <v/>
      </c>
      <c r="H707" s="23" t="str">
        <f t="shared" si="33"/>
        <v/>
      </c>
    </row>
    <row r="708" spans="1:8">
      <c r="A708" s="21" t="str">
        <f t="shared" si="34"/>
        <v/>
      </c>
      <c r="B708" s="1" t="str">
        <f>IF(Cus!$B708&lt;&gt;"",Cus!$A708,"")</f>
        <v/>
      </c>
      <c r="C708" s="22" t="str">
        <f>IF($B708="","",Cus!$AA708)</f>
        <v/>
      </c>
      <c r="D708" s="23" t="str">
        <f>IF($B708="","",(Acc!$H708*$C708))</f>
        <v/>
      </c>
      <c r="E708" s="24">
        <f>IF(C708&lt;=CommissionDD!$E$3,CommissionDD!$C$3,IF(C708&lt;=CommissionDD!$E$4,CommissionDD!$C$4,IF(C708&lt;=CommissionDD!$E$5,CommissionDD!$C$5,IF(C708&lt;=CommissionDD!$E$6,CommissionDD!$C$6,IF(C708&lt;=CommissionDD!$E$7,CommissionDD!$C$7,IF(C708&lt;=CommissionDD!$E$8,CommissionDD!$C$8,CommissionDD!$C$9))))))</f>
        <v>0.03</v>
      </c>
      <c r="F708" s="23" t="str">
        <f t="shared" si="32"/>
        <v/>
      </c>
      <c r="G708" s="23" t="str">
        <f>IF($B708="","",(Acc!$F708*CommissionDD!$C$30))</f>
        <v/>
      </c>
      <c r="H708" s="23" t="str">
        <f t="shared" si="33"/>
        <v/>
      </c>
    </row>
    <row r="709" spans="1:8">
      <c r="A709" s="21" t="str">
        <f t="shared" si="34"/>
        <v/>
      </c>
      <c r="B709" s="1" t="str">
        <f>IF(Cus!$B709&lt;&gt;"",Cus!$A709,"")</f>
        <v/>
      </c>
      <c r="C709" s="22" t="str">
        <f>IF($B709="","",Cus!$AA709)</f>
        <v/>
      </c>
      <c r="D709" s="23" t="str">
        <f>IF($B709="","",(Acc!$H709*$C709))</f>
        <v/>
      </c>
      <c r="E709" s="24">
        <f>IF(C709&lt;=CommissionDD!$E$3,CommissionDD!$C$3,IF(C709&lt;=CommissionDD!$E$4,CommissionDD!$C$4,IF(C709&lt;=CommissionDD!$E$5,CommissionDD!$C$5,IF(C709&lt;=CommissionDD!$E$6,CommissionDD!$C$6,IF(C709&lt;=CommissionDD!$E$7,CommissionDD!$C$7,IF(C709&lt;=CommissionDD!$E$8,CommissionDD!$C$8,CommissionDD!$C$9))))))</f>
        <v>0.03</v>
      </c>
      <c r="F709" s="23" t="str">
        <f t="shared" ref="F709:F772" si="35">IF($B709="","",D709*E709)</f>
        <v/>
      </c>
      <c r="G709" s="23" t="str">
        <f>IF($B709="","",(Acc!$F709*CommissionDD!$C$30))</f>
        <v/>
      </c>
      <c r="H709" s="23" t="str">
        <f t="shared" si="33"/>
        <v/>
      </c>
    </row>
    <row r="710" spans="1:8">
      <c r="A710" s="21" t="str">
        <f t="shared" si="34"/>
        <v/>
      </c>
      <c r="B710" s="1" t="str">
        <f>IF(Cus!$B710&lt;&gt;"",Cus!$A710,"")</f>
        <v/>
      </c>
      <c r="C710" s="22" t="str">
        <f>IF($B710="","",Cus!$AA710)</f>
        <v/>
      </c>
      <c r="D710" s="23" t="str">
        <f>IF($B710="","",(Acc!$H710*$C710))</f>
        <v/>
      </c>
      <c r="E710" s="24">
        <f>IF(C710&lt;=CommissionDD!$E$3,CommissionDD!$C$3,IF(C710&lt;=CommissionDD!$E$4,CommissionDD!$C$4,IF(C710&lt;=CommissionDD!$E$5,CommissionDD!$C$5,IF(C710&lt;=CommissionDD!$E$6,CommissionDD!$C$6,IF(C710&lt;=CommissionDD!$E$7,CommissionDD!$C$7,IF(C710&lt;=CommissionDD!$E$8,CommissionDD!$C$8,CommissionDD!$C$9))))))</f>
        <v>0.03</v>
      </c>
      <c r="F710" s="23" t="str">
        <f t="shared" si="35"/>
        <v/>
      </c>
      <c r="G710" s="23" t="str">
        <f>IF($B710="","",(Acc!$F710*CommissionDD!$C$30))</f>
        <v/>
      </c>
      <c r="H710" s="23" t="str">
        <f t="shared" si="33"/>
        <v/>
      </c>
    </row>
    <row r="711" spans="1:8">
      <c r="A711" s="21" t="str">
        <f t="shared" si="34"/>
        <v/>
      </c>
      <c r="B711" s="1" t="str">
        <f>IF(Cus!$B711&lt;&gt;"",Cus!$A711,"")</f>
        <v/>
      </c>
      <c r="C711" s="22" t="str">
        <f>IF($B711="","",Cus!$AA711)</f>
        <v/>
      </c>
      <c r="D711" s="23" t="str">
        <f>IF($B711="","",(Acc!$H711*$C711))</f>
        <v/>
      </c>
      <c r="E711" s="24">
        <f>IF(C711&lt;=CommissionDD!$E$3,CommissionDD!$C$3,IF(C711&lt;=CommissionDD!$E$4,CommissionDD!$C$4,IF(C711&lt;=CommissionDD!$E$5,CommissionDD!$C$5,IF(C711&lt;=CommissionDD!$E$6,CommissionDD!$C$6,IF(C711&lt;=CommissionDD!$E$7,CommissionDD!$C$7,IF(C711&lt;=CommissionDD!$E$8,CommissionDD!$C$8,CommissionDD!$C$9))))))</f>
        <v>0.03</v>
      </c>
      <c r="F711" s="23" t="str">
        <f t="shared" si="35"/>
        <v/>
      </c>
      <c r="G711" s="23" t="str">
        <f>IF($B711="","",(Acc!$F711*CommissionDD!$C$30))</f>
        <v/>
      </c>
      <c r="H711" s="23" t="str">
        <f t="shared" si="33"/>
        <v/>
      </c>
    </row>
    <row r="712" spans="1:8">
      <c r="A712" s="21" t="str">
        <f t="shared" si="34"/>
        <v/>
      </c>
      <c r="B712" s="1" t="str">
        <f>IF(Cus!$B712&lt;&gt;"",Cus!$A712,"")</f>
        <v/>
      </c>
      <c r="C712" s="22" t="str">
        <f>IF($B712="","",Cus!$AA712)</f>
        <v/>
      </c>
      <c r="D712" s="23" t="str">
        <f>IF($B712="","",(Acc!$H712*$C712))</f>
        <v/>
      </c>
      <c r="E712" s="24">
        <f>IF(C712&lt;=CommissionDD!$E$3,CommissionDD!$C$3,IF(C712&lt;=CommissionDD!$E$4,CommissionDD!$C$4,IF(C712&lt;=CommissionDD!$E$5,CommissionDD!$C$5,IF(C712&lt;=CommissionDD!$E$6,CommissionDD!$C$6,IF(C712&lt;=CommissionDD!$E$7,CommissionDD!$C$7,IF(C712&lt;=CommissionDD!$E$8,CommissionDD!$C$8,CommissionDD!$C$9))))))</f>
        <v>0.03</v>
      </c>
      <c r="F712" s="23" t="str">
        <f t="shared" si="35"/>
        <v/>
      </c>
      <c r="G712" s="23" t="str">
        <f>IF($B712="","",(Acc!$F712*CommissionDD!$C$30))</f>
        <v/>
      </c>
      <c r="H712" s="23" t="str">
        <f t="shared" si="33"/>
        <v/>
      </c>
    </row>
    <row r="713" spans="1:8">
      <c r="A713" s="21" t="str">
        <f t="shared" si="34"/>
        <v/>
      </c>
      <c r="B713" s="1" t="str">
        <f>IF(Cus!$B713&lt;&gt;"",Cus!$A713,"")</f>
        <v/>
      </c>
      <c r="C713" s="22" t="str">
        <f>IF($B713="","",Cus!$AA713)</f>
        <v/>
      </c>
      <c r="D713" s="23" t="str">
        <f>IF($B713="","",(Acc!$H713*$C713))</f>
        <v/>
      </c>
      <c r="E713" s="24">
        <f>IF(C713&lt;=CommissionDD!$E$3,CommissionDD!$C$3,IF(C713&lt;=CommissionDD!$E$4,CommissionDD!$C$4,IF(C713&lt;=CommissionDD!$E$5,CommissionDD!$C$5,IF(C713&lt;=CommissionDD!$E$6,CommissionDD!$C$6,IF(C713&lt;=CommissionDD!$E$7,CommissionDD!$C$7,IF(C713&lt;=CommissionDD!$E$8,CommissionDD!$C$8,CommissionDD!$C$9))))))</f>
        <v>0.03</v>
      </c>
      <c r="F713" s="23" t="str">
        <f t="shared" si="35"/>
        <v/>
      </c>
      <c r="G713" s="23" t="str">
        <f>IF($B713="","",(Acc!$F713*CommissionDD!$C$30))</f>
        <v/>
      </c>
      <c r="H713" s="23" t="str">
        <f t="shared" si="33"/>
        <v/>
      </c>
    </row>
    <row r="714" spans="1:8">
      <c r="A714" s="21" t="str">
        <f t="shared" si="34"/>
        <v/>
      </c>
      <c r="B714" s="1" t="str">
        <f>IF(Cus!$B714&lt;&gt;"",Cus!$A714,"")</f>
        <v/>
      </c>
      <c r="C714" s="22" t="str">
        <f>IF($B714="","",Cus!$AA714)</f>
        <v/>
      </c>
      <c r="D714" s="23" t="str">
        <f>IF($B714="","",(Acc!$H714*$C714))</f>
        <v/>
      </c>
      <c r="E714" s="24">
        <f>IF(C714&lt;=CommissionDD!$E$3,CommissionDD!$C$3,IF(C714&lt;=CommissionDD!$E$4,CommissionDD!$C$4,IF(C714&lt;=CommissionDD!$E$5,CommissionDD!$C$5,IF(C714&lt;=CommissionDD!$E$6,CommissionDD!$C$6,IF(C714&lt;=CommissionDD!$E$7,CommissionDD!$C$7,IF(C714&lt;=CommissionDD!$E$8,CommissionDD!$C$8,CommissionDD!$C$9))))))</f>
        <v>0.03</v>
      </c>
      <c r="F714" s="23" t="str">
        <f t="shared" si="35"/>
        <v/>
      </c>
      <c r="G714" s="23" t="str">
        <f>IF($B714="","",(Acc!$F714*CommissionDD!$C$30))</f>
        <v/>
      </c>
      <c r="H714" s="23" t="str">
        <f t="shared" si="33"/>
        <v/>
      </c>
    </row>
    <row r="715" spans="1:8">
      <c r="A715" s="21" t="str">
        <f t="shared" si="34"/>
        <v/>
      </c>
      <c r="B715" s="1" t="str">
        <f>IF(Cus!$B715&lt;&gt;"",Cus!$A715,"")</f>
        <v/>
      </c>
      <c r="C715" s="22" t="str">
        <f>IF($B715="","",Cus!$AA715)</f>
        <v/>
      </c>
      <c r="D715" s="23" t="str">
        <f>IF($B715="","",(Acc!$H715*$C715))</f>
        <v/>
      </c>
      <c r="E715" s="24">
        <f>IF(C715&lt;=CommissionDD!$E$3,CommissionDD!$C$3,IF(C715&lt;=CommissionDD!$E$4,CommissionDD!$C$4,IF(C715&lt;=CommissionDD!$E$5,CommissionDD!$C$5,IF(C715&lt;=CommissionDD!$E$6,CommissionDD!$C$6,IF(C715&lt;=CommissionDD!$E$7,CommissionDD!$C$7,IF(C715&lt;=CommissionDD!$E$8,CommissionDD!$C$8,CommissionDD!$C$9))))))</f>
        <v>0.03</v>
      </c>
      <c r="F715" s="23" t="str">
        <f t="shared" si="35"/>
        <v/>
      </c>
      <c r="G715" s="23" t="str">
        <f>IF($B715="","",(Acc!$F715*CommissionDD!$C$30))</f>
        <v/>
      </c>
      <c r="H715" s="23" t="str">
        <f t="shared" si="33"/>
        <v/>
      </c>
    </row>
    <row r="716" spans="1:8">
      <c r="A716" s="21" t="str">
        <f t="shared" si="34"/>
        <v/>
      </c>
      <c r="B716" s="1" t="str">
        <f>IF(Cus!$B716&lt;&gt;"",Cus!$A716,"")</f>
        <v/>
      </c>
      <c r="C716" s="22" t="str">
        <f>IF($B716="","",Cus!$AA716)</f>
        <v/>
      </c>
      <c r="D716" s="23" t="str">
        <f>IF($B716="","",(Acc!$H716*$C716))</f>
        <v/>
      </c>
      <c r="E716" s="24">
        <f>IF(C716&lt;=CommissionDD!$E$3,CommissionDD!$C$3,IF(C716&lt;=CommissionDD!$E$4,CommissionDD!$C$4,IF(C716&lt;=CommissionDD!$E$5,CommissionDD!$C$5,IF(C716&lt;=CommissionDD!$E$6,CommissionDD!$C$6,IF(C716&lt;=CommissionDD!$E$7,CommissionDD!$C$7,IF(C716&lt;=CommissionDD!$E$8,CommissionDD!$C$8,CommissionDD!$C$9))))))</f>
        <v>0.03</v>
      </c>
      <c r="F716" s="23" t="str">
        <f t="shared" si="35"/>
        <v/>
      </c>
      <c r="G716" s="23" t="str">
        <f>IF($B716="","",(Acc!$F716*CommissionDD!$C$30))</f>
        <v/>
      </c>
      <c r="H716" s="23" t="str">
        <f t="shared" si="33"/>
        <v/>
      </c>
    </row>
    <row r="717" spans="1:8">
      <c r="A717" s="21" t="str">
        <f t="shared" si="34"/>
        <v/>
      </c>
      <c r="B717" s="1" t="str">
        <f>IF(Cus!$B717&lt;&gt;"",Cus!$A717,"")</f>
        <v/>
      </c>
      <c r="C717" s="22" t="str">
        <f>IF($B717="","",Cus!$AA717)</f>
        <v/>
      </c>
      <c r="D717" s="23" t="str">
        <f>IF($B717="","",(Acc!$H717*$C717))</f>
        <v/>
      </c>
      <c r="E717" s="24">
        <f>IF(C717&lt;=CommissionDD!$E$3,CommissionDD!$C$3,IF(C717&lt;=CommissionDD!$E$4,CommissionDD!$C$4,IF(C717&lt;=CommissionDD!$E$5,CommissionDD!$C$5,IF(C717&lt;=CommissionDD!$E$6,CommissionDD!$C$6,IF(C717&lt;=CommissionDD!$E$7,CommissionDD!$C$7,IF(C717&lt;=CommissionDD!$E$8,CommissionDD!$C$8,CommissionDD!$C$9))))))</f>
        <v>0.03</v>
      </c>
      <c r="F717" s="23" t="str">
        <f t="shared" si="35"/>
        <v/>
      </c>
      <c r="G717" s="23" t="str">
        <f>IF($B717="","",(Acc!$F717*CommissionDD!$C$30))</f>
        <v/>
      </c>
      <c r="H717" s="23" t="str">
        <f t="shared" si="33"/>
        <v/>
      </c>
    </row>
    <row r="718" spans="1:8">
      <c r="A718" s="21" t="str">
        <f t="shared" si="34"/>
        <v/>
      </c>
      <c r="B718" s="1" t="str">
        <f>IF(Cus!$B718&lt;&gt;"",Cus!$A718,"")</f>
        <v/>
      </c>
      <c r="C718" s="22" t="str">
        <f>IF($B718="","",Cus!$AA718)</f>
        <v/>
      </c>
      <c r="D718" s="23" t="str">
        <f>IF($B718="","",(Acc!$H718*$C718))</f>
        <v/>
      </c>
      <c r="E718" s="24">
        <f>IF(C718&lt;=CommissionDD!$E$3,CommissionDD!$C$3,IF(C718&lt;=CommissionDD!$E$4,CommissionDD!$C$4,IF(C718&lt;=CommissionDD!$E$5,CommissionDD!$C$5,IF(C718&lt;=CommissionDD!$E$6,CommissionDD!$C$6,IF(C718&lt;=CommissionDD!$E$7,CommissionDD!$C$7,IF(C718&lt;=CommissionDD!$E$8,CommissionDD!$C$8,CommissionDD!$C$9))))))</f>
        <v>0.03</v>
      </c>
      <c r="F718" s="23" t="str">
        <f t="shared" si="35"/>
        <v/>
      </c>
      <c r="G718" s="23" t="str">
        <f>IF($B718="","",(Acc!$F718*CommissionDD!$C$30))</f>
        <v/>
      </c>
      <c r="H718" s="23" t="str">
        <f t="shared" si="33"/>
        <v/>
      </c>
    </row>
    <row r="719" spans="1:8">
      <c r="A719" s="21" t="str">
        <f t="shared" si="34"/>
        <v/>
      </c>
      <c r="B719" s="1" t="str">
        <f>IF(Cus!$B719&lt;&gt;"",Cus!$A719,"")</f>
        <v/>
      </c>
      <c r="C719" s="22" t="str">
        <f>IF($B719="","",Cus!$AA719)</f>
        <v/>
      </c>
      <c r="D719" s="23" t="str">
        <f>IF($B719="","",(Acc!$H719*$C719))</f>
        <v/>
      </c>
      <c r="E719" s="24">
        <f>IF(C719&lt;=CommissionDD!$E$3,CommissionDD!$C$3,IF(C719&lt;=CommissionDD!$E$4,CommissionDD!$C$4,IF(C719&lt;=CommissionDD!$E$5,CommissionDD!$C$5,IF(C719&lt;=CommissionDD!$E$6,CommissionDD!$C$6,IF(C719&lt;=CommissionDD!$E$7,CommissionDD!$C$7,IF(C719&lt;=CommissionDD!$E$8,CommissionDD!$C$8,CommissionDD!$C$9))))))</f>
        <v>0.03</v>
      </c>
      <c r="F719" s="23" t="str">
        <f t="shared" si="35"/>
        <v/>
      </c>
      <c r="G719" s="23" t="str">
        <f>IF($B719="","",(Acc!$F719*CommissionDD!$C$30))</f>
        <v/>
      </c>
      <c r="H719" s="23" t="str">
        <f t="shared" si="33"/>
        <v/>
      </c>
    </row>
    <row r="720" spans="1:8">
      <c r="A720" s="21" t="str">
        <f t="shared" si="34"/>
        <v/>
      </c>
      <c r="B720" s="1" t="str">
        <f>IF(Cus!$B720&lt;&gt;"",Cus!$A720,"")</f>
        <v/>
      </c>
      <c r="C720" s="22" t="str">
        <f>IF($B720="","",Cus!$AA720)</f>
        <v/>
      </c>
      <c r="D720" s="23" t="str">
        <f>IF($B720="","",(Acc!$H720*$C720))</f>
        <v/>
      </c>
      <c r="E720" s="24">
        <f>IF(C720&lt;=CommissionDD!$E$3,CommissionDD!$C$3,IF(C720&lt;=CommissionDD!$E$4,CommissionDD!$C$4,IF(C720&lt;=CommissionDD!$E$5,CommissionDD!$C$5,IF(C720&lt;=CommissionDD!$E$6,CommissionDD!$C$6,IF(C720&lt;=CommissionDD!$E$7,CommissionDD!$C$7,IF(C720&lt;=CommissionDD!$E$8,CommissionDD!$C$8,CommissionDD!$C$9))))))</f>
        <v>0.03</v>
      </c>
      <c r="F720" s="23" t="str">
        <f t="shared" si="35"/>
        <v/>
      </c>
      <c r="G720" s="23" t="str">
        <f>IF($B720="","",(Acc!$F720*CommissionDD!$C$30))</f>
        <v/>
      </c>
      <c r="H720" s="23" t="str">
        <f t="shared" si="33"/>
        <v/>
      </c>
    </row>
    <row r="721" spans="1:8">
      <c r="A721" s="21" t="str">
        <f t="shared" si="34"/>
        <v/>
      </c>
      <c r="B721" s="1" t="str">
        <f>IF(Cus!$B721&lt;&gt;"",Cus!$A721,"")</f>
        <v/>
      </c>
      <c r="C721" s="22" t="str">
        <f>IF($B721="","",Cus!$AA721)</f>
        <v/>
      </c>
      <c r="D721" s="23" t="str">
        <f>IF($B721="","",(Acc!$H721*$C721))</f>
        <v/>
      </c>
      <c r="E721" s="24">
        <f>IF(C721&lt;=CommissionDD!$E$3,CommissionDD!$C$3,IF(C721&lt;=CommissionDD!$E$4,CommissionDD!$C$4,IF(C721&lt;=CommissionDD!$E$5,CommissionDD!$C$5,IF(C721&lt;=CommissionDD!$E$6,CommissionDD!$C$6,IF(C721&lt;=CommissionDD!$E$7,CommissionDD!$C$7,IF(C721&lt;=CommissionDD!$E$8,CommissionDD!$C$8,CommissionDD!$C$9))))))</f>
        <v>0.03</v>
      </c>
      <c r="F721" s="23" t="str">
        <f t="shared" si="35"/>
        <v/>
      </c>
      <c r="G721" s="23" t="str">
        <f>IF($B721="","",(Acc!$F721*CommissionDD!$C$30))</f>
        <v/>
      </c>
      <c r="H721" s="23" t="str">
        <f t="shared" si="33"/>
        <v/>
      </c>
    </row>
    <row r="722" spans="1:8">
      <c r="A722" s="21" t="str">
        <f t="shared" si="34"/>
        <v/>
      </c>
      <c r="B722" s="1" t="str">
        <f>IF(Cus!$B722&lt;&gt;"",Cus!$A722,"")</f>
        <v/>
      </c>
      <c r="C722" s="22" t="str">
        <f>IF($B722="","",Cus!$AA722)</f>
        <v/>
      </c>
      <c r="D722" s="23" t="str">
        <f>IF($B722="","",(Acc!$H722*$C722))</f>
        <v/>
      </c>
      <c r="E722" s="24">
        <f>IF(C722&lt;=CommissionDD!$E$3,CommissionDD!$C$3,IF(C722&lt;=CommissionDD!$E$4,CommissionDD!$C$4,IF(C722&lt;=CommissionDD!$E$5,CommissionDD!$C$5,IF(C722&lt;=CommissionDD!$E$6,CommissionDD!$C$6,IF(C722&lt;=CommissionDD!$E$7,CommissionDD!$C$7,IF(C722&lt;=CommissionDD!$E$8,CommissionDD!$C$8,CommissionDD!$C$9))))))</f>
        <v>0.03</v>
      </c>
      <c r="F722" s="23" t="str">
        <f t="shared" si="35"/>
        <v/>
      </c>
      <c r="G722" s="23" t="str">
        <f>IF($B722="","",(Acc!$F722*CommissionDD!$C$30))</f>
        <v/>
      </c>
      <c r="H722" s="23" t="str">
        <f t="shared" si="33"/>
        <v/>
      </c>
    </row>
    <row r="723" spans="1:8">
      <c r="A723" s="21" t="str">
        <f t="shared" si="34"/>
        <v/>
      </c>
      <c r="B723" s="1" t="str">
        <f>IF(Cus!$B723&lt;&gt;"",Cus!$A723,"")</f>
        <v/>
      </c>
      <c r="C723" s="22" t="str">
        <f>IF($B723="","",Cus!$AA723)</f>
        <v/>
      </c>
      <c r="D723" s="23" t="str">
        <f>IF($B723="","",(Acc!$H723*$C723))</f>
        <v/>
      </c>
      <c r="E723" s="24">
        <f>IF(C723&lt;=CommissionDD!$E$3,CommissionDD!$C$3,IF(C723&lt;=CommissionDD!$E$4,CommissionDD!$C$4,IF(C723&lt;=CommissionDD!$E$5,CommissionDD!$C$5,IF(C723&lt;=CommissionDD!$E$6,CommissionDD!$C$6,IF(C723&lt;=CommissionDD!$E$7,CommissionDD!$C$7,IF(C723&lt;=CommissionDD!$E$8,CommissionDD!$C$8,CommissionDD!$C$9))))))</f>
        <v>0.03</v>
      </c>
      <c r="F723" s="23" t="str">
        <f t="shared" si="35"/>
        <v/>
      </c>
      <c r="G723" s="23" t="str">
        <f>IF($B723="","",(Acc!$F723*CommissionDD!$C$30))</f>
        <v/>
      </c>
      <c r="H723" s="23" t="str">
        <f t="shared" si="33"/>
        <v/>
      </c>
    </row>
    <row r="724" spans="1:8">
      <c r="A724" s="21" t="str">
        <f t="shared" si="34"/>
        <v/>
      </c>
      <c r="B724" s="1" t="str">
        <f>IF(Cus!$B724&lt;&gt;"",Cus!$A724,"")</f>
        <v/>
      </c>
      <c r="C724" s="22" t="str">
        <f>IF($B724="","",Cus!$AA724)</f>
        <v/>
      </c>
      <c r="D724" s="23" t="str">
        <f>IF($B724="","",(Acc!$H724*$C724))</f>
        <v/>
      </c>
      <c r="E724" s="24">
        <f>IF(C724&lt;=CommissionDD!$E$3,CommissionDD!$C$3,IF(C724&lt;=CommissionDD!$E$4,CommissionDD!$C$4,IF(C724&lt;=CommissionDD!$E$5,CommissionDD!$C$5,IF(C724&lt;=CommissionDD!$E$6,CommissionDD!$C$6,IF(C724&lt;=CommissionDD!$E$7,CommissionDD!$C$7,IF(C724&lt;=CommissionDD!$E$8,CommissionDD!$C$8,CommissionDD!$C$9))))))</f>
        <v>0.03</v>
      </c>
      <c r="F724" s="23" t="str">
        <f t="shared" si="35"/>
        <v/>
      </c>
      <c r="G724" s="23" t="str">
        <f>IF($B724="","",(Acc!$F724*CommissionDD!$C$30))</f>
        <v/>
      </c>
      <c r="H724" s="23" t="str">
        <f t="shared" si="33"/>
        <v/>
      </c>
    </row>
    <row r="725" spans="1:8">
      <c r="A725" s="21" t="str">
        <f t="shared" si="34"/>
        <v/>
      </c>
      <c r="B725" s="1" t="str">
        <f>IF(Cus!$B725&lt;&gt;"",Cus!$A725,"")</f>
        <v/>
      </c>
      <c r="C725" s="22" t="str">
        <f>IF($B725="","",Cus!$AA725)</f>
        <v/>
      </c>
      <c r="D725" s="23" t="str">
        <f>IF($B725="","",(Acc!$H725*$C725))</f>
        <v/>
      </c>
      <c r="E725" s="24">
        <f>IF(C725&lt;=CommissionDD!$E$3,CommissionDD!$C$3,IF(C725&lt;=CommissionDD!$E$4,CommissionDD!$C$4,IF(C725&lt;=CommissionDD!$E$5,CommissionDD!$C$5,IF(C725&lt;=CommissionDD!$E$6,CommissionDD!$C$6,IF(C725&lt;=CommissionDD!$E$7,CommissionDD!$C$7,IF(C725&lt;=CommissionDD!$E$8,CommissionDD!$C$8,CommissionDD!$C$9))))))</f>
        <v>0.03</v>
      </c>
      <c r="F725" s="23" t="str">
        <f t="shared" si="35"/>
        <v/>
      </c>
      <c r="G725" s="23" t="str">
        <f>IF($B725="","",(Acc!$F725*CommissionDD!$C$30))</f>
        <v/>
      </c>
      <c r="H725" s="23" t="str">
        <f t="shared" si="33"/>
        <v/>
      </c>
    </row>
    <row r="726" spans="1:8">
      <c r="A726" s="21" t="str">
        <f t="shared" si="34"/>
        <v/>
      </c>
      <c r="B726" s="1" t="str">
        <f>IF(Cus!$B726&lt;&gt;"",Cus!$A726,"")</f>
        <v/>
      </c>
      <c r="C726" s="22" t="str">
        <f>IF($B726="","",Cus!$AA726)</f>
        <v/>
      </c>
      <c r="D726" s="23" t="str">
        <f>IF($B726="","",(Acc!$H726*$C726))</f>
        <v/>
      </c>
      <c r="E726" s="24">
        <f>IF(C726&lt;=CommissionDD!$E$3,CommissionDD!$C$3,IF(C726&lt;=CommissionDD!$E$4,CommissionDD!$C$4,IF(C726&lt;=CommissionDD!$E$5,CommissionDD!$C$5,IF(C726&lt;=CommissionDD!$E$6,CommissionDD!$C$6,IF(C726&lt;=CommissionDD!$E$7,CommissionDD!$C$7,IF(C726&lt;=CommissionDD!$E$8,CommissionDD!$C$8,CommissionDD!$C$9))))))</f>
        <v>0.03</v>
      </c>
      <c r="F726" s="23" t="str">
        <f t="shared" si="35"/>
        <v/>
      </c>
      <c r="G726" s="23" t="str">
        <f>IF($B726="","",(Acc!$F726*CommissionDD!$C$30))</f>
        <v/>
      </c>
      <c r="H726" s="23" t="str">
        <f t="shared" si="33"/>
        <v/>
      </c>
    </row>
    <row r="727" spans="1:8">
      <c r="A727" s="21" t="str">
        <f t="shared" si="34"/>
        <v/>
      </c>
      <c r="B727" s="1" t="str">
        <f>IF(Cus!$B727&lt;&gt;"",Cus!$A727,"")</f>
        <v/>
      </c>
      <c r="C727" s="22" t="str">
        <f>IF($B727="","",Cus!$AA727)</f>
        <v/>
      </c>
      <c r="D727" s="23" t="str">
        <f>IF($B727="","",(Acc!$H727*$C727))</f>
        <v/>
      </c>
      <c r="E727" s="24">
        <f>IF(C727&lt;=CommissionDD!$E$3,CommissionDD!$C$3,IF(C727&lt;=CommissionDD!$E$4,CommissionDD!$C$4,IF(C727&lt;=CommissionDD!$E$5,CommissionDD!$C$5,IF(C727&lt;=CommissionDD!$E$6,CommissionDD!$C$6,IF(C727&lt;=CommissionDD!$E$7,CommissionDD!$C$7,IF(C727&lt;=CommissionDD!$E$8,CommissionDD!$C$8,CommissionDD!$C$9))))))</f>
        <v>0.03</v>
      </c>
      <c r="F727" s="23" t="str">
        <f t="shared" si="35"/>
        <v/>
      </c>
      <c r="G727" s="23" t="str">
        <f>IF($B727="","",(Acc!$F727*CommissionDD!$C$30))</f>
        <v/>
      </c>
      <c r="H727" s="23" t="str">
        <f t="shared" si="33"/>
        <v/>
      </c>
    </row>
    <row r="728" spans="1:8">
      <c r="A728" s="21" t="str">
        <f t="shared" si="34"/>
        <v/>
      </c>
      <c r="B728" s="1" t="str">
        <f>IF(Cus!$B728&lt;&gt;"",Cus!$A728,"")</f>
        <v/>
      </c>
      <c r="C728" s="22" t="str">
        <f>IF($B728="","",Cus!$AA728)</f>
        <v/>
      </c>
      <c r="D728" s="23" t="str">
        <f>IF($B728="","",(Acc!$H728*$C728))</f>
        <v/>
      </c>
      <c r="E728" s="24">
        <f>IF(C728&lt;=CommissionDD!$E$3,CommissionDD!$C$3,IF(C728&lt;=CommissionDD!$E$4,CommissionDD!$C$4,IF(C728&lt;=CommissionDD!$E$5,CommissionDD!$C$5,IF(C728&lt;=CommissionDD!$E$6,CommissionDD!$C$6,IF(C728&lt;=CommissionDD!$E$7,CommissionDD!$C$7,IF(C728&lt;=CommissionDD!$E$8,CommissionDD!$C$8,CommissionDD!$C$9))))))</f>
        <v>0.03</v>
      </c>
      <c r="F728" s="23" t="str">
        <f t="shared" si="35"/>
        <v/>
      </c>
      <c r="G728" s="23" t="str">
        <f>IF($B728="","",(Acc!$F728*CommissionDD!$C$30))</f>
        <v/>
      </c>
      <c r="H728" s="23" t="str">
        <f t="shared" si="33"/>
        <v/>
      </c>
    </row>
    <row r="729" spans="1:8">
      <c r="A729" s="21" t="str">
        <f t="shared" si="34"/>
        <v/>
      </c>
      <c r="B729" s="1" t="str">
        <f>IF(Cus!$B729&lt;&gt;"",Cus!$A729,"")</f>
        <v/>
      </c>
      <c r="C729" s="22" t="str">
        <f>IF($B729="","",Cus!$AA729)</f>
        <v/>
      </c>
      <c r="D729" s="23" t="str">
        <f>IF($B729="","",(Acc!$H729*$C729))</f>
        <v/>
      </c>
      <c r="E729" s="24">
        <f>IF(C729&lt;=CommissionDD!$E$3,CommissionDD!$C$3,IF(C729&lt;=CommissionDD!$E$4,CommissionDD!$C$4,IF(C729&lt;=CommissionDD!$E$5,CommissionDD!$C$5,IF(C729&lt;=CommissionDD!$E$6,CommissionDD!$C$6,IF(C729&lt;=CommissionDD!$E$7,CommissionDD!$C$7,IF(C729&lt;=CommissionDD!$E$8,CommissionDD!$C$8,CommissionDD!$C$9))))))</f>
        <v>0.03</v>
      </c>
      <c r="F729" s="23" t="str">
        <f t="shared" si="35"/>
        <v/>
      </c>
      <c r="G729" s="23" t="str">
        <f>IF($B729="","",(Acc!$F729*CommissionDD!$C$30))</f>
        <v/>
      </c>
      <c r="H729" s="23" t="str">
        <f t="shared" si="33"/>
        <v/>
      </c>
    </row>
    <row r="730" spans="1:8">
      <c r="A730" s="21" t="str">
        <f t="shared" si="34"/>
        <v/>
      </c>
      <c r="B730" s="1" t="str">
        <f>IF(Cus!$B730&lt;&gt;"",Cus!$A730,"")</f>
        <v/>
      </c>
      <c r="C730" s="22" t="str">
        <f>IF($B730="","",Cus!$AA730)</f>
        <v/>
      </c>
      <c r="D730" s="23" t="str">
        <f>IF($B730="","",(Acc!$H730*$C730))</f>
        <v/>
      </c>
      <c r="E730" s="24">
        <f>IF(C730&lt;=CommissionDD!$E$3,CommissionDD!$C$3,IF(C730&lt;=CommissionDD!$E$4,CommissionDD!$C$4,IF(C730&lt;=CommissionDD!$E$5,CommissionDD!$C$5,IF(C730&lt;=CommissionDD!$E$6,CommissionDD!$C$6,IF(C730&lt;=CommissionDD!$E$7,CommissionDD!$C$7,IF(C730&lt;=CommissionDD!$E$8,CommissionDD!$C$8,CommissionDD!$C$9))))))</f>
        <v>0.03</v>
      </c>
      <c r="F730" s="23" t="str">
        <f t="shared" si="35"/>
        <v/>
      </c>
      <c r="G730" s="23" t="str">
        <f>IF($B730="","",(Acc!$F730*CommissionDD!$C$30))</f>
        <v/>
      </c>
      <c r="H730" s="23" t="str">
        <f t="shared" si="33"/>
        <v/>
      </c>
    </row>
    <row r="731" spans="1:8">
      <c r="A731" s="21" t="str">
        <f t="shared" si="34"/>
        <v/>
      </c>
      <c r="B731" s="1" t="str">
        <f>IF(Cus!$B731&lt;&gt;"",Cus!$A731,"")</f>
        <v/>
      </c>
      <c r="C731" s="22" t="str">
        <f>IF($B731="","",Cus!$AA731)</f>
        <v/>
      </c>
      <c r="D731" s="23" t="str">
        <f>IF($B731="","",(Acc!$H731*$C731))</f>
        <v/>
      </c>
      <c r="E731" s="24">
        <f>IF(C731&lt;=CommissionDD!$E$3,CommissionDD!$C$3,IF(C731&lt;=CommissionDD!$E$4,CommissionDD!$C$4,IF(C731&lt;=CommissionDD!$E$5,CommissionDD!$C$5,IF(C731&lt;=CommissionDD!$E$6,CommissionDD!$C$6,IF(C731&lt;=CommissionDD!$E$7,CommissionDD!$C$7,IF(C731&lt;=CommissionDD!$E$8,CommissionDD!$C$8,CommissionDD!$C$9))))))</f>
        <v>0.03</v>
      </c>
      <c r="F731" s="23" t="str">
        <f t="shared" si="35"/>
        <v/>
      </c>
      <c r="G731" s="23" t="str">
        <f>IF($B731="","",(Acc!$F731*CommissionDD!$C$30))</f>
        <v/>
      </c>
      <c r="H731" s="23" t="str">
        <f t="shared" si="33"/>
        <v/>
      </c>
    </row>
    <row r="732" spans="1:8">
      <c r="A732" s="21" t="str">
        <f t="shared" si="34"/>
        <v/>
      </c>
      <c r="B732" s="1" t="str">
        <f>IF(Cus!$B732&lt;&gt;"",Cus!$A732,"")</f>
        <v/>
      </c>
      <c r="C732" s="22" t="str">
        <f>IF($B732="","",Cus!$AA732)</f>
        <v/>
      </c>
      <c r="D732" s="23" t="str">
        <f>IF($B732="","",(Acc!$H732*$C732))</f>
        <v/>
      </c>
      <c r="E732" s="24">
        <f>IF(C732&lt;=CommissionDD!$E$3,CommissionDD!$C$3,IF(C732&lt;=CommissionDD!$E$4,CommissionDD!$C$4,IF(C732&lt;=CommissionDD!$E$5,CommissionDD!$C$5,IF(C732&lt;=CommissionDD!$E$6,CommissionDD!$C$6,IF(C732&lt;=CommissionDD!$E$7,CommissionDD!$C$7,IF(C732&lt;=CommissionDD!$E$8,CommissionDD!$C$8,CommissionDD!$C$9))))))</f>
        <v>0.03</v>
      </c>
      <c r="F732" s="23" t="str">
        <f t="shared" si="35"/>
        <v/>
      </c>
      <c r="G732" s="23" t="str">
        <f>IF($B732="","",(Acc!$F732*CommissionDD!$C$30))</f>
        <v/>
      </c>
      <c r="H732" s="23" t="str">
        <f t="shared" si="33"/>
        <v/>
      </c>
    </row>
    <row r="733" spans="1:8">
      <c r="A733" s="21" t="str">
        <f t="shared" si="34"/>
        <v/>
      </c>
      <c r="B733" s="1" t="str">
        <f>IF(Cus!$B733&lt;&gt;"",Cus!$A733,"")</f>
        <v/>
      </c>
      <c r="C733" s="22" t="str">
        <f>IF($B733="","",Cus!$AA733)</f>
        <v/>
      </c>
      <c r="D733" s="23" t="str">
        <f>IF($B733="","",(Acc!$H733*$C733))</f>
        <v/>
      </c>
      <c r="E733" s="24">
        <f>IF(C733&lt;=CommissionDD!$E$3,CommissionDD!$C$3,IF(C733&lt;=CommissionDD!$E$4,CommissionDD!$C$4,IF(C733&lt;=CommissionDD!$E$5,CommissionDD!$C$5,IF(C733&lt;=CommissionDD!$E$6,CommissionDD!$C$6,IF(C733&lt;=CommissionDD!$E$7,CommissionDD!$C$7,IF(C733&lt;=CommissionDD!$E$8,CommissionDD!$C$8,CommissionDD!$C$9))))))</f>
        <v>0.03</v>
      </c>
      <c r="F733" s="23" t="str">
        <f t="shared" si="35"/>
        <v/>
      </c>
      <c r="G733" s="23" t="str">
        <f>IF($B733="","",(Acc!$F733*CommissionDD!$C$30))</f>
        <v/>
      </c>
      <c r="H733" s="23" t="str">
        <f t="shared" si="33"/>
        <v/>
      </c>
    </row>
    <row r="734" spans="1:8">
      <c r="A734" s="21" t="str">
        <f t="shared" si="34"/>
        <v/>
      </c>
      <c r="B734" s="1" t="str">
        <f>IF(Cus!$B734&lt;&gt;"",Cus!$A734,"")</f>
        <v/>
      </c>
      <c r="C734" s="22" t="str">
        <f>IF($B734="","",Cus!$AA734)</f>
        <v/>
      </c>
      <c r="D734" s="23" t="str">
        <f>IF($B734="","",(Acc!$H734*$C734))</f>
        <v/>
      </c>
      <c r="E734" s="24">
        <f>IF(C734&lt;=CommissionDD!$E$3,CommissionDD!$C$3,IF(C734&lt;=CommissionDD!$E$4,CommissionDD!$C$4,IF(C734&lt;=CommissionDD!$E$5,CommissionDD!$C$5,IF(C734&lt;=CommissionDD!$E$6,CommissionDD!$C$6,IF(C734&lt;=CommissionDD!$E$7,CommissionDD!$C$7,IF(C734&lt;=CommissionDD!$E$8,CommissionDD!$C$8,CommissionDD!$C$9))))))</f>
        <v>0.03</v>
      </c>
      <c r="F734" s="23" t="str">
        <f t="shared" si="35"/>
        <v/>
      </c>
      <c r="G734" s="23" t="str">
        <f>IF($B734="","",(Acc!$F734*CommissionDD!$C$30))</f>
        <v/>
      </c>
      <c r="H734" s="23" t="str">
        <f t="shared" si="33"/>
        <v/>
      </c>
    </row>
    <row r="735" spans="1:8">
      <c r="A735" s="21" t="str">
        <f t="shared" si="34"/>
        <v/>
      </c>
      <c r="B735" s="1" t="str">
        <f>IF(Cus!$B735&lt;&gt;"",Cus!$A735,"")</f>
        <v/>
      </c>
      <c r="C735" s="22" t="str">
        <f>IF($B735="","",Cus!$AA735)</f>
        <v/>
      </c>
      <c r="D735" s="23" t="str">
        <f>IF($B735="","",(Acc!$H735*$C735))</f>
        <v/>
      </c>
      <c r="E735" s="24">
        <f>IF(C735&lt;=CommissionDD!$E$3,CommissionDD!$C$3,IF(C735&lt;=CommissionDD!$E$4,CommissionDD!$C$4,IF(C735&lt;=CommissionDD!$E$5,CommissionDD!$C$5,IF(C735&lt;=CommissionDD!$E$6,CommissionDD!$C$6,IF(C735&lt;=CommissionDD!$E$7,CommissionDD!$C$7,IF(C735&lt;=CommissionDD!$E$8,CommissionDD!$C$8,CommissionDD!$C$9))))))</f>
        <v>0.03</v>
      </c>
      <c r="F735" s="23" t="str">
        <f t="shared" si="35"/>
        <v/>
      </c>
      <c r="G735" s="23" t="str">
        <f>IF($B735="","",(Acc!$F735*CommissionDD!$C$30))</f>
        <v/>
      </c>
      <c r="H735" s="23" t="str">
        <f t="shared" si="33"/>
        <v/>
      </c>
    </row>
    <row r="736" spans="1:8">
      <c r="A736" s="21" t="str">
        <f t="shared" si="34"/>
        <v/>
      </c>
      <c r="B736" s="1" t="str">
        <f>IF(Cus!$B736&lt;&gt;"",Cus!$A736,"")</f>
        <v/>
      </c>
      <c r="C736" s="22" t="str">
        <f>IF($B736="","",Cus!$AA736)</f>
        <v/>
      </c>
      <c r="D736" s="23" t="str">
        <f>IF($B736="","",(Acc!$H736*$C736))</f>
        <v/>
      </c>
      <c r="E736" s="24">
        <f>IF(C736&lt;=CommissionDD!$E$3,CommissionDD!$C$3,IF(C736&lt;=CommissionDD!$E$4,CommissionDD!$C$4,IF(C736&lt;=CommissionDD!$E$5,CommissionDD!$C$5,IF(C736&lt;=CommissionDD!$E$6,CommissionDD!$C$6,IF(C736&lt;=CommissionDD!$E$7,CommissionDD!$C$7,IF(C736&lt;=CommissionDD!$E$8,CommissionDD!$C$8,CommissionDD!$C$9))))))</f>
        <v>0.03</v>
      </c>
      <c r="F736" s="23" t="str">
        <f t="shared" si="35"/>
        <v/>
      </c>
      <c r="G736" s="23" t="str">
        <f>IF($B736="","",(Acc!$F736*CommissionDD!$C$30))</f>
        <v/>
      </c>
      <c r="H736" s="23" t="str">
        <f t="shared" si="33"/>
        <v/>
      </c>
    </row>
    <row r="737" spans="1:8">
      <c r="A737" s="21" t="str">
        <f t="shared" si="34"/>
        <v/>
      </c>
      <c r="B737" s="1" t="str">
        <f>IF(Cus!$B737&lt;&gt;"",Cus!$A737,"")</f>
        <v/>
      </c>
      <c r="C737" s="22" t="str">
        <f>IF($B737="","",Cus!$AA737)</f>
        <v/>
      </c>
      <c r="D737" s="23" t="str">
        <f>IF($B737="","",(Acc!$H737*$C737))</f>
        <v/>
      </c>
      <c r="E737" s="24">
        <f>IF(C737&lt;=CommissionDD!$E$3,CommissionDD!$C$3,IF(C737&lt;=CommissionDD!$E$4,CommissionDD!$C$4,IF(C737&lt;=CommissionDD!$E$5,CommissionDD!$C$5,IF(C737&lt;=CommissionDD!$E$6,CommissionDD!$C$6,IF(C737&lt;=CommissionDD!$E$7,CommissionDD!$C$7,IF(C737&lt;=CommissionDD!$E$8,CommissionDD!$C$8,CommissionDD!$C$9))))))</f>
        <v>0.03</v>
      </c>
      <c r="F737" s="23" t="str">
        <f t="shared" si="35"/>
        <v/>
      </c>
      <c r="G737" s="23" t="str">
        <f>IF($B737="","",(Acc!$F737*CommissionDD!$C$30))</f>
        <v/>
      </c>
      <c r="H737" s="23" t="str">
        <f t="shared" si="33"/>
        <v/>
      </c>
    </row>
    <row r="738" spans="1:8">
      <c r="A738" s="21" t="str">
        <f t="shared" si="34"/>
        <v/>
      </c>
      <c r="B738" s="1" t="str">
        <f>IF(Cus!$B738&lt;&gt;"",Cus!$A738,"")</f>
        <v/>
      </c>
      <c r="C738" s="22" t="str">
        <f>IF($B738="","",Cus!$AA738)</f>
        <v/>
      </c>
      <c r="D738" s="23" t="str">
        <f>IF($B738="","",(Acc!$H738*$C738))</f>
        <v/>
      </c>
      <c r="E738" s="24">
        <f>IF(C738&lt;=CommissionDD!$E$3,CommissionDD!$C$3,IF(C738&lt;=CommissionDD!$E$4,CommissionDD!$C$4,IF(C738&lt;=CommissionDD!$E$5,CommissionDD!$C$5,IF(C738&lt;=CommissionDD!$E$6,CommissionDD!$C$6,IF(C738&lt;=CommissionDD!$E$7,CommissionDD!$C$7,IF(C738&lt;=CommissionDD!$E$8,CommissionDD!$C$8,CommissionDD!$C$9))))))</f>
        <v>0.03</v>
      </c>
      <c r="F738" s="23" t="str">
        <f t="shared" si="35"/>
        <v/>
      </c>
      <c r="G738" s="23" t="str">
        <f>IF($B738="","",(Acc!$F738*CommissionDD!$C$30))</f>
        <v/>
      </c>
      <c r="H738" s="23" t="str">
        <f t="shared" si="33"/>
        <v/>
      </c>
    </row>
    <row r="739" spans="1:8">
      <c r="A739" s="21" t="str">
        <f t="shared" si="34"/>
        <v/>
      </c>
      <c r="B739" s="1" t="str">
        <f>IF(Cus!$B739&lt;&gt;"",Cus!$A739,"")</f>
        <v/>
      </c>
      <c r="C739" s="22" t="str">
        <f>IF($B739="","",Cus!$AA739)</f>
        <v/>
      </c>
      <c r="D739" s="23" t="str">
        <f>IF($B739="","",(Acc!$H739*$C739))</f>
        <v/>
      </c>
      <c r="E739" s="24">
        <f>IF(C739&lt;=CommissionDD!$E$3,CommissionDD!$C$3,IF(C739&lt;=CommissionDD!$E$4,CommissionDD!$C$4,IF(C739&lt;=CommissionDD!$E$5,CommissionDD!$C$5,IF(C739&lt;=CommissionDD!$E$6,CommissionDD!$C$6,IF(C739&lt;=CommissionDD!$E$7,CommissionDD!$C$7,IF(C739&lt;=CommissionDD!$E$8,CommissionDD!$C$8,CommissionDD!$C$9))))))</f>
        <v>0.03</v>
      </c>
      <c r="F739" s="23" t="str">
        <f t="shared" si="35"/>
        <v/>
      </c>
      <c r="G739" s="23" t="str">
        <f>IF($B739="","",(Acc!$F739*CommissionDD!$C$30))</f>
        <v/>
      </c>
      <c r="H739" s="23" t="str">
        <f t="shared" si="33"/>
        <v/>
      </c>
    </row>
    <row r="740" spans="1:8">
      <c r="A740" s="21" t="str">
        <f t="shared" si="34"/>
        <v/>
      </c>
      <c r="B740" s="1" t="str">
        <f>IF(Cus!$B740&lt;&gt;"",Cus!$A740,"")</f>
        <v/>
      </c>
      <c r="C740" s="22" t="str">
        <f>IF($B740="","",Cus!$AA740)</f>
        <v/>
      </c>
      <c r="D740" s="23" t="str">
        <f>IF($B740="","",(Acc!$H740*$C740))</f>
        <v/>
      </c>
      <c r="E740" s="24">
        <f>IF(C740&lt;=CommissionDD!$E$3,CommissionDD!$C$3,IF(C740&lt;=CommissionDD!$E$4,CommissionDD!$C$4,IF(C740&lt;=CommissionDD!$E$5,CommissionDD!$C$5,IF(C740&lt;=CommissionDD!$E$6,CommissionDD!$C$6,IF(C740&lt;=CommissionDD!$E$7,CommissionDD!$C$7,IF(C740&lt;=CommissionDD!$E$8,CommissionDD!$C$8,CommissionDD!$C$9))))))</f>
        <v>0.03</v>
      </c>
      <c r="F740" s="23" t="str">
        <f t="shared" si="35"/>
        <v/>
      </c>
      <c r="G740" s="23" t="str">
        <f>IF($B740="","",(Acc!$F740*CommissionDD!$C$30))</f>
        <v/>
      </c>
      <c r="H740" s="23" t="str">
        <f t="shared" si="33"/>
        <v/>
      </c>
    </row>
    <row r="741" spans="1:8">
      <c r="A741" s="21" t="str">
        <f t="shared" si="34"/>
        <v/>
      </c>
      <c r="B741" s="1" t="str">
        <f>IF(Cus!$B741&lt;&gt;"",Cus!$A741,"")</f>
        <v/>
      </c>
      <c r="C741" s="22" t="str">
        <f>IF($B741="","",Cus!$AA741)</f>
        <v/>
      </c>
      <c r="D741" s="23" t="str">
        <f>IF($B741="","",(Acc!$H741*$C741))</f>
        <v/>
      </c>
      <c r="E741" s="24">
        <f>IF(C741&lt;=CommissionDD!$E$3,CommissionDD!$C$3,IF(C741&lt;=CommissionDD!$E$4,CommissionDD!$C$4,IF(C741&lt;=CommissionDD!$E$5,CommissionDD!$C$5,IF(C741&lt;=CommissionDD!$E$6,CommissionDD!$C$6,IF(C741&lt;=CommissionDD!$E$7,CommissionDD!$C$7,IF(C741&lt;=CommissionDD!$E$8,CommissionDD!$C$8,CommissionDD!$C$9))))))</f>
        <v>0.03</v>
      </c>
      <c r="F741" s="23" t="str">
        <f t="shared" si="35"/>
        <v/>
      </c>
      <c r="G741" s="23" t="str">
        <f>IF($B741="","",(Acc!$F741*CommissionDD!$C$30))</f>
        <v/>
      </c>
      <c r="H741" s="23" t="str">
        <f t="shared" si="33"/>
        <v/>
      </c>
    </row>
    <row r="742" spans="1:8">
      <c r="A742" s="21" t="str">
        <f t="shared" si="34"/>
        <v/>
      </c>
      <c r="B742" s="1" t="str">
        <f>IF(Cus!$B742&lt;&gt;"",Cus!$A742,"")</f>
        <v/>
      </c>
      <c r="C742" s="22" t="str">
        <f>IF($B742="","",Cus!$AA742)</f>
        <v/>
      </c>
      <c r="D742" s="23" t="str">
        <f>IF($B742="","",(Acc!$H742*$C742))</f>
        <v/>
      </c>
      <c r="E742" s="24">
        <f>IF(C742&lt;=CommissionDD!$E$3,CommissionDD!$C$3,IF(C742&lt;=CommissionDD!$E$4,CommissionDD!$C$4,IF(C742&lt;=CommissionDD!$E$5,CommissionDD!$C$5,IF(C742&lt;=CommissionDD!$E$6,CommissionDD!$C$6,IF(C742&lt;=CommissionDD!$E$7,CommissionDD!$C$7,IF(C742&lt;=CommissionDD!$E$8,CommissionDD!$C$8,CommissionDD!$C$9))))))</f>
        <v>0.03</v>
      </c>
      <c r="F742" s="23" t="str">
        <f t="shared" si="35"/>
        <v/>
      </c>
      <c r="G742" s="23" t="str">
        <f>IF($B742="","",(Acc!$F742*CommissionDD!$C$30))</f>
        <v/>
      </c>
      <c r="H742" s="23" t="str">
        <f t="shared" si="33"/>
        <v/>
      </c>
    </row>
    <row r="743" spans="1:8">
      <c r="A743" s="21" t="str">
        <f t="shared" si="34"/>
        <v/>
      </c>
      <c r="B743" s="1" t="str">
        <f>IF(Cus!$B743&lt;&gt;"",Cus!$A743,"")</f>
        <v/>
      </c>
      <c r="C743" s="22" t="str">
        <f>IF($B743="","",Cus!$AA743)</f>
        <v/>
      </c>
      <c r="D743" s="23" t="str">
        <f>IF($B743="","",(Acc!$H743*$C743))</f>
        <v/>
      </c>
      <c r="E743" s="24">
        <f>IF(C743&lt;=CommissionDD!$E$3,CommissionDD!$C$3,IF(C743&lt;=CommissionDD!$E$4,CommissionDD!$C$4,IF(C743&lt;=CommissionDD!$E$5,CommissionDD!$C$5,IF(C743&lt;=CommissionDD!$E$6,CommissionDD!$C$6,IF(C743&lt;=CommissionDD!$E$7,CommissionDD!$C$7,IF(C743&lt;=CommissionDD!$E$8,CommissionDD!$C$8,CommissionDD!$C$9))))))</f>
        <v>0.03</v>
      </c>
      <c r="F743" s="23" t="str">
        <f t="shared" si="35"/>
        <v/>
      </c>
      <c r="G743" s="23" t="str">
        <f>IF($B743="","",(Acc!$F743*CommissionDD!$C$30))</f>
        <v/>
      </c>
      <c r="H743" s="23" t="str">
        <f t="shared" si="33"/>
        <v/>
      </c>
    </row>
    <row r="744" spans="1:8">
      <c r="A744" s="21" t="str">
        <f t="shared" si="34"/>
        <v/>
      </c>
      <c r="B744" s="1" t="str">
        <f>IF(Cus!$B744&lt;&gt;"",Cus!$A744,"")</f>
        <v/>
      </c>
      <c r="C744" s="22" t="str">
        <f>IF($B744="","",Cus!$AA744)</f>
        <v/>
      </c>
      <c r="D744" s="23" t="str">
        <f>IF($B744="","",(Acc!$H744*$C744))</f>
        <v/>
      </c>
      <c r="E744" s="24">
        <f>IF(C744&lt;=CommissionDD!$E$3,CommissionDD!$C$3,IF(C744&lt;=CommissionDD!$E$4,CommissionDD!$C$4,IF(C744&lt;=CommissionDD!$E$5,CommissionDD!$C$5,IF(C744&lt;=CommissionDD!$E$6,CommissionDD!$C$6,IF(C744&lt;=CommissionDD!$E$7,CommissionDD!$C$7,IF(C744&lt;=CommissionDD!$E$8,CommissionDD!$C$8,CommissionDD!$C$9))))))</f>
        <v>0.03</v>
      </c>
      <c r="F744" s="23" t="str">
        <f t="shared" si="35"/>
        <v/>
      </c>
      <c r="G744" s="23" t="str">
        <f>IF($B744="","",(Acc!$F744*CommissionDD!$C$30))</f>
        <v/>
      </c>
      <c r="H744" s="23" t="str">
        <f t="shared" si="33"/>
        <v/>
      </c>
    </row>
    <row r="745" spans="1:8">
      <c r="A745" s="21" t="str">
        <f t="shared" si="34"/>
        <v/>
      </c>
      <c r="B745" s="1" t="str">
        <f>IF(Cus!$B745&lt;&gt;"",Cus!$A745,"")</f>
        <v/>
      </c>
      <c r="C745" s="22" t="str">
        <f>IF($B745="","",Cus!$AA745)</f>
        <v/>
      </c>
      <c r="D745" s="23" t="str">
        <f>IF($B745="","",(Acc!$H745*$C745))</f>
        <v/>
      </c>
      <c r="E745" s="24">
        <f>IF(C745&lt;=CommissionDD!$E$3,CommissionDD!$C$3,IF(C745&lt;=CommissionDD!$E$4,CommissionDD!$C$4,IF(C745&lt;=CommissionDD!$E$5,CommissionDD!$C$5,IF(C745&lt;=CommissionDD!$E$6,CommissionDD!$C$6,IF(C745&lt;=CommissionDD!$E$7,CommissionDD!$C$7,IF(C745&lt;=CommissionDD!$E$8,CommissionDD!$C$8,CommissionDD!$C$9))))))</f>
        <v>0.03</v>
      </c>
      <c r="F745" s="23" t="str">
        <f t="shared" si="35"/>
        <v/>
      </c>
      <c r="G745" s="23" t="str">
        <f>IF($B745="","",(Acc!$F745*CommissionDD!$C$30))</f>
        <v/>
      </c>
      <c r="H745" s="23" t="str">
        <f t="shared" si="33"/>
        <v/>
      </c>
    </row>
    <row r="746" spans="1:8">
      <c r="A746" s="21" t="str">
        <f t="shared" si="34"/>
        <v/>
      </c>
      <c r="B746" s="1" t="str">
        <f>IF(Cus!$B746&lt;&gt;"",Cus!$A746,"")</f>
        <v/>
      </c>
      <c r="C746" s="22" t="str">
        <f>IF($B746="","",Cus!$AA746)</f>
        <v/>
      </c>
      <c r="D746" s="23" t="str">
        <f>IF($B746="","",(Acc!$H746*$C746))</f>
        <v/>
      </c>
      <c r="E746" s="24">
        <f>IF(C746&lt;=CommissionDD!$E$3,CommissionDD!$C$3,IF(C746&lt;=CommissionDD!$E$4,CommissionDD!$C$4,IF(C746&lt;=CommissionDD!$E$5,CommissionDD!$C$5,IF(C746&lt;=CommissionDD!$E$6,CommissionDD!$C$6,IF(C746&lt;=CommissionDD!$E$7,CommissionDD!$C$7,IF(C746&lt;=CommissionDD!$E$8,CommissionDD!$C$8,CommissionDD!$C$9))))))</f>
        <v>0.03</v>
      </c>
      <c r="F746" s="23" t="str">
        <f t="shared" si="35"/>
        <v/>
      </c>
      <c r="G746" s="23" t="str">
        <f>IF($B746="","",(Acc!$F746*CommissionDD!$C$30))</f>
        <v/>
      </c>
      <c r="H746" s="23" t="str">
        <f t="shared" si="33"/>
        <v/>
      </c>
    </row>
    <row r="747" spans="1:8">
      <c r="A747" s="21" t="str">
        <f t="shared" si="34"/>
        <v/>
      </c>
      <c r="B747" s="1" t="str">
        <f>IF(Cus!$B747&lt;&gt;"",Cus!$A747,"")</f>
        <v/>
      </c>
      <c r="C747" s="22" t="str">
        <f>IF($B747="","",Cus!$AA747)</f>
        <v/>
      </c>
      <c r="D747" s="23" t="str">
        <f>IF($B747="","",(Acc!$H747*$C747))</f>
        <v/>
      </c>
      <c r="E747" s="24">
        <f>IF(C747&lt;=CommissionDD!$E$3,CommissionDD!$C$3,IF(C747&lt;=CommissionDD!$E$4,CommissionDD!$C$4,IF(C747&lt;=CommissionDD!$E$5,CommissionDD!$C$5,IF(C747&lt;=CommissionDD!$E$6,CommissionDD!$C$6,IF(C747&lt;=CommissionDD!$E$7,CommissionDD!$C$7,IF(C747&lt;=CommissionDD!$E$8,CommissionDD!$C$8,CommissionDD!$C$9))))))</f>
        <v>0.03</v>
      </c>
      <c r="F747" s="23" t="str">
        <f t="shared" si="35"/>
        <v/>
      </c>
      <c r="G747" s="23" t="str">
        <f>IF($B747="","",(Acc!$F747*CommissionDD!$C$30))</f>
        <v/>
      </c>
      <c r="H747" s="23" t="str">
        <f t="shared" si="33"/>
        <v/>
      </c>
    </row>
    <row r="748" spans="1:8">
      <c r="A748" s="21" t="str">
        <f t="shared" si="34"/>
        <v/>
      </c>
      <c r="B748" s="1" t="str">
        <f>IF(Cus!$B748&lt;&gt;"",Cus!$A748,"")</f>
        <v/>
      </c>
      <c r="C748" s="22" t="str">
        <f>IF($B748="","",Cus!$AA748)</f>
        <v/>
      </c>
      <c r="D748" s="23" t="str">
        <f>IF($B748="","",(Acc!$H748*$C748))</f>
        <v/>
      </c>
      <c r="E748" s="24">
        <f>IF(C748&lt;=CommissionDD!$E$3,CommissionDD!$C$3,IF(C748&lt;=CommissionDD!$E$4,CommissionDD!$C$4,IF(C748&lt;=CommissionDD!$E$5,CommissionDD!$C$5,IF(C748&lt;=CommissionDD!$E$6,CommissionDD!$C$6,IF(C748&lt;=CommissionDD!$E$7,CommissionDD!$C$7,IF(C748&lt;=CommissionDD!$E$8,CommissionDD!$C$8,CommissionDD!$C$9))))))</f>
        <v>0.03</v>
      </c>
      <c r="F748" s="23" t="str">
        <f t="shared" si="35"/>
        <v/>
      </c>
      <c r="G748" s="23" t="str">
        <f>IF($B748="","",(Acc!$F748*CommissionDD!$C$30))</f>
        <v/>
      </c>
      <c r="H748" s="23" t="str">
        <f t="shared" si="33"/>
        <v/>
      </c>
    </row>
    <row r="749" spans="1:8">
      <c r="A749" s="21" t="str">
        <f t="shared" si="34"/>
        <v/>
      </c>
      <c r="B749" s="1" t="str">
        <f>IF(Cus!$B749&lt;&gt;"",Cus!$A749,"")</f>
        <v/>
      </c>
      <c r="C749" s="22" t="str">
        <f>IF($B749="","",Cus!$AA749)</f>
        <v/>
      </c>
      <c r="D749" s="23" t="str">
        <f>IF($B749="","",(Acc!$H749*$C749))</f>
        <v/>
      </c>
      <c r="E749" s="24">
        <f>IF(C749&lt;=CommissionDD!$E$3,CommissionDD!$C$3,IF(C749&lt;=CommissionDD!$E$4,CommissionDD!$C$4,IF(C749&lt;=CommissionDD!$E$5,CommissionDD!$C$5,IF(C749&lt;=CommissionDD!$E$6,CommissionDD!$C$6,IF(C749&lt;=CommissionDD!$E$7,CommissionDD!$C$7,IF(C749&lt;=CommissionDD!$E$8,CommissionDD!$C$8,CommissionDD!$C$9))))))</f>
        <v>0.03</v>
      </c>
      <c r="F749" s="23" t="str">
        <f t="shared" si="35"/>
        <v/>
      </c>
      <c r="G749" s="23" t="str">
        <f>IF($B749="","",(Acc!$F749*CommissionDD!$C$30))</f>
        <v/>
      </c>
      <c r="H749" s="23" t="str">
        <f t="shared" si="33"/>
        <v/>
      </c>
    </row>
    <row r="750" spans="1:8">
      <c r="A750" s="21" t="str">
        <f t="shared" si="34"/>
        <v/>
      </c>
      <c r="B750" s="1" t="str">
        <f>IF(Cus!$B750&lt;&gt;"",Cus!$A750,"")</f>
        <v/>
      </c>
      <c r="C750" s="22" t="str">
        <f>IF($B750="","",Cus!$AA750)</f>
        <v/>
      </c>
      <c r="D750" s="23" t="str">
        <f>IF($B750="","",(Acc!$H750*$C750))</f>
        <v/>
      </c>
      <c r="E750" s="24">
        <f>IF(C750&lt;=CommissionDD!$E$3,CommissionDD!$C$3,IF(C750&lt;=CommissionDD!$E$4,CommissionDD!$C$4,IF(C750&lt;=CommissionDD!$E$5,CommissionDD!$C$5,IF(C750&lt;=CommissionDD!$E$6,CommissionDD!$C$6,IF(C750&lt;=CommissionDD!$E$7,CommissionDD!$C$7,IF(C750&lt;=CommissionDD!$E$8,CommissionDD!$C$8,CommissionDD!$C$9))))))</f>
        <v>0.03</v>
      </c>
      <c r="F750" s="23" t="str">
        <f t="shared" si="35"/>
        <v/>
      </c>
      <c r="G750" s="23" t="str">
        <f>IF($B750="","",(Acc!$F750*CommissionDD!$C$30))</f>
        <v/>
      </c>
      <c r="H750" s="23" t="str">
        <f t="shared" si="33"/>
        <v/>
      </c>
    </row>
    <row r="751" spans="1:8">
      <c r="A751" s="21" t="str">
        <f t="shared" si="34"/>
        <v/>
      </c>
      <c r="B751" s="1" t="str">
        <f>IF(Cus!$B751&lt;&gt;"",Cus!$A751,"")</f>
        <v/>
      </c>
      <c r="C751" s="22" t="str">
        <f>IF($B751="","",Cus!$AA751)</f>
        <v/>
      </c>
      <c r="D751" s="23" t="str">
        <f>IF($B751="","",(Acc!$H751*$C751))</f>
        <v/>
      </c>
      <c r="E751" s="24">
        <f>IF(C751&lt;=CommissionDD!$E$3,CommissionDD!$C$3,IF(C751&lt;=CommissionDD!$E$4,CommissionDD!$C$4,IF(C751&lt;=CommissionDD!$E$5,CommissionDD!$C$5,IF(C751&lt;=CommissionDD!$E$6,CommissionDD!$C$6,IF(C751&lt;=CommissionDD!$E$7,CommissionDD!$C$7,IF(C751&lt;=CommissionDD!$E$8,CommissionDD!$C$8,CommissionDD!$C$9))))))</f>
        <v>0.03</v>
      </c>
      <c r="F751" s="23" t="str">
        <f t="shared" si="35"/>
        <v/>
      </c>
      <c r="G751" s="23" t="str">
        <f>IF($B751="","",(Acc!$F751*CommissionDD!$C$30))</f>
        <v/>
      </c>
      <c r="H751" s="23" t="str">
        <f t="shared" si="33"/>
        <v/>
      </c>
    </row>
    <row r="752" spans="1:8">
      <c r="A752" s="21" t="str">
        <f t="shared" si="34"/>
        <v/>
      </c>
      <c r="B752" s="1" t="str">
        <f>IF(Cus!$B752&lt;&gt;"",Cus!$A752,"")</f>
        <v/>
      </c>
      <c r="C752" s="22" t="str">
        <f>IF($B752="","",Cus!$AA752)</f>
        <v/>
      </c>
      <c r="D752" s="23" t="str">
        <f>IF($B752="","",(Acc!$H752*$C752))</f>
        <v/>
      </c>
      <c r="E752" s="24">
        <f>IF(C752&lt;=CommissionDD!$E$3,CommissionDD!$C$3,IF(C752&lt;=CommissionDD!$E$4,CommissionDD!$C$4,IF(C752&lt;=CommissionDD!$E$5,CommissionDD!$C$5,IF(C752&lt;=CommissionDD!$E$6,CommissionDD!$C$6,IF(C752&lt;=CommissionDD!$E$7,CommissionDD!$C$7,IF(C752&lt;=CommissionDD!$E$8,CommissionDD!$C$8,CommissionDD!$C$9))))))</f>
        <v>0.03</v>
      </c>
      <c r="F752" s="23" t="str">
        <f t="shared" si="35"/>
        <v/>
      </c>
      <c r="G752" s="23" t="str">
        <f>IF($B752="","",(Acc!$F752*CommissionDD!$C$30))</f>
        <v/>
      </c>
      <c r="H752" s="23" t="str">
        <f t="shared" si="33"/>
        <v/>
      </c>
    </row>
    <row r="753" spans="1:8">
      <c r="A753" s="21" t="str">
        <f t="shared" si="34"/>
        <v/>
      </c>
      <c r="B753" s="1" t="str">
        <f>IF(Cus!$B753&lt;&gt;"",Cus!$A753,"")</f>
        <v/>
      </c>
      <c r="C753" s="22" t="str">
        <f>IF($B753="","",Cus!$AA753)</f>
        <v/>
      </c>
      <c r="D753" s="23" t="str">
        <f>IF($B753="","",(Acc!$H753*$C753))</f>
        <v/>
      </c>
      <c r="E753" s="24">
        <f>IF(C753&lt;=CommissionDD!$E$3,CommissionDD!$C$3,IF(C753&lt;=CommissionDD!$E$4,CommissionDD!$C$4,IF(C753&lt;=CommissionDD!$E$5,CommissionDD!$C$5,IF(C753&lt;=CommissionDD!$E$6,CommissionDD!$C$6,IF(C753&lt;=CommissionDD!$E$7,CommissionDD!$C$7,IF(C753&lt;=CommissionDD!$E$8,CommissionDD!$C$8,CommissionDD!$C$9))))))</f>
        <v>0.03</v>
      </c>
      <c r="F753" s="23" t="str">
        <f t="shared" si="35"/>
        <v/>
      </c>
      <c r="G753" s="23" t="str">
        <f>IF($B753="","",(Acc!$F753*CommissionDD!$C$30))</f>
        <v/>
      </c>
      <c r="H753" s="23" t="str">
        <f t="shared" si="33"/>
        <v/>
      </c>
    </row>
    <row r="754" spans="1:8">
      <c r="A754" s="21" t="str">
        <f t="shared" si="34"/>
        <v/>
      </c>
      <c r="B754" s="1" t="str">
        <f>IF(Cus!$B754&lt;&gt;"",Cus!$A754,"")</f>
        <v/>
      </c>
      <c r="C754" s="22" t="str">
        <f>IF($B754="","",Cus!$AA754)</f>
        <v/>
      </c>
      <c r="D754" s="23" t="str">
        <f>IF($B754="","",(Acc!$H754*$C754))</f>
        <v/>
      </c>
      <c r="E754" s="24">
        <f>IF(C754&lt;=CommissionDD!$E$3,CommissionDD!$C$3,IF(C754&lt;=CommissionDD!$E$4,CommissionDD!$C$4,IF(C754&lt;=CommissionDD!$E$5,CommissionDD!$C$5,IF(C754&lt;=CommissionDD!$E$6,CommissionDD!$C$6,IF(C754&lt;=CommissionDD!$E$7,CommissionDD!$C$7,IF(C754&lt;=CommissionDD!$E$8,CommissionDD!$C$8,CommissionDD!$C$9))))))</f>
        <v>0.03</v>
      </c>
      <c r="F754" s="23" t="str">
        <f t="shared" si="35"/>
        <v/>
      </c>
      <c r="G754" s="23" t="str">
        <f>IF($B754="","",(Acc!$F754*CommissionDD!$C$30))</f>
        <v/>
      </c>
      <c r="H754" s="23" t="str">
        <f t="shared" si="33"/>
        <v/>
      </c>
    </row>
    <row r="755" spans="1:8">
      <c r="A755" s="21" t="str">
        <f t="shared" si="34"/>
        <v/>
      </c>
      <c r="B755" s="1" t="str">
        <f>IF(Cus!$B755&lt;&gt;"",Cus!$A755,"")</f>
        <v/>
      </c>
      <c r="C755" s="22" t="str">
        <f>IF($B755="","",Cus!$AA755)</f>
        <v/>
      </c>
      <c r="D755" s="23" t="str">
        <f>IF($B755="","",(Acc!$H755*$C755))</f>
        <v/>
      </c>
      <c r="E755" s="24">
        <f>IF(C755&lt;=CommissionDD!$E$3,CommissionDD!$C$3,IF(C755&lt;=CommissionDD!$E$4,CommissionDD!$C$4,IF(C755&lt;=CommissionDD!$E$5,CommissionDD!$C$5,IF(C755&lt;=CommissionDD!$E$6,CommissionDD!$C$6,IF(C755&lt;=CommissionDD!$E$7,CommissionDD!$C$7,IF(C755&lt;=CommissionDD!$E$8,CommissionDD!$C$8,CommissionDD!$C$9))))))</f>
        <v>0.03</v>
      </c>
      <c r="F755" s="23" t="str">
        <f t="shared" si="35"/>
        <v/>
      </c>
      <c r="G755" s="23" t="str">
        <f>IF($B755="","",(Acc!$F755*CommissionDD!$C$30))</f>
        <v/>
      </c>
      <c r="H755" s="23" t="str">
        <f t="shared" si="33"/>
        <v/>
      </c>
    </row>
    <row r="756" spans="1:8">
      <c r="A756" s="21" t="str">
        <f t="shared" si="34"/>
        <v/>
      </c>
      <c r="B756" s="1" t="str">
        <f>IF(Cus!$B756&lt;&gt;"",Cus!$A756,"")</f>
        <v/>
      </c>
      <c r="C756" s="22" t="str">
        <f>IF($B756="","",Cus!$AA756)</f>
        <v/>
      </c>
      <c r="D756" s="23" t="str">
        <f>IF($B756="","",(Acc!$H756*$C756))</f>
        <v/>
      </c>
      <c r="E756" s="24">
        <f>IF(C756&lt;=CommissionDD!$E$3,CommissionDD!$C$3,IF(C756&lt;=CommissionDD!$E$4,CommissionDD!$C$4,IF(C756&lt;=CommissionDD!$E$5,CommissionDD!$C$5,IF(C756&lt;=CommissionDD!$E$6,CommissionDD!$C$6,IF(C756&lt;=CommissionDD!$E$7,CommissionDD!$C$7,IF(C756&lt;=CommissionDD!$E$8,CommissionDD!$C$8,CommissionDD!$C$9))))))</f>
        <v>0.03</v>
      </c>
      <c r="F756" s="23" t="str">
        <f t="shared" si="35"/>
        <v/>
      </c>
      <c r="G756" s="23" t="str">
        <f>IF($B756="","",(Acc!$F756*CommissionDD!$C$30))</f>
        <v/>
      </c>
      <c r="H756" s="23" t="str">
        <f t="shared" si="33"/>
        <v/>
      </c>
    </row>
    <row r="757" spans="1:8">
      <c r="A757" s="21" t="str">
        <f t="shared" si="34"/>
        <v/>
      </c>
      <c r="B757" s="1" t="str">
        <f>IF(Cus!$B757&lt;&gt;"",Cus!$A757,"")</f>
        <v/>
      </c>
      <c r="C757" s="22" t="str">
        <f>IF($B757="","",Cus!$AA757)</f>
        <v/>
      </c>
      <c r="D757" s="23" t="str">
        <f>IF($B757="","",(Acc!$H757*$C757))</f>
        <v/>
      </c>
      <c r="E757" s="24">
        <f>IF(C757&lt;=CommissionDD!$E$3,CommissionDD!$C$3,IF(C757&lt;=CommissionDD!$E$4,CommissionDD!$C$4,IF(C757&lt;=CommissionDD!$E$5,CommissionDD!$C$5,IF(C757&lt;=CommissionDD!$E$6,CommissionDD!$C$6,IF(C757&lt;=CommissionDD!$E$7,CommissionDD!$C$7,IF(C757&lt;=CommissionDD!$E$8,CommissionDD!$C$8,CommissionDD!$C$9))))))</f>
        <v>0.03</v>
      </c>
      <c r="F757" s="23" t="str">
        <f t="shared" si="35"/>
        <v/>
      </c>
      <c r="G757" s="23" t="str">
        <f>IF($B757="","",(Acc!$F757*CommissionDD!$C$30))</f>
        <v/>
      </c>
      <c r="H757" s="23" t="str">
        <f t="shared" si="33"/>
        <v/>
      </c>
    </row>
    <row r="758" spans="1:8">
      <c r="A758" s="21" t="str">
        <f t="shared" si="34"/>
        <v/>
      </c>
      <c r="B758" s="1" t="str">
        <f>IF(Cus!$B758&lt;&gt;"",Cus!$A758,"")</f>
        <v/>
      </c>
      <c r="C758" s="22" t="str">
        <f>IF($B758="","",Cus!$AA758)</f>
        <v/>
      </c>
      <c r="D758" s="23" t="str">
        <f>IF($B758="","",(Acc!$H758*$C758))</f>
        <v/>
      </c>
      <c r="E758" s="24">
        <f>IF(C758&lt;=CommissionDD!$E$3,CommissionDD!$C$3,IF(C758&lt;=CommissionDD!$E$4,CommissionDD!$C$4,IF(C758&lt;=CommissionDD!$E$5,CommissionDD!$C$5,IF(C758&lt;=CommissionDD!$E$6,CommissionDD!$C$6,IF(C758&lt;=CommissionDD!$E$7,CommissionDD!$C$7,IF(C758&lt;=CommissionDD!$E$8,CommissionDD!$C$8,CommissionDD!$C$9))))))</f>
        <v>0.03</v>
      </c>
      <c r="F758" s="23" t="str">
        <f t="shared" si="35"/>
        <v/>
      </c>
      <c r="G758" s="23" t="str">
        <f>IF($B758="","",(Acc!$F758*CommissionDD!$C$30))</f>
        <v/>
      </c>
      <c r="H758" s="23" t="str">
        <f t="shared" si="33"/>
        <v/>
      </c>
    </row>
    <row r="759" spans="1:8">
      <c r="A759" s="21" t="str">
        <f t="shared" si="34"/>
        <v/>
      </c>
      <c r="B759" s="1" t="str">
        <f>IF(Cus!$B759&lt;&gt;"",Cus!$A759,"")</f>
        <v/>
      </c>
      <c r="C759" s="22" t="str">
        <f>IF($B759="","",Cus!$AA759)</f>
        <v/>
      </c>
      <c r="D759" s="23" t="str">
        <f>IF($B759="","",(Acc!$H759*$C759))</f>
        <v/>
      </c>
      <c r="E759" s="24">
        <f>IF(C759&lt;=CommissionDD!$E$3,CommissionDD!$C$3,IF(C759&lt;=CommissionDD!$E$4,CommissionDD!$C$4,IF(C759&lt;=CommissionDD!$E$5,CommissionDD!$C$5,IF(C759&lt;=CommissionDD!$E$6,CommissionDD!$C$6,IF(C759&lt;=CommissionDD!$E$7,CommissionDD!$C$7,IF(C759&lt;=CommissionDD!$E$8,CommissionDD!$C$8,CommissionDD!$C$9))))))</f>
        <v>0.03</v>
      </c>
      <c r="F759" s="23" t="str">
        <f t="shared" si="35"/>
        <v/>
      </c>
      <c r="G759" s="23" t="str">
        <f>IF($B759="","",(Acc!$F759*CommissionDD!$C$30))</f>
        <v/>
      </c>
      <c r="H759" s="23" t="str">
        <f t="shared" si="33"/>
        <v/>
      </c>
    </row>
    <row r="760" spans="1:8">
      <c r="A760" s="21" t="str">
        <f t="shared" si="34"/>
        <v/>
      </c>
      <c r="B760" s="1" t="str">
        <f>IF(Cus!$B760&lt;&gt;"",Cus!$A760,"")</f>
        <v/>
      </c>
      <c r="C760" s="22" t="str">
        <f>IF($B760="","",Cus!$AA760)</f>
        <v/>
      </c>
      <c r="D760" s="23" t="str">
        <f>IF($B760="","",(Acc!$H760*$C760))</f>
        <v/>
      </c>
      <c r="E760" s="24">
        <f>IF(C760&lt;=CommissionDD!$E$3,CommissionDD!$C$3,IF(C760&lt;=CommissionDD!$E$4,CommissionDD!$C$4,IF(C760&lt;=CommissionDD!$E$5,CommissionDD!$C$5,IF(C760&lt;=CommissionDD!$E$6,CommissionDD!$C$6,IF(C760&lt;=CommissionDD!$E$7,CommissionDD!$C$7,IF(C760&lt;=CommissionDD!$E$8,CommissionDD!$C$8,CommissionDD!$C$9))))))</f>
        <v>0.03</v>
      </c>
      <c r="F760" s="23" t="str">
        <f t="shared" si="35"/>
        <v/>
      </c>
      <c r="G760" s="23" t="str">
        <f>IF($B760="","",(Acc!$F760*CommissionDD!$C$30))</f>
        <v/>
      </c>
      <c r="H760" s="23" t="str">
        <f t="shared" si="33"/>
        <v/>
      </c>
    </row>
    <row r="761" spans="1:8">
      <c r="A761" s="21" t="str">
        <f t="shared" si="34"/>
        <v/>
      </c>
      <c r="B761" s="1" t="str">
        <f>IF(Cus!$B761&lt;&gt;"",Cus!$A761,"")</f>
        <v/>
      </c>
      <c r="C761" s="22" t="str">
        <f>IF($B761="","",Cus!$AA761)</f>
        <v/>
      </c>
      <c r="D761" s="23" t="str">
        <f>IF($B761="","",(Acc!$H761*$C761))</f>
        <v/>
      </c>
      <c r="E761" s="24">
        <f>IF(C761&lt;=CommissionDD!$E$3,CommissionDD!$C$3,IF(C761&lt;=CommissionDD!$E$4,CommissionDD!$C$4,IF(C761&lt;=CommissionDD!$E$5,CommissionDD!$C$5,IF(C761&lt;=CommissionDD!$E$6,CommissionDD!$C$6,IF(C761&lt;=CommissionDD!$E$7,CommissionDD!$C$7,IF(C761&lt;=CommissionDD!$E$8,CommissionDD!$C$8,CommissionDD!$C$9))))))</f>
        <v>0.03</v>
      </c>
      <c r="F761" s="23" t="str">
        <f t="shared" si="35"/>
        <v/>
      </c>
      <c r="G761" s="23" t="str">
        <f>IF($B761="","",(Acc!$F761*CommissionDD!$C$30))</f>
        <v/>
      </c>
      <c r="H761" s="23" t="str">
        <f t="shared" si="33"/>
        <v/>
      </c>
    </row>
    <row r="762" spans="1:8">
      <c r="A762" s="21" t="str">
        <f t="shared" si="34"/>
        <v/>
      </c>
      <c r="B762" s="1" t="str">
        <f>IF(Cus!$B762&lt;&gt;"",Cus!$A762,"")</f>
        <v/>
      </c>
      <c r="C762" s="22" t="str">
        <f>IF($B762="","",Cus!$AA762)</f>
        <v/>
      </c>
      <c r="D762" s="23" t="str">
        <f>IF($B762="","",(Acc!$H762*$C762))</f>
        <v/>
      </c>
      <c r="E762" s="24">
        <f>IF(C762&lt;=CommissionDD!$E$3,CommissionDD!$C$3,IF(C762&lt;=CommissionDD!$E$4,CommissionDD!$C$4,IF(C762&lt;=CommissionDD!$E$5,CommissionDD!$C$5,IF(C762&lt;=CommissionDD!$E$6,CommissionDD!$C$6,IF(C762&lt;=CommissionDD!$E$7,CommissionDD!$C$7,IF(C762&lt;=CommissionDD!$E$8,CommissionDD!$C$8,CommissionDD!$C$9))))))</f>
        <v>0.03</v>
      </c>
      <c r="F762" s="23" t="str">
        <f t="shared" si="35"/>
        <v/>
      </c>
      <c r="G762" s="23" t="str">
        <f>IF($B762="","",(Acc!$F762*CommissionDD!$C$30))</f>
        <v/>
      </c>
      <c r="H762" s="23" t="str">
        <f t="shared" si="33"/>
        <v/>
      </c>
    </row>
    <row r="763" spans="1:8">
      <c r="A763" s="21" t="str">
        <f t="shared" si="34"/>
        <v/>
      </c>
      <c r="B763" s="1" t="str">
        <f>IF(Cus!$B763&lt;&gt;"",Cus!$A763,"")</f>
        <v/>
      </c>
      <c r="C763" s="22" t="str">
        <f>IF($B763="","",Cus!$AA763)</f>
        <v/>
      </c>
      <c r="D763" s="23" t="str">
        <f>IF($B763="","",(Acc!$H763*$C763))</f>
        <v/>
      </c>
      <c r="E763" s="24">
        <f>IF(C763&lt;=CommissionDD!$E$3,CommissionDD!$C$3,IF(C763&lt;=CommissionDD!$E$4,CommissionDD!$C$4,IF(C763&lt;=CommissionDD!$E$5,CommissionDD!$C$5,IF(C763&lt;=CommissionDD!$E$6,CommissionDD!$C$6,IF(C763&lt;=CommissionDD!$E$7,CommissionDD!$C$7,IF(C763&lt;=CommissionDD!$E$8,CommissionDD!$C$8,CommissionDD!$C$9))))))</f>
        <v>0.03</v>
      </c>
      <c r="F763" s="23" t="str">
        <f t="shared" si="35"/>
        <v/>
      </c>
      <c r="G763" s="23" t="str">
        <f>IF($B763="","",(Acc!$F763*CommissionDD!$C$30))</f>
        <v/>
      </c>
      <c r="H763" s="23" t="str">
        <f t="shared" si="33"/>
        <v/>
      </c>
    </row>
    <row r="764" spans="1:8">
      <c r="A764" s="21" t="str">
        <f t="shared" si="34"/>
        <v/>
      </c>
      <c r="B764" s="1" t="str">
        <f>IF(Cus!$B764&lt;&gt;"",Cus!$A764,"")</f>
        <v/>
      </c>
      <c r="C764" s="22" t="str">
        <f>IF($B764="","",Cus!$AA764)</f>
        <v/>
      </c>
      <c r="D764" s="23" t="str">
        <f>IF($B764="","",(Acc!$H764*$C764))</f>
        <v/>
      </c>
      <c r="E764" s="24">
        <f>IF(C764&lt;=CommissionDD!$E$3,CommissionDD!$C$3,IF(C764&lt;=CommissionDD!$E$4,CommissionDD!$C$4,IF(C764&lt;=CommissionDD!$E$5,CommissionDD!$C$5,IF(C764&lt;=CommissionDD!$E$6,CommissionDD!$C$6,IF(C764&lt;=CommissionDD!$E$7,CommissionDD!$C$7,IF(C764&lt;=CommissionDD!$E$8,CommissionDD!$C$8,CommissionDD!$C$9))))))</f>
        <v>0.03</v>
      </c>
      <c r="F764" s="23" t="str">
        <f t="shared" si="35"/>
        <v/>
      </c>
      <c r="G764" s="23" t="str">
        <f>IF($B764="","",(Acc!$F764*CommissionDD!$C$30))</f>
        <v/>
      </c>
      <c r="H764" s="23" t="str">
        <f t="shared" si="33"/>
        <v/>
      </c>
    </row>
    <row r="765" spans="1:8">
      <c r="A765" s="21" t="str">
        <f t="shared" si="34"/>
        <v/>
      </c>
      <c r="B765" s="1" t="str">
        <f>IF(Cus!$B765&lt;&gt;"",Cus!$A765,"")</f>
        <v/>
      </c>
      <c r="C765" s="22" t="str">
        <f>IF($B765="","",Cus!$AA765)</f>
        <v/>
      </c>
      <c r="D765" s="23" t="str">
        <f>IF($B765="","",(Acc!$H765*$C765))</f>
        <v/>
      </c>
      <c r="E765" s="24">
        <f>IF(C765&lt;=CommissionDD!$E$3,CommissionDD!$C$3,IF(C765&lt;=CommissionDD!$E$4,CommissionDD!$C$4,IF(C765&lt;=CommissionDD!$E$5,CommissionDD!$C$5,IF(C765&lt;=CommissionDD!$E$6,CommissionDD!$C$6,IF(C765&lt;=CommissionDD!$E$7,CommissionDD!$C$7,IF(C765&lt;=CommissionDD!$E$8,CommissionDD!$C$8,CommissionDD!$C$9))))))</f>
        <v>0.03</v>
      </c>
      <c r="F765" s="23" t="str">
        <f t="shared" si="35"/>
        <v/>
      </c>
      <c r="G765" s="23" t="str">
        <f>IF($B765="","",(Acc!$F765*CommissionDD!$C$30))</f>
        <v/>
      </c>
      <c r="H765" s="23" t="str">
        <f t="shared" si="33"/>
        <v/>
      </c>
    </row>
    <row r="766" spans="1:8">
      <c r="A766" s="21" t="str">
        <f t="shared" si="34"/>
        <v/>
      </c>
      <c r="B766" s="1" t="str">
        <f>IF(Cus!$B766&lt;&gt;"",Cus!$A766,"")</f>
        <v/>
      </c>
      <c r="C766" s="22" t="str">
        <f>IF($B766="","",Cus!$AA766)</f>
        <v/>
      </c>
      <c r="D766" s="23" t="str">
        <f>IF($B766="","",(Acc!$H766*$C766))</f>
        <v/>
      </c>
      <c r="E766" s="24">
        <f>IF(C766&lt;=CommissionDD!$E$3,CommissionDD!$C$3,IF(C766&lt;=CommissionDD!$E$4,CommissionDD!$C$4,IF(C766&lt;=CommissionDD!$E$5,CommissionDD!$C$5,IF(C766&lt;=CommissionDD!$E$6,CommissionDD!$C$6,IF(C766&lt;=CommissionDD!$E$7,CommissionDD!$C$7,IF(C766&lt;=CommissionDD!$E$8,CommissionDD!$C$8,CommissionDD!$C$9))))))</f>
        <v>0.03</v>
      </c>
      <c r="F766" s="23" t="str">
        <f t="shared" si="35"/>
        <v/>
      </c>
      <c r="G766" s="23" t="str">
        <f>IF($B766="","",(Acc!$F766*CommissionDD!$C$30))</f>
        <v/>
      </c>
      <c r="H766" s="23" t="str">
        <f t="shared" si="33"/>
        <v/>
      </c>
    </row>
    <row r="767" spans="1:8">
      <c r="A767" s="21" t="str">
        <f t="shared" si="34"/>
        <v/>
      </c>
      <c r="B767" s="1" t="str">
        <f>IF(Cus!$B767&lt;&gt;"",Cus!$A767,"")</f>
        <v/>
      </c>
      <c r="C767" s="22" t="str">
        <f>IF($B767="","",Cus!$AA767)</f>
        <v/>
      </c>
      <c r="D767" s="23" t="str">
        <f>IF($B767="","",(Acc!$H767*$C767))</f>
        <v/>
      </c>
      <c r="E767" s="24">
        <f>IF(C767&lt;=CommissionDD!$E$3,CommissionDD!$C$3,IF(C767&lt;=CommissionDD!$E$4,CommissionDD!$C$4,IF(C767&lt;=CommissionDD!$E$5,CommissionDD!$C$5,IF(C767&lt;=CommissionDD!$E$6,CommissionDD!$C$6,IF(C767&lt;=CommissionDD!$E$7,CommissionDD!$C$7,IF(C767&lt;=CommissionDD!$E$8,CommissionDD!$C$8,CommissionDD!$C$9))))))</f>
        <v>0.03</v>
      </c>
      <c r="F767" s="23" t="str">
        <f t="shared" si="35"/>
        <v/>
      </c>
      <c r="G767" s="23" t="str">
        <f>IF($B767="","",(Acc!$F767*CommissionDD!$C$30))</f>
        <v/>
      </c>
      <c r="H767" s="23" t="str">
        <f t="shared" si="33"/>
        <v/>
      </c>
    </row>
    <row r="768" spans="1:8">
      <c r="A768" s="21" t="str">
        <f t="shared" si="34"/>
        <v/>
      </c>
      <c r="B768" s="1" t="str">
        <f>IF(Cus!$B768&lt;&gt;"",Cus!$A768,"")</f>
        <v/>
      </c>
      <c r="C768" s="22" t="str">
        <f>IF($B768="","",Cus!$AA768)</f>
        <v/>
      </c>
      <c r="D768" s="23" t="str">
        <f>IF($B768="","",(Acc!$H768*$C768))</f>
        <v/>
      </c>
      <c r="E768" s="24">
        <f>IF(C768&lt;=CommissionDD!$E$3,CommissionDD!$C$3,IF(C768&lt;=CommissionDD!$E$4,CommissionDD!$C$4,IF(C768&lt;=CommissionDD!$E$5,CommissionDD!$C$5,IF(C768&lt;=CommissionDD!$E$6,CommissionDD!$C$6,IF(C768&lt;=CommissionDD!$E$7,CommissionDD!$C$7,IF(C768&lt;=CommissionDD!$E$8,CommissionDD!$C$8,CommissionDD!$C$9))))))</f>
        <v>0.03</v>
      </c>
      <c r="F768" s="23" t="str">
        <f t="shared" si="35"/>
        <v/>
      </c>
      <c r="G768" s="23" t="str">
        <f>IF($B768="","",(Acc!$F768*CommissionDD!$C$30))</f>
        <v/>
      </c>
      <c r="H768" s="23" t="str">
        <f t="shared" si="33"/>
        <v/>
      </c>
    </row>
    <row r="769" spans="1:8">
      <c r="A769" s="21" t="str">
        <f t="shared" si="34"/>
        <v/>
      </c>
      <c r="B769" s="1" t="str">
        <f>IF(Cus!$B769&lt;&gt;"",Cus!$A769,"")</f>
        <v/>
      </c>
      <c r="C769" s="22" t="str">
        <f>IF($B769="","",Cus!$AA769)</f>
        <v/>
      </c>
      <c r="D769" s="23" t="str">
        <f>IF($B769="","",(Acc!$H769*$C769))</f>
        <v/>
      </c>
      <c r="E769" s="24">
        <f>IF(C769&lt;=CommissionDD!$E$3,CommissionDD!$C$3,IF(C769&lt;=CommissionDD!$E$4,CommissionDD!$C$4,IF(C769&lt;=CommissionDD!$E$5,CommissionDD!$C$5,IF(C769&lt;=CommissionDD!$E$6,CommissionDD!$C$6,IF(C769&lt;=CommissionDD!$E$7,CommissionDD!$C$7,IF(C769&lt;=CommissionDD!$E$8,CommissionDD!$C$8,CommissionDD!$C$9))))))</f>
        <v>0.03</v>
      </c>
      <c r="F769" s="23" t="str">
        <f t="shared" si="35"/>
        <v/>
      </c>
      <c r="G769" s="23" t="str">
        <f>IF($B769="","",(Acc!$F769*CommissionDD!$C$30))</f>
        <v/>
      </c>
      <c r="H769" s="23" t="str">
        <f t="shared" si="33"/>
        <v/>
      </c>
    </row>
    <row r="770" spans="1:8">
      <c r="A770" s="21" t="str">
        <f t="shared" si="34"/>
        <v/>
      </c>
      <c r="B770" s="1" t="str">
        <f>IF(Cus!$B770&lt;&gt;"",Cus!$A770,"")</f>
        <v/>
      </c>
      <c r="C770" s="22" t="str">
        <f>IF($B770="","",Cus!$AA770)</f>
        <v/>
      </c>
      <c r="D770" s="23" t="str">
        <f>IF($B770="","",(Acc!$H770*$C770))</f>
        <v/>
      </c>
      <c r="E770" s="24">
        <f>IF(C770&lt;=CommissionDD!$E$3,CommissionDD!$C$3,IF(C770&lt;=CommissionDD!$E$4,CommissionDD!$C$4,IF(C770&lt;=CommissionDD!$E$5,CommissionDD!$C$5,IF(C770&lt;=CommissionDD!$E$6,CommissionDD!$C$6,IF(C770&lt;=CommissionDD!$E$7,CommissionDD!$C$7,IF(C770&lt;=CommissionDD!$E$8,CommissionDD!$C$8,CommissionDD!$C$9))))))</f>
        <v>0.03</v>
      </c>
      <c r="F770" s="23" t="str">
        <f t="shared" si="35"/>
        <v/>
      </c>
      <c r="G770" s="23" t="str">
        <f>IF($B770="","",(Acc!$F770*CommissionDD!$C$30))</f>
        <v/>
      </c>
      <c r="H770" s="23" t="str">
        <f t="shared" ref="H770:H833" si="36">IF($B770="","",F770+G770)</f>
        <v/>
      </c>
    </row>
    <row r="771" spans="1:8">
      <c r="A771" s="21" t="str">
        <f t="shared" ref="A771:A834" si="37">IF($B771="","",(ROW($A770)))</f>
        <v/>
      </c>
      <c r="B771" s="1" t="str">
        <f>IF(Cus!$B771&lt;&gt;"",Cus!$A771,"")</f>
        <v/>
      </c>
      <c r="C771" s="22" t="str">
        <f>IF($B771="","",Cus!$AA771)</f>
        <v/>
      </c>
      <c r="D771" s="23" t="str">
        <f>IF($B771="","",(Acc!$H771*$C771))</f>
        <v/>
      </c>
      <c r="E771" s="24">
        <f>IF(C771&lt;=CommissionDD!$E$3,CommissionDD!$C$3,IF(C771&lt;=CommissionDD!$E$4,CommissionDD!$C$4,IF(C771&lt;=CommissionDD!$E$5,CommissionDD!$C$5,IF(C771&lt;=CommissionDD!$E$6,CommissionDD!$C$6,IF(C771&lt;=CommissionDD!$E$7,CommissionDD!$C$7,IF(C771&lt;=CommissionDD!$E$8,CommissionDD!$C$8,CommissionDD!$C$9))))))</f>
        <v>0.03</v>
      </c>
      <c r="F771" s="23" t="str">
        <f t="shared" si="35"/>
        <v/>
      </c>
      <c r="G771" s="23" t="str">
        <f>IF($B771="","",(Acc!$F771*CommissionDD!$C$30))</f>
        <v/>
      </c>
      <c r="H771" s="23" t="str">
        <f t="shared" si="36"/>
        <v/>
      </c>
    </row>
    <row r="772" spans="1:8">
      <c r="A772" s="21" t="str">
        <f t="shared" si="37"/>
        <v/>
      </c>
      <c r="B772" s="1" t="str">
        <f>IF(Cus!$B772&lt;&gt;"",Cus!$A772,"")</f>
        <v/>
      </c>
      <c r="C772" s="22" t="str">
        <f>IF($B772="","",Cus!$AA772)</f>
        <v/>
      </c>
      <c r="D772" s="23" t="str">
        <f>IF($B772="","",(Acc!$H772*$C772))</f>
        <v/>
      </c>
      <c r="E772" s="24">
        <f>IF(C772&lt;=CommissionDD!$E$3,CommissionDD!$C$3,IF(C772&lt;=CommissionDD!$E$4,CommissionDD!$C$4,IF(C772&lt;=CommissionDD!$E$5,CommissionDD!$C$5,IF(C772&lt;=CommissionDD!$E$6,CommissionDD!$C$6,IF(C772&lt;=CommissionDD!$E$7,CommissionDD!$C$7,IF(C772&lt;=CommissionDD!$E$8,CommissionDD!$C$8,CommissionDD!$C$9))))))</f>
        <v>0.03</v>
      </c>
      <c r="F772" s="23" t="str">
        <f t="shared" si="35"/>
        <v/>
      </c>
      <c r="G772" s="23" t="str">
        <f>IF($B772="","",(Acc!$F772*CommissionDD!$C$30))</f>
        <v/>
      </c>
      <c r="H772" s="23" t="str">
        <f t="shared" si="36"/>
        <v/>
      </c>
    </row>
    <row r="773" spans="1:8">
      <c r="A773" s="21" t="str">
        <f t="shared" si="37"/>
        <v/>
      </c>
      <c r="B773" s="1" t="str">
        <f>IF(Cus!$B773&lt;&gt;"",Cus!$A773,"")</f>
        <v/>
      </c>
      <c r="C773" s="22" t="str">
        <f>IF($B773="","",Cus!$AA773)</f>
        <v/>
      </c>
      <c r="D773" s="23" t="str">
        <f>IF($B773="","",(Acc!$H773*$C773))</f>
        <v/>
      </c>
      <c r="E773" s="24">
        <f>IF(C773&lt;=CommissionDD!$E$3,CommissionDD!$C$3,IF(C773&lt;=CommissionDD!$E$4,CommissionDD!$C$4,IF(C773&lt;=CommissionDD!$E$5,CommissionDD!$C$5,IF(C773&lt;=CommissionDD!$E$6,CommissionDD!$C$6,IF(C773&lt;=CommissionDD!$E$7,CommissionDD!$C$7,IF(C773&lt;=CommissionDD!$E$8,CommissionDD!$C$8,CommissionDD!$C$9))))))</f>
        <v>0.03</v>
      </c>
      <c r="F773" s="23" t="str">
        <f t="shared" ref="F773:F836" si="38">IF($B773="","",D773*E773)</f>
        <v/>
      </c>
      <c r="G773" s="23" t="str">
        <f>IF($B773="","",(Acc!$F773*CommissionDD!$C$30))</f>
        <v/>
      </c>
      <c r="H773" s="23" t="str">
        <f t="shared" si="36"/>
        <v/>
      </c>
    </row>
    <row r="774" spans="1:8">
      <c r="A774" s="21" t="str">
        <f t="shared" si="37"/>
        <v/>
      </c>
      <c r="B774" s="1" t="str">
        <f>IF(Cus!$B774&lt;&gt;"",Cus!$A774,"")</f>
        <v/>
      </c>
      <c r="C774" s="22" t="str">
        <f>IF($B774="","",Cus!$AA774)</f>
        <v/>
      </c>
      <c r="D774" s="23" t="str">
        <f>IF($B774="","",(Acc!$H774*$C774))</f>
        <v/>
      </c>
      <c r="E774" s="24">
        <f>IF(C774&lt;=CommissionDD!$E$3,CommissionDD!$C$3,IF(C774&lt;=CommissionDD!$E$4,CommissionDD!$C$4,IF(C774&lt;=CommissionDD!$E$5,CommissionDD!$C$5,IF(C774&lt;=CommissionDD!$E$6,CommissionDD!$C$6,IF(C774&lt;=CommissionDD!$E$7,CommissionDD!$C$7,IF(C774&lt;=CommissionDD!$E$8,CommissionDD!$C$8,CommissionDD!$C$9))))))</f>
        <v>0.03</v>
      </c>
      <c r="F774" s="23" t="str">
        <f t="shared" si="38"/>
        <v/>
      </c>
      <c r="G774" s="23" t="str">
        <f>IF($B774="","",(Acc!$F774*CommissionDD!$C$30))</f>
        <v/>
      </c>
      <c r="H774" s="23" t="str">
        <f t="shared" si="36"/>
        <v/>
      </c>
    </row>
    <row r="775" spans="1:8">
      <c r="A775" s="21" t="str">
        <f t="shared" si="37"/>
        <v/>
      </c>
      <c r="B775" s="1" t="str">
        <f>IF(Cus!$B775&lt;&gt;"",Cus!$A775,"")</f>
        <v/>
      </c>
      <c r="C775" s="22" t="str">
        <f>IF($B775="","",Cus!$AA775)</f>
        <v/>
      </c>
      <c r="D775" s="23" t="str">
        <f>IF($B775="","",(Acc!$H775*$C775))</f>
        <v/>
      </c>
      <c r="E775" s="24">
        <f>IF(C775&lt;=CommissionDD!$E$3,CommissionDD!$C$3,IF(C775&lt;=CommissionDD!$E$4,CommissionDD!$C$4,IF(C775&lt;=CommissionDD!$E$5,CommissionDD!$C$5,IF(C775&lt;=CommissionDD!$E$6,CommissionDD!$C$6,IF(C775&lt;=CommissionDD!$E$7,CommissionDD!$C$7,IF(C775&lt;=CommissionDD!$E$8,CommissionDD!$C$8,CommissionDD!$C$9))))))</f>
        <v>0.03</v>
      </c>
      <c r="F775" s="23" t="str">
        <f t="shared" si="38"/>
        <v/>
      </c>
      <c r="G775" s="23" t="str">
        <f>IF($B775="","",(Acc!$F775*CommissionDD!$C$30))</f>
        <v/>
      </c>
      <c r="H775" s="23" t="str">
        <f t="shared" si="36"/>
        <v/>
      </c>
    </row>
    <row r="776" spans="1:8">
      <c r="A776" s="21" t="str">
        <f t="shared" si="37"/>
        <v/>
      </c>
      <c r="B776" s="1" t="str">
        <f>IF(Cus!$B776&lt;&gt;"",Cus!$A776,"")</f>
        <v/>
      </c>
      <c r="C776" s="22" t="str">
        <f>IF($B776="","",Cus!$AA776)</f>
        <v/>
      </c>
      <c r="D776" s="23" t="str">
        <f>IF($B776="","",(Acc!$H776*$C776))</f>
        <v/>
      </c>
      <c r="E776" s="24">
        <f>IF(C776&lt;=CommissionDD!$E$3,CommissionDD!$C$3,IF(C776&lt;=CommissionDD!$E$4,CommissionDD!$C$4,IF(C776&lt;=CommissionDD!$E$5,CommissionDD!$C$5,IF(C776&lt;=CommissionDD!$E$6,CommissionDD!$C$6,IF(C776&lt;=CommissionDD!$E$7,CommissionDD!$C$7,IF(C776&lt;=CommissionDD!$E$8,CommissionDD!$C$8,CommissionDD!$C$9))))))</f>
        <v>0.03</v>
      </c>
      <c r="F776" s="23" t="str">
        <f t="shared" si="38"/>
        <v/>
      </c>
      <c r="G776" s="23" t="str">
        <f>IF($B776="","",(Acc!$F776*CommissionDD!$C$30))</f>
        <v/>
      </c>
      <c r="H776" s="23" t="str">
        <f t="shared" si="36"/>
        <v/>
      </c>
    </row>
    <row r="777" spans="1:8">
      <c r="A777" s="21" t="str">
        <f t="shared" si="37"/>
        <v/>
      </c>
      <c r="B777" s="1" t="str">
        <f>IF(Cus!$B777&lt;&gt;"",Cus!$A777,"")</f>
        <v/>
      </c>
      <c r="C777" s="22" t="str">
        <f>IF($B777="","",Cus!$AA777)</f>
        <v/>
      </c>
      <c r="D777" s="23" t="str">
        <f>IF($B777="","",(Acc!$H777*$C777))</f>
        <v/>
      </c>
      <c r="E777" s="24">
        <f>IF(C777&lt;=CommissionDD!$E$3,CommissionDD!$C$3,IF(C777&lt;=CommissionDD!$E$4,CommissionDD!$C$4,IF(C777&lt;=CommissionDD!$E$5,CommissionDD!$C$5,IF(C777&lt;=CommissionDD!$E$6,CommissionDD!$C$6,IF(C777&lt;=CommissionDD!$E$7,CommissionDD!$C$7,IF(C777&lt;=CommissionDD!$E$8,CommissionDD!$C$8,CommissionDD!$C$9))))))</f>
        <v>0.03</v>
      </c>
      <c r="F777" s="23" t="str">
        <f t="shared" si="38"/>
        <v/>
      </c>
      <c r="G777" s="23" t="str">
        <f>IF($B777="","",(Acc!$F777*CommissionDD!$C$30))</f>
        <v/>
      </c>
      <c r="H777" s="23" t="str">
        <f t="shared" si="36"/>
        <v/>
      </c>
    </row>
    <row r="778" spans="1:8">
      <c r="A778" s="21" t="str">
        <f t="shared" si="37"/>
        <v/>
      </c>
      <c r="B778" s="1" t="str">
        <f>IF(Cus!$B778&lt;&gt;"",Cus!$A778,"")</f>
        <v/>
      </c>
      <c r="C778" s="22" t="str">
        <f>IF($B778="","",Cus!$AA778)</f>
        <v/>
      </c>
      <c r="D778" s="23" t="str">
        <f>IF($B778="","",(Acc!$H778*$C778))</f>
        <v/>
      </c>
      <c r="E778" s="24">
        <f>IF(C778&lt;=CommissionDD!$E$3,CommissionDD!$C$3,IF(C778&lt;=CommissionDD!$E$4,CommissionDD!$C$4,IF(C778&lt;=CommissionDD!$E$5,CommissionDD!$C$5,IF(C778&lt;=CommissionDD!$E$6,CommissionDD!$C$6,IF(C778&lt;=CommissionDD!$E$7,CommissionDD!$C$7,IF(C778&lt;=CommissionDD!$E$8,CommissionDD!$C$8,CommissionDD!$C$9))))))</f>
        <v>0.03</v>
      </c>
      <c r="F778" s="23" t="str">
        <f t="shared" si="38"/>
        <v/>
      </c>
      <c r="G778" s="23" t="str">
        <f>IF($B778="","",(Acc!$F778*CommissionDD!$C$30))</f>
        <v/>
      </c>
      <c r="H778" s="23" t="str">
        <f t="shared" si="36"/>
        <v/>
      </c>
    </row>
    <row r="779" spans="1:8">
      <c r="A779" s="21" t="str">
        <f t="shared" si="37"/>
        <v/>
      </c>
      <c r="B779" s="1" t="str">
        <f>IF(Cus!$B779&lt;&gt;"",Cus!$A779,"")</f>
        <v/>
      </c>
      <c r="C779" s="22" t="str">
        <f>IF($B779="","",Cus!$AA779)</f>
        <v/>
      </c>
      <c r="D779" s="23" t="str">
        <f>IF($B779="","",(Acc!$H779*$C779))</f>
        <v/>
      </c>
      <c r="E779" s="24">
        <f>IF(C779&lt;=CommissionDD!$E$3,CommissionDD!$C$3,IF(C779&lt;=CommissionDD!$E$4,CommissionDD!$C$4,IF(C779&lt;=CommissionDD!$E$5,CommissionDD!$C$5,IF(C779&lt;=CommissionDD!$E$6,CommissionDD!$C$6,IF(C779&lt;=CommissionDD!$E$7,CommissionDD!$C$7,IF(C779&lt;=CommissionDD!$E$8,CommissionDD!$C$8,CommissionDD!$C$9))))))</f>
        <v>0.03</v>
      </c>
      <c r="F779" s="23" t="str">
        <f t="shared" si="38"/>
        <v/>
      </c>
      <c r="G779" s="23" t="str">
        <f>IF($B779="","",(Acc!$F779*CommissionDD!$C$30))</f>
        <v/>
      </c>
      <c r="H779" s="23" t="str">
        <f t="shared" si="36"/>
        <v/>
      </c>
    </row>
    <row r="780" spans="1:8">
      <c r="A780" s="21" t="str">
        <f t="shared" si="37"/>
        <v/>
      </c>
      <c r="B780" s="1" t="str">
        <f>IF(Cus!$B780&lt;&gt;"",Cus!$A780,"")</f>
        <v/>
      </c>
      <c r="C780" s="22" t="str">
        <f>IF($B780="","",Cus!$AA780)</f>
        <v/>
      </c>
      <c r="D780" s="23" t="str">
        <f>IF($B780="","",(Acc!$H780*$C780))</f>
        <v/>
      </c>
      <c r="E780" s="24">
        <f>IF(C780&lt;=CommissionDD!$E$3,CommissionDD!$C$3,IF(C780&lt;=CommissionDD!$E$4,CommissionDD!$C$4,IF(C780&lt;=CommissionDD!$E$5,CommissionDD!$C$5,IF(C780&lt;=CommissionDD!$E$6,CommissionDD!$C$6,IF(C780&lt;=CommissionDD!$E$7,CommissionDD!$C$7,IF(C780&lt;=CommissionDD!$E$8,CommissionDD!$C$8,CommissionDD!$C$9))))))</f>
        <v>0.03</v>
      </c>
      <c r="F780" s="23" t="str">
        <f t="shared" si="38"/>
        <v/>
      </c>
      <c r="G780" s="23" t="str">
        <f>IF($B780="","",(Acc!$F780*CommissionDD!$C$30))</f>
        <v/>
      </c>
      <c r="H780" s="23" t="str">
        <f t="shared" si="36"/>
        <v/>
      </c>
    </row>
    <row r="781" spans="1:8">
      <c r="A781" s="21" t="str">
        <f t="shared" si="37"/>
        <v/>
      </c>
      <c r="B781" s="1" t="str">
        <f>IF(Cus!$B781&lt;&gt;"",Cus!$A781,"")</f>
        <v/>
      </c>
      <c r="C781" s="22" t="str">
        <f>IF($B781="","",Cus!$AA781)</f>
        <v/>
      </c>
      <c r="D781" s="23" t="str">
        <f>IF($B781="","",(Acc!$H781*$C781))</f>
        <v/>
      </c>
      <c r="E781" s="24">
        <f>IF(C781&lt;=CommissionDD!$E$3,CommissionDD!$C$3,IF(C781&lt;=CommissionDD!$E$4,CommissionDD!$C$4,IF(C781&lt;=CommissionDD!$E$5,CommissionDD!$C$5,IF(C781&lt;=CommissionDD!$E$6,CommissionDD!$C$6,IF(C781&lt;=CommissionDD!$E$7,CommissionDD!$C$7,IF(C781&lt;=CommissionDD!$E$8,CommissionDD!$C$8,CommissionDD!$C$9))))))</f>
        <v>0.03</v>
      </c>
      <c r="F781" s="23" t="str">
        <f t="shared" si="38"/>
        <v/>
      </c>
      <c r="G781" s="23" t="str">
        <f>IF($B781="","",(Acc!$F781*CommissionDD!$C$30))</f>
        <v/>
      </c>
      <c r="H781" s="23" t="str">
        <f t="shared" si="36"/>
        <v/>
      </c>
    </row>
    <row r="782" spans="1:8">
      <c r="A782" s="21" t="str">
        <f t="shared" si="37"/>
        <v/>
      </c>
      <c r="B782" s="1" t="str">
        <f>IF(Cus!$B782&lt;&gt;"",Cus!$A782,"")</f>
        <v/>
      </c>
      <c r="C782" s="22" t="str">
        <f>IF($B782="","",Cus!$AA782)</f>
        <v/>
      </c>
      <c r="D782" s="23" t="str">
        <f>IF($B782="","",(Acc!$H782*$C782))</f>
        <v/>
      </c>
      <c r="E782" s="24">
        <f>IF(C782&lt;=CommissionDD!$E$3,CommissionDD!$C$3,IF(C782&lt;=CommissionDD!$E$4,CommissionDD!$C$4,IF(C782&lt;=CommissionDD!$E$5,CommissionDD!$C$5,IF(C782&lt;=CommissionDD!$E$6,CommissionDD!$C$6,IF(C782&lt;=CommissionDD!$E$7,CommissionDD!$C$7,IF(C782&lt;=CommissionDD!$E$8,CommissionDD!$C$8,CommissionDD!$C$9))))))</f>
        <v>0.03</v>
      </c>
      <c r="F782" s="23" t="str">
        <f t="shared" si="38"/>
        <v/>
      </c>
      <c r="G782" s="23" t="str">
        <f>IF($B782="","",(Acc!$F782*CommissionDD!$C$30))</f>
        <v/>
      </c>
      <c r="H782" s="23" t="str">
        <f t="shared" si="36"/>
        <v/>
      </c>
    </row>
    <row r="783" spans="1:8">
      <c r="A783" s="21" t="str">
        <f t="shared" si="37"/>
        <v/>
      </c>
      <c r="B783" s="1" t="str">
        <f>IF(Cus!$B783&lt;&gt;"",Cus!$A783,"")</f>
        <v/>
      </c>
      <c r="C783" s="22" t="str">
        <f>IF($B783="","",Cus!$AA783)</f>
        <v/>
      </c>
      <c r="D783" s="23" t="str">
        <f>IF($B783="","",(Acc!$H783*$C783))</f>
        <v/>
      </c>
      <c r="E783" s="24">
        <f>IF(C783&lt;=CommissionDD!$E$3,CommissionDD!$C$3,IF(C783&lt;=CommissionDD!$E$4,CommissionDD!$C$4,IF(C783&lt;=CommissionDD!$E$5,CommissionDD!$C$5,IF(C783&lt;=CommissionDD!$E$6,CommissionDD!$C$6,IF(C783&lt;=CommissionDD!$E$7,CommissionDD!$C$7,IF(C783&lt;=CommissionDD!$E$8,CommissionDD!$C$8,CommissionDD!$C$9))))))</f>
        <v>0.03</v>
      </c>
      <c r="F783" s="23" t="str">
        <f t="shared" si="38"/>
        <v/>
      </c>
      <c r="G783" s="23" t="str">
        <f>IF($B783="","",(Acc!$F783*CommissionDD!$C$30))</f>
        <v/>
      </c>
      <c r="H783" s="23" t="str">
        <f t="shared" si="36"/>
        <v/>
      </c>
    </row>
    <row r="784" spans="1:8">
      <c r="A784" s="21" t="str">
        <f t="shared" si="37"/>
        <v/>
      </c>
      <c r="B784" s="1" t="str">
        <f>IF(Cus!$B784&lt;&gt;"",Cus!$A784,"")</f>
        <v/>
      </c>
      <c r="C784" s="22" t="str">
        <f>IF($B784="","",Cus!$AA784)</f>
        <v/>
      </c>
      <c r="D784" s="23" t="str">
        <f>IF($B784="","",(Acc!$H784*$C784))</f>
        <v/>
      </c>
      <c r="E784" s="24">
        <f>IF(C784&lt;=CommissionDD!$E$3,CommissionDD!$C$3,IF(C784&lt;=CommissionDD!$E$4,CommissionDD!$C$4,IF(C784&lt;=CommissionDD!$E$5,CommissionDD!$C$5,IF(C784&lt;=CommissionDD!$E$6,CommissionDD!$C$6,IF(C784&lt;=CommissionDD!$E$7,CommissionDD!$C$7,IF(C784&lt;=CommissionDD!$E$8,CommissionDD!$C$8,CommissionDD!$C$9))))))</f>
        <v>0.03</v>
      </c>
      <c r="F784" s="23" t="str">
        <f t="shared" si="38"/>
        <v/>
      </c>
      <c r="G784" s="23" t="str">
        <f>IF($B784="","",(Acc!$F784*CommissionDD!$C$30))</f>
        <v/>
      </c>
      <c r="H784" s="23" t="str">
        <f t="shared" si="36"/>
        <v/>
      </c>
    </row>
    <row r="785" spans="1:8">
      <c r="A785" s="21" t="str">
        <f t="shared" si="37"/>
        <v/>
      </c>
      <c r="B785" s="1" t="str">
        <f>IF(Cus!$B785&lt;&gt;"",Cus!$A785,"")</f>
        <v/>
      </c>
      <c r="C785" s="22" t="str">
        <f>IF($B785="","",Cus!$AA785)</f>
        <v/>
      </c>
      <c r="D785" s="23" t="str">
        <f>IF($B785="","",(Acc!$H785*$C785))</f>
        <v/>
      </c>
      <c r="E785" s="24">
        <f>IF(C785&lt;=CommissionDD!$E$3,CommissionDD!$C$3,IF(C785&lt;=CommissionDD!$E$4,CommissionDD!$C$4,IF(C785&lt;=CommissionDD!$E$5,CommissionDD!$C$5,IF(C785&lt;=CommissionDD!$E$6,CommissionDD!$C$6,IF(C785&lt;=CommissionDD!$E$7,CommissionDD!$C$7,IF(C785&lt;=CommissionDD!$E$8,CommissionDD!$C$8,CommissionDD!$C$9))))))</f>
        <v>0.03</v>
      </c>
      <c r="F785" s="23" t="str">
        <f t="shared" si="38"/>
        <v/>
      </c>
      <c r="G785" s="23" t="str">
        <f>IF($B785="","",(Acc!$F785*CommissionDD!$C$30))</f>
        <v/>
      </c>
      <c r="H785" s="23" t="str">
        <f t="shared" si="36"/>
        <v/>
      </c>
    </row>
    <row r="786" spans="1:8">
      <c r="A786" s="21" t="str">
        <f t="shared" si="37"/>
        <v/>
      </c>
      <c r="B786" s="1" t="str">
        <f>IF(Cus!$B786&lt;&gt;"",Cus!$A786,"")</f>
        <v/>
      </c>
      <c r="C786" s="22" t="str">
        <f>IF($B786="","",Cus!$AA786)</f>
        <v/>
      </c>
      <c r="D786" s="23" t="str">
        <f>IF($B786="","",(Acc!$H786*$C786))</f>
        <v/>
      </c>
      <c r="E786" s="24">
        <f>IF(C786&lt;=CommissionDD!$E$3,CommissionDD!$C$3,IF(C786&lt;=CommissionDD!$E$4,CommissionDD!$C$4,IF(C786&lt;=CommissionDD!$E$5,CommissionDD!$C$5,IF(C786&lt;=CommissionDD!$E$6,CommissionDD!$C$6,IF(C786&lt;=CommissionDD!$E$7,CommissionDD!$C$7,IF(C786&lt;=CommissionDD!$E$8,CommissionDD!$C$8,CommissionDD!$C$9))))))</f>
        <v>0.03</v>
      </c>
      <c r="F786" s="23" t="str">
        <f t="shared" si="38"/>
        <v/>
      </c>
      <c r="G786" s="23" t="str">
        <f>IF($B786="","",(Acc!$F786*CommissionDD!$C$30))</f>
        <v/>
      </c>
      <c r="H786" s="23" t="str">
        <f t="shared" si="36"/>
        <v/>
      </c>
    </row>
    <row r="787" spans="1:8">
      <c r="A787" s="21" t="str">
        <f t="shared" si="37"/>
        <v/>
      </c>
      <c r="B787" s="1" t="str">
        <f>IF(Cus!$B787&lt;&gt;"",Cus!$A787,"")</f>
        <v/>
      </c>
      <c r="C787" s="22" t="str">
        <f>IF($B787="","",Cus!$AA787)</f>
        <v/>
      </c>
      <c r="D787" s="23" t="str">
        <f>IF($B787="","",(Acc!$H787*$C787))</f>
        <v/>
      </c>
      <c r="E787" s="24">
        <f>IF(C787&lt;=CommissionDD!$E$3,CommissionDD!$C$3,IF(C787&lt;=CommissionDD!$E$4,CommissionDD!$C$4,IF(C787&lt;=CommissionDD!$E$5,CommissionDD!$C$5,IF(C787&lt;=CommissionDD!$E$6,CommissionDD!$C$6,IF(C787&lt;=CommissionDD!$E$7,CommissionDD!$C$7,IF(C787&lt;=CommissionDD!$E$8,CommissionDD!$C$8,CommissionDD!$C$9))))))</f>
        <v>0.03</v>
      </c>
      <c r="F787" s="23" t="str">
        <f t="shared" si="38"/>
        <v/>
      </c>
      <c r="G787" s="23" t="str">
        <f>IF($B787="","",(Acc!$F787*CommissionDD!$C$30))</f>
        <v/>
      </c>
      <c r="H787" s="23" t="str">
        <f t="shared" si="36"/>
        <v/>
      </c>
    </row>
    <row r="788" spans="1:8">
      <c r="A788" s="21" t="str">
        <f t="shared" si="37"/>
        <v/>
      </c>
      <c r="B788" s="1" t="str">
        <f>IF(Cus!$B788&lt;&gt;"",Cus!$A788,"")</f>
        <v/>
      </c>
      <c r="C788" s="22" t="str">
        <f>IF($B788="","",Cus!$AA788)</f>
        <v/>
      </c>
      <c r="D788" s="23" t="str">
        <f>IF($B788="","",(Acc!$H788*$C788))</f>
        <v/>
      </c>
      <c r="E788" s="24">
        <f>IF(C788&lt;=CommissionDD!$E$3,CommissionDD!$C$3,IF(C788&lt;=CommissionDD!$E$4,CommissionDD!$C$4,IF(C788&lt;=CommissionDD!$E$5,CommissionDD!$C$5,IF(C788&lt;=CommissionDD!$E$6,CommissionDD!$C$6,IF(C788&lt;=CommissionDD!$E$7,CommissionDD!$C$7,IF(C788&lt;=CommissionDD!$E$8,CommissionDD!$C$8,CommissionDD!$C$9))))))</f>
        <v>0.03</v>
      </c>
      <c r="F788" s="23" t="str">
        <f t="shared" si="38"/>
        <v/>
      </c>
      <c r="G788" s="23" t="str">
        <f>IF($B788="","",(Acc!$F788*CommissionDD!$C$30))</f>
        <v/>
      </c>
      <c r="H788" s="23" t="str">
        <f t="shared" si="36"/>
        <v/>
      </c>
    </row>
    <row r="789" spans="1:8">
      <c r="A789" s="21" t="str">
        <f t="shared" si="37"/>
        <v/>
      </c>
      <c r="B789" s="1" t="str">
        <f>IF(Cus!$B789&lt;&gt;"",Cus!$A789,"")</f>
        <v/>
      </c>
      <c r="C789" s="22" t="str">
        <f>IF($B789="","",Cus!$AA789)</f>
        <v/>
      </c>
      <c r="D789" s="23" t="str">
        <f>IF($B789="","",(Acc!$H789*$C789))</f>
        <v/>
      </c>
      <c r="E789" s="24">
        <f>IF(C789&lt;=CommissionDD!$E$3,CommissionDD!$C$3,IF(C789&lt;=CommissionDD!$E$4,CommissionDD!$C$4,IF(C789&lt;=CommissionDD!$E$5,CommissionDD!$C$5,IF(C789&lt;=CommissionDD!$E$6,CommissionDD!$C$6,IF(C789&lt;=CommissionDD!$E$7,CommissionDD!$C$7,IF(C789&lt;=CommissionDD!$E$8,CommissionDD!$C$8,CommissionDD!$C$9))))))</f>
        <v>0.03</v>
      </c>
      <c r="F789" s="23" t="str">
        <f t="shared" si="38"/>
        <v/>
      </c>
      <c r="G789" s="23" t="str">
        <f>IF($B789="","",(Acc!$F789*CommissionDD!$C$30))</f>
        <v/>
      </c>
      <c r="H789" s="23" t="str">
        <f t="shared" si="36"/>
        <v/>
      </c>
    </row>
    <row r="790" spans="1:8">
      <c r="A790" s="21" t="str">
        <f t="shared" si="37"/>
        <v/>
      </c>
      <c r="B790" s="1" t="str">
        <f>IF(Cus!$B790&lt;&gt;"",Cus!$A790,"")</f>
        <v/>
      </c>
      <c r="C790" s="22" t="str">
        <f>IF($B790="","",Cus!$AA790)</f>
        <v/>
      </c>
      <c r="D790" s="23" t="str">
        <f>IF($B790="","",(Acc!$H790*$C790))</f>
        <v/>
      </c>
      <c r="E790" s="24">
        <f>IF(C790&lt;=CommissionDD!$E$3,CommissionDD!$C$3,IF(C790&lt;=CommissionDD!$E$4,CommissionDD!$C$4,IF(C790&lt;=CommissionDD!$E$5,CommissionDD!$C$5,IF(C790&lt;=CommissionDD!$E$6,CommissionDD!$C$6,IF(C790&lt;=CommissionDD!$E$7,CommissionDD!$C$7,IF(C790&lt;=CommissionDD!$E$8,CommissionDD!$C$8,CommissionDD!$C$9))))))</f>
        <v>0.03</v>
      </c>
      <c r="F790" s="23" t="str">
        <f t="shared" si="38"/>
        <v/>
      </c>
      <c r="G790" s="23" t="str">
        <f>IF($B790="","",(Acc!$F790*CommissionDD!$C$30))</f>
        <v/>
      </c>
      <c r="H790" s="23" t="str">
        <f t="shared" si="36"/>
        <v/>
      </c>
    </row>
    <row r="791" spans="1:8">
      <c r="A791" s="21" t="str">
        <f t="shared" si="37"/>
        <v/>
      </c>
      <c r="B791" s="1" t="str">
        <f>IF(Cus!$B791&lt;&gt;"",Cus!$A791,"")</f>
        <v/>
      </c>
      <c r="C791" s="22" t="str">
        <f>IF($B791="","",Cus!$AA791)</f>
        <v/>
      </c>
      <c r="D791" s="23" t="str">
        <f>IF($B791="","",(Acc!$H791*$C791))</f>
        <v/>
      </c>
      <c r="E791" s="24">
        <f>IF(C791&lt;=CommissionDD!$E$3,CommissionDD!$C$3,IF(C791&lt;=CommissionDD!$E$4,CommissionDD!$C$4,IF(C791&lt;=CommissionDD!$E$5,CommissionDD!$C$5,IF(C791&lt;=CommissionDD!$E$6,CommissionDD!$C$6,IF(C791&lt;=CommissionDD!$E$7,CommissionDD!$C$7,IF(C791&lt;=CommissionDD!$E$8,CommissionDD!$C$8,CommissionDD!$C$9))))))</f>
        <v>0.03</v>
      </c>
      <c r="F791" s="23" t="str">
        <f t="shared" si="38"/>
        <v/>
      </c>
      <c r="G791" s="23" t="str">
        <f>IF($B791="","",(Acc!$F791*CommissionDD!$C$30))</f>
        <v/>
      </c>
      <c r="H791" s="23" t="str">
        <f t="shared" si="36"/>
        <v/>
      </c>
    </row>
    <row r="792" spans="1:8">
      <c r="A792" s="21" t="str">
        <f t="shared" si="37"/>
        <v/>
      </c>
      <c r="B792" s="1" t="str">
        <f>IF(Cus!$B792&lt;&gt;"",Cus!$A792,"")</f>
        <v/>
      </c>
      <c r="C792" s="22" t="str">
        <f>IF($B792="","",Cus!$AA792)</f>
        <v/>
      </c>
      <c r="D792" s="23" t="str">
        <f>IF($B792="","",(Acc!$H792*$C792))</f>
        <v/>
      </c>
      <c r="E792" s="24">
        <f>IF(C792&lt;=CommissionDD!$E$3,CommissionDD!$C$3,IF(C792&lt;=CommissionDD!$E$4,CommissionDD!$C$4,IF(C792&lt;=CommissionDD!$E$5,CommissionDD!$C$5,IF(C792&lt;=CommissionDD!$E$6,CommissionDD!$C$6,IF(C792&lt;=CommissionDD!$E$7,CommissionDD!$C$7,IF(C792&lt;=CommissionDD!$E$8,CommissionDD!$C$8,CommissionDD!$C$9))))))</f>
        <v>0.03</v>
      </c>
      <c r="F792" s="23" t="str">
        <f t="shared" si="38"/>
        <v/>
      </c>
      <c r="G792" s="23" t="str">
        <f>IF($B792="","",(Acc!$F792*CommissionDD!$C$30))</f>
        <v/>
      </c>
      <c r="H792" s="23" t="str">
        <f t="shared" si="36"/>
        <v/>
      </c>
    </row>
    <row r="793" spans="1:8">
      <c r="A793" s="21" t="str">
        <f t="shared" si="37"/>
        <v/>
      </c>
      <c r="B793" s="1" t="str">
        <f>IF(Cus!$B793&lt;&gt;"",Cus!$A793,"")</f>
        <v/>
      </c>
      <c r="C793" s="22" t="str">
        <f>IF($B793="","",Cus!$AA793)</f>
        <v/>
      </c>
      <c r="D793" s="23" t="str">
        <f>IF($B793="","",(Acc!$H793*$C793))</f>
        <v/>
      </c>
      <c r="E793" s="24">
        <f>IF(C793&lt;=CommissionDD!$E$3,CommissionDD!$C$3,IF(C793&lt;=CommissionDD!$E$4,CommissionDD!$C$4,IF(C793&lt;=CommissionDD!$E$5,CommissionDD!$C$5,IF(C793&lt;=CommissionDD!$E$6,CommissionDD!$C$6,IF(C793&lt;=CommissionDD!$E$7,CommissionDD!$C$7,IF(C793&lt;=CommissionDD!$E$8,CommissionDD!$C$8,CommissionDD!$C$9))))))</f>
        <v>0.03</v>
      </c>
      <c r="F793" s="23" t="str">
        <f t="shared" si="38"/>
        <v/>
      </c>
      <c r="G793" s="23" t="str">
        <f>IF($B793="","",(Acc!$F793*CommissionDD!$C$30))</f>
        <v/>
      </c>
      <c r="H793" s="23" t="str">
        <f t="shared" si="36"/>
        <v/>
      </c>
    </row>
    <row r="794" spans="1:8">
      <c r="A794" s="21" t="str">
        <f t="shared" si="37"/>
        <v/>
      </c>
      <c r="B794" s="1" t="str">
        <f>IF(Cus!$B794&lt;&gt;"",Cus!$A794,"")</f>
        <v/>
      </c>
      <c r="C794" s="22" t="str">
        <f>IF($B794="","",Cus!$AA794)</f>
        <v/>
      </c>
      <c r="D794" s="23" t="str">
        <f>IF($B794="","",(Acc!$H794*$C794))</f>
        <v/>
      </c>
      <c r="E794" s="24">
        <f>IF(C794&lt;=CommissionDD!$E$3,CommissionDD!$C$3,IF(C794&lt;=CommissionDD!$E$4,CommissionDD!$C$4,IF(C794&lt;=CommissionDD!$E$5,CommissionDD!$C$5,IF(C794&lt;=CommissionDD!$E$6,CommissionDD!$C$6,IF(C794&lt;=CommissionDD!$E$7,CommissionDD!$C$7,IF(C794&lt;=CommissionDD!$E$8,CommissionDD!$C$8,CommissionDD!$C$9))))))</f>
        <v>0.03</v>
      </c>
      <c r="F794" s="23" t="str">
        <f t="shared" si="38"/>
        <v/>
      </c>
      <c r="G794" s="23" t="str">
        <f>IF($B794="","",(Acc!$F794*CommissionDD!$C$30))</f>
        <v/>
      </c>
      <c r="H794" s="23" t="str">
        <f t="shared" si="36"/>
        <v/>
      </c>
    </row>
    <row r="795" spans="1:8">
      <c r="A795" s="21" t="str">
        <f t="shared" si="37"/>
        <v/>
      </c>
      <c r="B795" s="1" t="str">
        <f>IF(Cus!$B795&lt;&gt;"",Cus!$A795,"")</f>
        <v/>
      </c>
      <c r="C795" s="22" t="str">
        <f>IF($B795="","",Cus!$AA795)</f>
        <v/>
      </c>
      <c r="D795" s="23" t="str">
        <f>IF($B795="","",(Acc!$H795*$C795))</f>
        <v/>
      </c>
      <c r="E795" s="24">
        <f>IF(C795&lt;=CommissionDD!$E$3,CommissionDD!$C$3,IF(C795&lt;=CommissionDD!$E$4,CommissionDD!$C$4,IF(C795&lt;=CommissionDD!$E$5,CommissionDD!$C$5,IF(C795&lt;=CommissionDD!$E$6,CommissionDD!$C$6,IF(C795&lt;=CommissionDD!$E$7,CommissionDD!$C$7,IF(C795&lt;=CommissionDD!$E$8,CommissionDD!$C$8,CommissionDD!$C$9))))))</f>
        <v>0.03</v>
      </c>
      <c r="F795" s="23" t="str">
        <f t="shared" si="38"/>
        <v/>
      </c>
      <c r="G795" s="23" t="str">
        <f>IF($B795="","",(Acc!$F795*CommissionDD!$C$30))</f>
        <v/>
      </c>
      <c r="H795" s="23" t="str">
        <f t="shared" si="36"/>
        <v/>
      </c>
    </row>
    <row r="796" spans="1:8">
      <c r="A796" s="21" t="str">
        <f t="shared" si="37"/>
        <v/>
      </c>
      <c r="B796" s="1" t="str">
        <f>IF(Cus!$B796&lt;&gt;"",Cus!$A796,"")</f>
        <v/>
      </c>
      <c r="C796" s="22" t="str">
        <f>IF($B796="","",Cus!$AA796)</f>
        <v/>
      </c>
      <c r="D796" s="23" t="str">
        <f>IF($B796="","",(Acc!$H796*$C796))</f>
        <v/>
      </c>
      <c r="E796" s="24">
        <f>IF(C796&lt;=CommissionDD!$E$3,CommissionDD!$C$3,IF(C796&lt;=CommissionDD!$E$4,CommissionDD!$C$4,IF(C796&lt;=CommissionDD!$E$5,CommissionDD!$C$5,IF(C796&lt;=CommissionDD!$E$6,CommissionDD!$C$6,IF(C796&lt;=CommissionDD!$E$7,CommissionDD!$C$7,IF(C796&lt;=CommissionDD!$E$8,CommissionDD!$C$8,CommissionDD!$C$9))))))</f>
        <v>0.03</v>
      </c>
      <c r="F796" s="23" t="str">
        <f t="shared" si="38"/>
        <v/>
      </c>
      <c r="G796" s="23" t="str">
        <f>IF($B796="","",(Acc!$F796*CommissionDD!$C$30))</f>
        <v/>
      </c>
      <c r="H796" s="23" t="str">
        <f t="shared" si="36"/>
        <v/>
      </c>
    </row>
    <row r="797" spans="1:8">
      <c r="A797" s="21" t="str">
        <f t="shared" si="37"/>
        <v/>
      </c>
      <c r="B797" s="1" t="str">
        <f>IF(Cus!$B797&lt;&gt;"",Cus!$A797,"")</f>
        <v/>
      </c>
      <c r="C797" s="22" t="str">
        <f>IF($B797="","",Cus!$AA797)</f>
        <v/>
      </c>
      <c r="D797" s="23" t="str">
        <f>IF($B797="","",(Acc!$H797*$C797))</f>
        <v/>
      </c>
      <c r="E797" s="24">
        <f>IF(C797&lt;=CommissionDD!$E$3,CommissionDD!$C$3,IF(C797&lt;=CommissionDD!$E$4,CommissionDD!$C$4,IF(C797&lt;=CommissionDD!$E$5,CommissionDD!$C$5,IF(C797&lt;=CommissionDD!$E$6,CommissionDD!$C$6,IF(C797&lt;=CommissionDD!$E$7,CommissionDD!$C$7,IF(C797&lt;=CommissionDD!$E$8,CommissionDD!$C$8,CommissionDD!$C$9))))))</f>
        <v>0.03</v>
      </c>
      <c r="F797" s="23" t="str">
        <f t="shared" si="38"/>
        <v/>
      </c>
      <c r="G797" s="23" t="str">
        <f>IF($B797="","",(Acc!$F797*CommissionDD!$C$30))</f>
        <v/>
      </c>
      <c r="H797" s="23" t="str">
        <f t="shared" si="36"/>
        <v/>
      </c>
    </row>
    <row r="798" spans="1:8">
      <c r="A798" s="21" t="str">
        <f t="shared" si="37"/>
        <v/>
      </c>
      <c r="B798" s="1" t="str">
        <f>IF(Cus!$B798&lt;&gt;"",Cus!$A798,"")</f>
        <v/>
      </c>
      <c r="C798" s="22" t="str">
        <f>IF($B798="","",Cus!$AA798)</f>
        <v/>
      </c>
      <c r="D798" s="23" t="str">
        <f>IF($B798="","",(Acc!$H798*$C798))</f>
        <v/>
      </c>
      <c r="E798" s="24">
        <f>IF(C798&lt;=CommissionDD!$E$3,CommissionDD!$C$3,IF(C798&lt;=CommissionDD!$E$4,CommissionDD!$C$4,IF(C798&lt;=CommissionDD!$E$5,CommissionDD!$C$5,IF(C798&lt;=CommissionDD!$E$6,CommissionDD!$C$6,IF(C798&lt;=CommissionDD!$E$7,CommissionDD!$C$7,IF(C798&lt;=CommissionDD!$E$8,CommissionDD!$C$8,CommissionDD!$C$9))))))</f>
        <v>0.03</v>
      </c>
      <c r="F798" s="23" t="str">
        <f t="shared" si="38"/>
        <v/>
      </c>
      <c r="G798" s="23" t="str">
        <f>IF($B798="","",(Acc!$F798*CommissionDD!$C$30))</f>
        <v/>
      </c>
      <c r="H798" s="23" t="str">
        <f t="shared" si="36"/>
        <v/>
      </c>
    </row>
    <row r="799" spans="1:8">
      <c r="A799" s="21" t="str">
        <f t="shared" si="37"/>
        <v/>
      </c>
      <c r="B799" s="1" t="str">
        <f>IF(Cus!$B799&lt;&gt;"",Cus!$A799,"")</f>
        <v/>
      </c>
      <c r="C799" s="22" t="str">
        <f>IF($B799="","",Cus!$AA799)</f>
        <v/>
      </c>
      <c r="D799" s="23" t="str">
        <f>IF($B799="","",(Acc!$H799*$C799))</f>
        <v/>
      </c>
      <c r="E799" s="24">
        <f>IF(C799&lt;=CommissionDD!$E$3,CommissionDD!$C$3,IF(C799&lt;=CommissionDD!$E$4,CommissionDD!$C$4,IF(C799&lt;=CommissionDD!$E$5,CommissionDD!$C$5,IF(C799&lt;=CommissionDD!$E$6,CommissionDD!$C$6,IF(C799&lt;=CommissionDD!$E$7,CommissionDD!$C$7,IF(C799&lt;=CommissionDD!$E$8,CommissionDD!$C$8,CommissionDD!$C$9))))))</f>
        <v>0.03</v>
      </c>
      <c r="F799" s="23" t="str">
        <f t="shared" si="38"/>
        <v/>
      </c>
      <c r="G799" s="23" t="str">
        <f>IF($B799="","",(Acc!$F799*CommissionDD!$C$30))</f>
        <v/>
      </c>
      <c r="H799" s="23" t="str">
        <f t="shared" si="36"/>
        <v/>
      </c>
    </row>
    <row r="800" spans="1:8">
      <c r="A800" s="21" t="str">
        <f t="shared" si="37"/>
        <v/>
      </c>
      <c r="B800" s="1" t="str">
        <f>IF(Cus!$B800&lt;&gt;"",Cus!$A800,"")</f>
        <v/>
      </c>
      <c r="C800" s="22" t="str">
        <f>IF($B800="","",Cus!$AA800)</f>
        <v/>
      </c>
      <c r="D800" s="23" t="str">
        <f>IF($B800="","",(Acc!$H800*$C800))</f>
        <v/>
      </c>
      <c r="E800" s="24">
        <f>IF(C800&lt;=CommissionDD!$E$3,CommissionDD!$C$3,IF(C800&lt;=CommissionDD!$E$4,CommissionDD!$C$4,IF(C800&lt;=CommissionDD!$E$5,CommissionDD!$C$5,IF(C800&lt;=CommissionDD!$E$6,CommissionDD!$C$6,IF(C800&lt;=CommissionDD!$E$7,CommissionDD!$C$7,IF(C800&lt;=CommissionDD!$E$8,CommissionDD!$C$8,CommissionDD!$C$9))))))</f>
        <v>0.03</v>
      </c>
      <c r="F800" s="23" t="str">
        <f t="shared" si="38"/>
        <v/>
      </c>
      <c r="G800" s="23" t="str">
        <f>IF($B800="","",(Acc!$F800*CommissionDD!$C$30))</f>
        <v/>
      </c>
      <c r="H800" s="23" t="str">
        <f t="shared" si="36"/>
        <v/>
      </c>
    </row>
    <row r="801" spans="1:8">
      <c r="A801" s="21" t="str">
        <f t="shared" si="37"/>
        <v/>
      </c>
      <c r="B801" s="1" t="str">
        <f>IF(Cus!$B801&lt;&gt;"",Cus!$A801,"")</f>
        <v/>
      </c>
      <c r="C801" s="22" t="str">
        <f>IF($B801="","",Cus!$AA801)</f>
        <v/>
      </c>
      <c r="D801" s="23" t="str">
        <f>IF($B801="","",(Acc!$H801*$C801))</f>
        <v/>
      </c>
      <c r="E801" s="24">
        <f>IF(C801&lt;=CommissionDD!$E$3,CommissionDD!$C$3,IF(C801&lt;=CommissionDD!$E$4,CommissionDD!$C$4,IF(C801&lt;=CommissionDD!$E$5,CommissionDD!$C$5,IF(C801&lt;=CommissionDD!$E$6,CommissionDD!$C$6,IF(C801&lt;=CommissionDD!$E$7,CommissionDD!$C$7,IF(C801&lt;=CommissionDD!$E$8,CommissionDD!$C$8,CommissionDD!$C$9))))))</f>
        <v>0.03</v>
      </c>
      <c r="F801" s="23" t="str">
        <f t="shared" si="38"/>
        <v/>
      </c>
      <c r="G801" s="23" t="str">
        <f>IF($B801="","",(Acc!$F801*CommissionDD!$C$30))</f>
        <v/>
      </c>
      <c r="H801" s="23" t="str">
        <f t="shared" si="36"/>
        <v/>
      </c>
    </row>
    <row r="802" spans="1:8">
      <c r="A802" s="21" t="str">
        <f t="shared" si="37"/>
        <v/>
      </c>
      <c r="B802" s="1" t="str">
        <f>IF(Cus!$B802&lt;&gt;"",Cus!$A802,"")</f>
        <v/>
      </c>
      <c r="C802" s="22" t="str">
        <f>IF($B802="","",Cus!$AA802)</f>
        <v/>
      </c>
      <c r="D802" s="23" t="str">
        <f>IF($B802="","",(Acc!$H802*$C802))</f>
        <v/>
      </c>
      <c r="E802" s="24">
        <f>IF(C802&lt;=CommissionDD!$E$3,CommissionDD!$C$3,IF(C802&lt;=CommissionDD!$E$4,CommissionDD!$C$4,IF(C802&lt;=CommissionDD!$E$5,CommissionDD!$C$5,IF(C802&lt;=CommissionDD!$E$6,CommissionDD!$C$6,IF(C802&lt;=CommissionDD!$E$7,CommissionDD!$C$7,IF(C802&lt;=CommissionDD!$E$8,CommissionDD!$C$8,CommissionDD!$C$9))))))</f>
        <v>0.03</v>
      </c>
      <c r="F802" s="23" t="str">
        <f t="shared" si="38"/>
        <v/>
      </c>
      <c r="G802" s="23" t="str">
        <f>IF($B802="","",(Acc!$F802*CommissionDD!$C$30))</f>
        <v/>
      </c>
      <c r="H802" s="23" t="str">
        <f t="shared" si="36"/>
        <v/>
      </c>
    </row>
    <row r="803" spans="1:8">
      <c r="A803" s="21" t="str">
        <f t="shared" si="37"/>
        <v/>
      </c>
      <c r="B803" s="1" t="str">
        <f>IF(Cus!$B803&lt;&gt;"",Cus!$A803,"")</f>
        <v/>
      </c>
      <c r="C803" s="22" t="str">
        <f>IF($B803="","",Cus!$AA803)</f>
        <v/>
      </c>
      <c r="D803" s="23" t="str">
        <f>IF($B803="","",(Acc!$H803*$C803))</f>
        <v/>
      </c>
      <c r="E803" s="24">
        <f>IF(C803&lt;=CommissionDD!$E$3,CommissionDD!$C$3,IF(C803&lt;=CommissionDD!$E$4,CommissionDD!$C$4,IF(C803&lt;=CommissionDD!$E$5,CommissionDD!$C$5,IF(C803&lt;=CommissionDD!$E$6,CommissionDD!$C$6,IF(C803&lt;=CommissionDD!$E$7,CommissionDD!$C$7,IF(C803&lt;=CommissionDD!$E$8,CommissionDD!$C$8,CommissionDD!$C$9))))))</f>
        <v>0.03</v>
      </c>
      <c r="F803" s="23" t="str">
        <f t="shared" si="38"/>
        <v/>
      </c>
      <c r="G803" s="23" t="str">
        <f>IF($B803="","",(Acc!$F803*CommissionDD!$C$30))</f>
        <v/>
      </c>
      <c r="H803" s="23" t="str">
        <f t="shared" si="36"/>
        <v/>
      </c>
    </row>
    <row r="804" spans="1:8">
      <c r="A804" s="21" t="str">
        <f t="shared" si="37"/>
        <v/>
      </c>
      <c r="B804" s="1" t="str">
        <f>IF(Cus!$B804&lt;&gt;"",Cus!$A804,"")</f>
        <v/>
      </c>
      <c r="C804" s="22" t="str">
        <f>IF($B804="","",Cus!$AA804)</f>
        <v/>
      </c>
      <c r="D804" s="23" t="str">
        <f>IF($B804="","",(Acc!$H804*$C804))</f>
        <v/>
      </c>
      <c r="E804" s="24">
        <f>IF(C804&lt;=CommissionDD!$E$3,CommissionDD!$C$3,IF(C804&lt;=CommissionDD!$E$4,CommissionDD!$C$4,IF(C804&lt;=CommissionDD!$E$5,CommissionDD!$C$5,IF(C804&lt;=CommissionDD!$E$6,CommissionDD!$C$6,IF(C804&lt;=CommissionDD!$E$7,CommissionDD!$C$7,IF(C804&lt;=CommissionDD!$E$8,CommissionDD!$C$8,CommissionDD!$C$9))))))</f>
        <v>0.03</v>
      </c>
      <c r="F804" s="23" t="str">
        <f t="shared" si="38"/>
        <v/>
      </c>
      <c r="G804" s="23" t="str">
        <f>IF($B804="","",(Acc!$F804*CommissionDD!$C$30))</f>
        <v/>
      </c>
      <c r="H804" s="23" t="str">
        <f t="shared" si="36"/>
        <v/>
      </c>
    </row>
    <row r="805" spans="1:8">
      <c r="A805" s="21" t="str">
        <f t="shared" si="37"/>
        <v/>
      </c>
      <c r="B805" s="1" t="str">
        <f>IF(Cus!$B805&lt;&gt;"",Cus!$A805,"")</f>
        <v/>
      </c>
      <c r="C805" s="22" t="str">
        <f>IF($B805="","",Cus!$AA805)</f>
        <v/>
      </c>
      <c r="D805" s="23" t="str">
        <f>IF($B805="","",(Acc!$H805*$C805))</f>
        <v/>
      </c>
      <c r="E805" s="24">
        <f>IF(C805&lt;=CommissionDD!$E$3,CommissionDD!$C$3,IF(C805&lt;=CommissionDD!$E$4,CommissionDD!$C$4,IF(C805&lt;=CommissionDD!$E$5,CommissionDD!$C$5,IF(C805&lt;=CommissionDD!$E$6,CommissionDD!$C$6,IF(C805&lt;=CommissionDD!$E$7,CommissionDD!$C$7,IF(C805&lt;=CommissionDD!$E$8,CommissionDD!$C$8,CommissionDD!$C$9))))))</f>
        <v>0.03</v>
      </c>
      <c r="F805" s="23" t="str">
        <f t="shared" si="38"/>
        <v/>
      </c>
      <c r="G805" s="23" t="str">
        <f>IF($B805="","",(Acc!$F805*CommissionDD!$C$30))</f>
        <v/>
      </c>
      <c r="H805" s="23" t="str">
        <f t="shared" si="36"/>
        <v/>
      </c>
    </row>
    <row r="806" spans="1:8">
      <c r="A806" s="21" t="str">
        <f t="shared" si="37"/>
        <v/>
      </c>
      <c r="B806" s="1" t="str">
        <f>IF(Cus!$B806&lt;&gt;"",Cus!$A806,"")</f>
        <v/>
      </c>
      <c r="C806" s="22" t="str">
        <f>IF($B806="","",Cus!$AA806)</f>
        <v/>
      </c>
      <c r="D806" s="23" t="str">
        <f>IF($B806="","",(Acc!$H806*$C806))</f>
        <v/>
      </c>
      <c r="E806" s="24">
        <f>IF(C806&lt;=CommissionDD!$E$3,CommissionDD!$C$3,IF(C806&lt;=CommissionDD!$E$4,CommissionDD!$C$4,IF(C806&lt;=CommissionDD!$E$5,CommissionDD!$C$5,IF(C806&lt;=CommissionDD!$E$6,CommissionDD!$C$6,IF(C806&lt;=CommissionDD!$E$7,CommissionDD!$C$7,IF(C806&lt;=CommissionDD!$E$8,CommissionDD!$C$8,CommissionDD!$C$9))))))</f>
        <v>0.03</v>
      </c>
      <c r="F806" s="23" t="str">
        <f t="shared" si="38"/>
        <v/>
      </c>
      <c r="G806" s="23" t="str">
        <f>IF($B806="","",(Acc!$F806*CommissionDD!$C$30))</f>
        <v/>
      </c>
      <c r="H806" s="23" t="str">
        <f t="shared" si="36"/>
        <v/>
      </c>
    </row>
    <row r="807" spans="1:8">
      <c r="A807" s="21" t="str">
        <f t="shared" si="37"/>
        <v/>
      </c>
      <c r="B807" s="1" t="str">
        <f>IF(Cus!$B807&lt;&gt;"",Cus!$A807,"")</f>
        <v/>
      </c>
      <c r="C807" s="22" t="str">
        <f>IF($B807="","",Cus!$AA807)</f>
        <v/>
      </c>
      <c r="D807" s="23" t="str">
        <f>IF($B807="","",(Acc!$H807*$C807))</f>
        <v/>
      </c>
      <c r="E807" s="24">
        <f>IF(C807&lt;=CommissionDD!$E$3,CommissionDD!$C$3,IF(C807&lt;=CommissionDD!$E$4,CommissionDD!$C$4,IF(C807&lt;=CommissionDD!$E$5,CommissionDD!$C$5,IF(C807&lt;=CommissionDD!$E$6,CommissionDD!$C$6,IF(C807&lt;=CommissionDD!$E$7,CommissionDD!$C$7,IF(C807&lt;=CommissionDD!$E$8,CommissionDD!$C$8,CommissionDD!$C$9))))))</f>
        <v>0.03</v>
      </c>
      <c r="F807" s="23" t="str">
        <f t="shared" si="38"/>
        <v/>
      </c>
      <c r="G807" s="23" t="str">
        <f>IF($B807="","",(Acc!$F807*CommissionDD!$C$30))</f>
        <v/>
      </c>
      <c r="H807" s="23" t="str">
        <f t="shared" si="36"/>
        <v/>
      </c>
    </row>
    <row r="808" spans="1:8">
      <c r="A808" s="21" t="str">
        <f t="shared" si="37"/>
        <v/>
      </c>
      <c r="B808" s="1" t="str">
        <f>IF(Cus!$B808&lt;&gt;"",Cus!$A808,"")</f>
        <v/>
      </c>
      <c r="C808" s="22" t="str">
        <f>IF($B808="","",Cus!$AA808)</f>
        <v/>
      </c>
      <c r="D808" s="23" t="str">
        <f>IF($B808="","",(Acc!$H808*$C808))</f>
        <v/>
      </c>
      <c r="E808" s="24">
        <f>IF(C808&lt;=CommissionDD!$E$3,CommissionDD!$C$3,IF(C808&lt;=CommissionDD!$E$4,CommissionDD!$C$4,IF(C808&lt;=CommissionDD!$E$5,CommissionDD!$C$5,IF(C808&lt;=CommissionDD!$E$6,CommissionDD!$C$6,IF(C808&lt;=CommissionDD!$E$7,CommissionDD!$C$7,IF(C808&lt;=CommissionDD!$E$8,CommissionDD!$C$8,CommissionDD!$C$9))))))</f>
        <v>0.03</v>
      </c>
      <c r="F808" s="23" t="str">
        <f t="shared" si="38"/>
        <v/>
      </c>
      <c r="G808" s="23" t="str">
        <f>IF($B808="","",(Acc!$F808*CommissionDD!$C$30))</f>
        <v/>
      </c>
      <c r="H808" s="23" t="str">
        <f t="shared" si="36"/>
        <v/>
      </c>
    </row>
    <row r="809" spans="1:8">
      <c r="A809" s="21" t="str">
        <f t="shared" si="37"/>
        <v/>
      </c>
      <c r="B809" s="1" t="str">
        <f>IF(Cus!$B809&lt;&gt;"",Cus!$A809,"")</f>
        <v/>
      </c>
      <c r="C809" s="22" t="str">
        <f>IF($B809="","",Cus!$AA809)</f>
        <v/>
      </c>
      <c r="D809" s="23" t="str">
        <f>IF($B809="","",(Acc!$H809*$C809))</f>
        <v/>
      </c>
      <c r="E809" s="24">
        <f>IF(C809&lt;=CommissionDD!$E$3,CommissionDD!$C$3,IF(C809&lt;=CommissionDD!$E$4,CommissionDD!$C$4,IF(C809&lt;=CommissionDD!$E$5,CommissionDD!$C$5,IF(C809&lt;=CommissionDD!$E$6,CommissionDD!$C$6,IF(C809&lt;=CommissionDD!$E$7,CommissionDD!$C$7,IF(C809&lt;=CommissionDD!$E$8,CommissionDD!$C$8,CommissionDD!$C$9))))))</f>
        <v>0.03</v>
      </c>
      <c r="F809" s="23" t="str">
        <f t="shared" si="38"/>
        <v/>
      </c>
      <c r="G809" s="23" t="str">
        <f>IF($B809="","",(Acc!$F809*CommissionDD!$C$30))</f>
        <v/>
      </c>
      <c r="H809" s="23" t="str">
        <f t="shared" si="36"/>
        <v/>
      </c>
    </row>
    <row r="810" spans="1:8">
      <c r="A810" s="21" t="str">
        <f t="shared" si="37"/>
        <v/>
      </c>
      <c r="B810" s="1" t="str">
        <f>IF(Cus!$B810&lt;&gt;"",Cus!$A810,"")</f>
        <v/>
      </c>
      <c r="C810" s="22" t="str">
        <f>IF($B810="","",Cus!$AA810)</f>
        <v/>
      </c>
      <c r="D810" s="23" t="str">
        <f>IF($B810="","",(Acc!$H810*$C810))</f>
        <v/>
      </c>
      <c r="E810" s="24">
        <f>IF(C810&lt;=CommissionDD!$E$3,CommissionDD!$C$3,IF(C810&lt;=CommissionDD!$E$4,CommissionDD!$C$4,IF(C810&lt;=CommissionDD!$E$5,CommissionDD!$C$5,IF(C810&lt;=CommissionDD!$E$6,CommissionDD!$C$6,IF(C810&lt;=CommissionDD!$E$7,CommissionDD!$C$7,IF(C810&lt;=CommissionDD!$E$8,CommissionDD!$C$8,CommissionDD!$C$9))))))</f>
        <v>0.03</v>
      </c>
      <c r="F810" s="23" t="str">
        <f t="shared" si="38"/>
        <v/>
      </c>
      <c r="G810" s="23" t="str">
        <f>IF($B810="","",(Acc!$F810*CommissionDD!$C$30))</f>
        <v/>
      </c>
      <c r="H810" s="23" t="str">
        <f t="shared" si="36"/>
        <v/>
      </c>
    </row>
    <row r="811" spans="1:8">
      <c r="A811" s="21" t="str">
        <f t="shared" si="37"/>
        <v/>
      </c>
      <c r="B811" s="1" t="str">
        <f>IF(Cus!$B811&lt;&gt;"",Cus!$A811,"")</f>
        <v/>
      </c>
      <c r="C811" s="22" t="str">
        <f>IF($B811="","",Cus!$AA811)</f>
        <v/>
      </c>
      <c r="D811" s="23" t="str">
        <f>IF($B811="","",(Acc!$H811*$C811))</f>
        <v/>
      </c>
      <c r="E811" s="24">
        <f>IF(C811&lt;=CommissionDD!$E$3,CommissionDD!$C$3,IF(C811&lt;=CommissionDD!$E$4,CommissionDD!$C$4,IF(C811&lt;=CommissionDD!$E$5,CommissionDD!$C$5,IF(C811&lt;=CommissionDD!$E$6,CommissionDD!$C$6,IF(C811&lt;=CommissionDD!$E$7,CommissionDD!$C$7,IF(C811&lt;=CommissionDD!$E$8,CommissionDD!$C$8,CommissionDD!$C$9))))))</f>
        <v>0.03</v>
      </c>
      <c r="F811" s="23" t="str">
        <f t="shared" si="38"/>
        <v/>
      </c>
      <c r="G811" s="23" t="str">
        <f>IF($B811="","",(Acc!$F811*CommissionDD!$C$30))</f>
        <v/>
      </c>
      <c r="H811" s="23" t="str">
        <f t="shared" si="36"/>
        <v/>
      </c>
    </row>
    <row r="812" spans="1:8">
      <c r="A812" s="21" t="str">
        <f t="shared" si="37"/>
        <v/>
      </c>
      <c r="B812" s="1" t="str">
        <f>IF(Cus!$B812&lt;&gt;"",Cus!$A812,"")</f>
        <v/>
      </c>
      <c r="C812" s="22" t="str">
        <f>IF($B812="","",Cus!$AA812)</f>
        <v/>
      </c>
      <c r="D812" s="23" t="str">
        <f>IF($B812="","",(Acc!$H812*$C812))</f>
        <v/>
      </c>
      <c r="E812" s="24">
        <f>IF(C812&lt;=CommissionDD!$E$3,CommissionDD!$C$3,IF(C812&lt;=CommissionDD!$E$4,CommissionDD!$C$4,IF(C812&lt;=CommissionDD!$E$5,CommissionDD!$C$5,IF(C812&lt;=CommissionDD!$E$6,CommissionDD!$C$6,IF(C812&lt;=CommissionDD!$E$7,CommissionDD!$C$7,IF(C812&lt;=CommissionDD!$E$8,CommissionDD!$C$8,CommissionDD!$C$9))))))</f>
        <v>0.03</v>
      </c>
      <c r="F812" s="23" t="str">
        <f t="shared" si="38"/>
        <v/>
      </c>
      <c r="G812" s="23" t="str">
        <f>IF($B812="","",(Acc!$F812*CommissionDD!$C$30))</f>
        <v/>
      </c>
      <c r="H812" s="23" t="str">
        <f t="shared" si="36"/>
        <v/>
      </c>
    </row>
    <row r="813" spans="1:8">
      <c r="A813" s="21" t="str">
        <f t="shared" si="37"/>
        <v/>
      </c>
      <c r="B813" s="1" t="str">
        <f>IF(Cus!$B813&lt;&gt;"",Cus!$A813,"")</f>
        <v/>
      </c>
      <c r="C813" s="22" t="str">
        <f>IF($B813="","",Cus!$AA813)</f>
        <v/>
      </c>
      <c r="D813" s="23" t="str">
        <f>IF($B813="","",(Acc!$H813*$C813))</f>
        <v/>
      </c>
      <c r="E813" s="24">
        <f>IF(C813&lt;=CommissionDD!$E$3,CommissionDD!$C$3,IF(C813&lt;=CommissionDD!$E$4,CommissionDD!$C$4,IF(C813&lt;=CommissionDD!$E$5,CommissionDD!$C$5,IF(C813&lt;=CommissionDD!$E$6,CommissionDD!$C$6,IF(C813&lt;=CommissionDD!$E$7,CommissionDD!$C$7,IF(C813&lt;=CommissionDD!$E$8,CommissionDD!$C$8,CommissionDD!$C$9))))))</f>
        <v>0.03</v>
      </c>
      <c r="F813" s="23" t="str">
        <f t="shared" si="38"/>
        <v/>
      </c>
      <c r="G813" s="23" t="str">
        <f>IF($B813="","",(Acc!$F813*CommissionDD!$C$30))</f>
        <v/>
      </c>
      <c r="H813" s="23" t="str">
        <f t="shared" si="36"/>
        <v/>
      </c>
    </row>
    <row r="814" spans="1:8">
      <c r="A814" s="21" t="str">
        <f t="shared" si="37"/>
        <v/>
      </c>
      <c r="B814" s="1" t="str">
        <f>IF(Cus!$B814&lt;&gt;"",Cus!$A814,"")</f>
        <v/>
      </c>
      <c r="C814" s="22" t="str">
        <f>IF($B814="","",Cus!$AA814)</f>
        <v/>
      </c>
      <c r="D814" s="23" t="str">
        <f>IF($B814="","",(Acc!$H814*$C814))</f>
        <v/>
      </c>
      <c r="E814" s="24">
        <f>IF(C814&lt;=CommissionDD!$E$3,CommissionDD!$C$3,IF(C814&lt;=CommissionDD!$E$4,CommissionDD!$C$4,IF(C814&lt;=CommissionDD!$E$5,CommissionDD!$C$5,IF(C814&lt;=CommissionDD!$E$6,CommissionDD!$C$6,IF(C814&lt;=CommissionDD!$E$7,CommissionDD!$C$7,IF(C814&lt;=CommissionDD!$E$8,CommissionDD!$C$8,CommissionDD!$C$9))))))</f>
        <v>0.03</v>
      </c>
      <c r="F814" s="23" t="str">
        <f t="shared" si="38"/>
        <v/>
      </c>
      <c r="G814" s="23" t="str">
        <f>IF($B814="","",(Acc!$F814*CommissionDD!$C$30))</f>
        <v/>
      </c>
      <c r="H814" s="23" t="str">
        <f t="shared" si="36"/>
        <v/>
      </c>
    </row>
    <row r="815" spans="1:8">
      <c r="A815" s="21" t="str">
        <f t="shared" si="37"/>
        <v/>
      </c>
      <c r="B815" s="1" t="str">
        <f>IF(Cus!$B815&lt;&gt;"",Cus!$A815,"")</f>
        <v/>
      </c>
      <c r="C815" s="22" t="str">
        <f>IF($B815="","",Cus!$AA815)</f>
        <v/>
      </c>
      <c r="D815" s="23" t="str">
        <f>IF($B815="","",(Acc!$H815*$C815))</f>
        <v/>
      </c>
      <c r="E815" s="24">
        <f>IF(C815&lt;=CommissionDD!$E$3,CommissionDD!$C$3,IF(C815&lt;=CommissionDD!$E$4,CommissionDD!$C$4,IF(C815&lt;=CommissionDD!$E$5,CommissionDD!$C$5,IF(C815&lt;=CommissionDD!$E$6,CommissionDD!$C$6,IF(C815&lt;=CommissionDD!$E$7,CommissionDD!$C$7,IF(C815&lt;=CommissionDD!$E$8,CommissionDD!$C$8,CommissionDD!$C$9))))))</f>
        <v>0.03</v>
      </c>
      <c r="F815" s="23" t="str">
        <f t="shared" si="38"/>
        <v/>
      </c>
      <c r="G815" s="23" t="str">
        <f>IF($B815="","",(Acc!$F815*CommissionDD!$C$30))</f>
        <v/>
      </c>
      <c r="H815" s="23" t="str">
        <f t="shared" si="36"/>
        <v/>
      </c>
    </row>
    <row r="816" spans="1:8">
      <c r="A816" s="21" t="str">
        <f t="shared" si="37"/>
        <v/>
      </c>
      <c r="B816" s="1" t="str">
        <f>IF(Cus!$B816&lt;&gt;"",Cus!$A816,"")</f>
        <v/>
      </c>
      <c r="C816" s="22" t="str">
        <f>IF($B816="","",Cus!$AA816)</f>
        <v/>
      </c>
      <c r="D816" s="23" t="str">
        <f>IF($B816="","",(Acc!$H816*$C816))</f>
        <v/>
      </c>
      <c r="E816" s="24">
        <f>IF(C816&lt;=CommissionDD!$E$3,CommissionDD!$C$3,IF(C816&lt;=CommissionDD!$E$4,CommissionDD!$C$4,IF(C816&lt;=CommissionDD!$E$5,CommissionDD!$C$5,IF(C816&lt;=CommissionDD!$E$6,CommissionDD!$C$6,IF(C816&lt;=CommissionDD!$E$7,CommissionDD!$C$7,IF(C816&lt;=CommissionDD!$E$8,CommissionDD!$C$8,CommissionDD!$C$9))))))</f>
        <v>0.03</v>
      </c>
      <c r="F816" s="23" t="str">
        <f t="shared" si="38"/>
        <v/>
      </c>
      <c r="G816" s="23" t="str">
        <f>IF($B816="","",(Acc!$F816*CommissionDD!$C$30))</f>
        <v/>
      </c>
      <c r="H816" s="23" t="str">
        <f t="shared" si="36"/>
        <v/>
      </c>
    </row>
    <row r="817" spans="1:8">
      <c r="A817" s="21" t="str">
        <f t="shared" si="37"/>
        <v/>
      </c>
      <c r="B817" s="1" t="str">
        <f>IF(Cus!$B817&lt;&gt;"",Cus!$A817,"")</f>
        <v/>
      </c>
      <c r="C817" s="22" t="str">
        <f>IF($B817="","",Cus!$AA817)</f>
        <v/>
      </c>
      <c r="D817" s="23" t="str">
        <f>IF($B817="","",(Acc!$H817*$C817))</f>
        <v/>
      </c>
      <c r="E817" s="24">
        <f>IF(C817&lt;=CommissionDD!$E$3,CommissionDD!$C$3,IF(C817&lt;=CommissionDD!$E$4,CommissionDD!$C$4,IF(C817&lt;=CommissionDD!$E$5,CommissionDD!$C$5,IF(C817&lt;=CommissionDD!$E$6,CommissionDD!$C$6,IF(C817&lt;=CommissionDD!$E$7,CommissionDD!$C$7,IF(C817&lt;=CommissionDD!$E$8,CommissionDD!$C$8,CommissionDD!$C$9))))))</f>
        <v>0.03</v>
      </c>
      <c r="F817" s="23" t="str">
        <f t="shared" si="38"/>
        <v/>
      </c>
      <c r="G817" s="23" t="str">
        <f>IF($B817="","",(Acc!$F817*CommissionDD!$C$30))</f>
        <v/>
      </c>
      <c r="H817" s="23" t="str">
        <f t="shared" si="36"/>
        <v/>
      </c>
    </row>
    <row r="818" spans="1:8">
      <c r="A818" s="21" t="str">
        <f t="shared" si="37"/>
        <v/>
      </c>
      <c r="B818" s="1" t="str">
        <f>IF(Cus!$B818&lt;&gt;"",Cus!$A818,"")</f>
        <v/>
      </c>
      <c r="C818" s="22" t="str">
        <f>IF($B818="","",Cus!$AA818)</f>
        <v/>
      </c>
      <c r="D818" s="23" t="str">
        <f>IF($B818="","",(Acc!$H818*$C818))</f>
        <v/>
      </c>
      <c r="E818" s="24">
        <f>IF(C818&lt;=CommissionDD!$E$3,CommissionDD!$C$3,IF(C818&lt;=CommissionDD!$E$4,CommissionDD!$C$4,IF(C818&lt;=CommissionDD!$E$5,CommissionDD!$C$5,IF(C818&lt;=CommissionDD!$E$6,CommissionDD!$C$6,IF(C818&lt;=CommissionDD!$E$7,CommissionDD!$C$7,IF(C818&lt;=CommissionDD!$E$8,CommissionDD!$C$8,CommissionDD!$C$9))))))</f>
        <v>0.03</v>
      </c>
      <c r="F818" s="23" t="str">
        <f t="shared" si="38"/>
        <v/>
      </c>
      <c r="G818" s="23" t="str">
        <f>IF($B818="","",(Acc!$F818*CommissionDD!$C$30))</f>
        <v/>
      </c>
      <c r="H818" s="23" t="str">
        <f t="shared" si="36"/>
        <v/>
      </c>
    </row>
    <row r="819" spans="1:8">
      <c r="A819" s="21" t="str">
        <f t="shared" si="37"/>
        <v/>
      </c>
      <c r="B819" s="1" t="str">
        <f>IF(Cus!$B819&lt;&gt;"",Cus!$A819,"")</f>
        <v/>
      </c>
      <c r="C819" s="22" t="str">
        <f>IF($B819="","",Cus!$AA819)</f>
        <v/>
      </c>
      <c r="D819" s="23" t="str">
        <f>IF($B819="","",(Acc!$H819*$C819))</f>
        <v/>
      </c>
      <c r="E819" s="24">
        <f>IF(C819&lt;=CommissionDD!$E$3,CommissionDD!$C$3,IF(C819&lt;=CommissionDD!$E$4,CommissionDD!$C$4,IF(C819&lt;=CommissionDD!$E$5,CommissionDD!$C$5,IF(C819&lt;=CommissionDD!$E$6,CommissionDD!$C$6,IF(C819&lt;=CommissionDD!$E$7,CommissionDD!$C$7,IF(C819&lt;=CommissionDD!$E$8,CommissionDD!$C$8,CommissionDD!$C$9))))))</f>
        <v>0.03</v>
      </c>
      <c r="F819" s="23" t="str">
        <f t="shared" si="38"/>
        <v/>
      </c>
      <c r="G819" s="23" t="str">
        <f>IF($B819="","",(Acc!$F819*CommissionDD!$C$30))</f>
        <v/>
      </c>
      <c r="H819" s="23" t="str">
        <f t="shared" si="36"/>
        <v/>
      </c>
    </row>
    <row r="820" spans="1:8">
      <c r="A820" s="21" t="str">
        <f t="shared" si="37"/>
        <v/>
      </c>
      <c r="B820" s="1" t="str">
        <f>IF(Cus!$B820&lt;&gt;"",Cus!$A820,"")</f>
        <v/>
      </c>
      <c r="C820" s="22" t="str">
        <f>IF($B820="","",Cus!$AA820)</f>
        <v/>
      </c>
      <c r="D820" s="23" t="str">
        <f>IF($B820="","",(Acc!$H820*$C820))</f>
        <v/>
      </c>
      <c r="E820" s="24">
        <f>IF(C820&lt;=CommissionDD!$E$3,CommissionDD!$C$3,IF(C820&lt;=CommissionDD!$E$4,CommissionDD!$C$4,IF(C820&lt;=CommissionDD!$E$5,CommissionDD!$C$5,IF(C820&lt;=CommissionDD!$E$6,CommissionDD!$C$6,IF(C820&lt;=CommissionDD!$E$7,CommissionDD!$C$7,IF(C820&lt;=CommissionDD!$E$8,CommissionDD!$C$8,CommissionDD!$C$9))))))</f>
        <v>0.03</v>
      </c>
      <c r="F820" s="23" t="str">
        <f t="shared" si="38"/>
        <v/>
      </c>
      <c r="G820" s="23" t="str">
        <f>IF($B820="","",(Acc!$F820*CommissionDD!$C$30))</f>
        <v/>
      </c>
      <c r="H820" s="23" t="str">
        <f t="shared" si="36"/>
        <v/>
      </c>
    </row>
    <row r="821" spans="1:8">
      <c r="A821" s="21" t="str">
        <f t="shared" si="37"/>
        <v/>
      </c>
      <c r="B821" s="1" t="str">
        <f>IF(Cus!$B821&lt;&gt;"",Cus!$A821,"")</f>
        <v/>
      </c>
      <c r="C821" s="22" t="str">
        <f>IF($B821="","",Cus!$AA821)</f>
        <v/>
      </c>
      <c r="D821" s="23" t="str">
        <f>IF($B821="","",(Acc!$H821*$C821))</f>
        <v/>
      </c>
      <c r="E821" s="24">
        <f>IF(C821&lt;=CommissionDD!$E$3,CommissionDD!$C$3,IF(C821&lt;=CommissionDD!$E$4,CommissionDD!$C$4,IF(C821&lt;=CommissionDD!$E$5,CommissionDD!$C$5,IF(C821&lt;=CommissionDD!$E$6,CommissionDD!$C$6,IF(C821&lt;=CommissionDD!$E$7,CommissionDD!$C$7,IF(C821&lt;=CommissionDD!$E$8,CommissionDD!$C$8,CommissionDD!$C$9))))))</f>
        <v>0.03</v>
      </c>
      <c r="F821" s="23" t="str">
        <f t="shared" si="38"/>
        <v/>
      </c>
      <c r="G821" s="23" t="str">
        <f>IF($B821="","",(Acc!$F821*CommissionDD!$C$30))</f>
        <v/>
      </c>
      <c r="H821" s="23" t="str">
        <f t="shared" si="36"/>
        <v/>
      </c>
    </row>
    <row r="822" spans="1:8">
      <c r="A822" s="21" t="str">
        <f t="shared" si="37"/>
        <v/>
      </c>
      <c r="B822" s="1" t="str">
        <f>IF(Cus!$B822&lt;&gt;"",Cus!$A822,"")</f>
        <v/>
      </c>
      <c r="C822" s="22" t="str">
        <f>IF($B822="","",Cus!$AA822)</f>
        <v/>
      </c>
      <c r="D822" s="23" t="str">
        <f>IF($B822="","",(Acc!$H822*$C822))</f>
        <v/>
      </c>
      <c r="E822" s="24">
        <f>IF(C822&lt;=CommissionDD!$E$3,CommissionDD!$C$3,IF(C822&lt;=CommissionDD!$E$4,CommissionDD!$C$4,IF(C822&lt;=CommissionDD!$E$5,CommissionDD!$C$5,IF(C822&lt;=CommissionDD!$E$6,CommissionDD!$C$6,IF(C822&lt;=CommissionDD!$E$7,CommissionDD!$C$7,IF(C822&lt;=CommissionDD!$E$8,CommissionDD!$C$8,CommissionDD!$C$9))))))</f>
        <v>0.03</v>
      </c>
      <c r="F822" s="23" t="str">
        <f t="shared" si="38"/>
        <v/>
      </c>
      <c r="G822" s="23" t="str">
        <f>IF($B822="","",(Acc!$F822*CommissionDD!$C$30))</f>
        <v/>
      </c>
      <c r="H822" s="23" t="str">
        <f t="shared" si="36"/>
        <v/>
      </c>
    </row>
    <row r="823" spans="1:8">
      <c r="A823" s="21" t="str">
        <f t="shared" si="37"/>
        <v/>
      </c>
      <c r="B823" s="1" t="str">
        <f>IF(Cus!$B823&lt;&gt;"",Cus!$A823,"")</f>
        <v/>
      </c>
      <c r="C823" s="22" t="str">
        <f>IF($B823="","",Cus!$AA823)</f>
        <v/>
      </c>
      <c r="D823" s="23" t="str">
        <f>IF($B823="","",(Acc!$H823*$C823))</f>
        <v/>
      </c>
      <c r="E823" s="24">
        <f>IF(C823&lt;=CommissionDD!$E$3,CommissionDD!$C$3,IF(C823&lt;=CommissionDD!$E$4,CommissionDD!$C$4,IF(C823&lt;=CommissionDD!$E$5,CommissionDD!$C$5,IF(C823&lt;=CommissionDD!$E$6,CommissionDD!$C$6,IF(C823&lt;=CommissionDD!$E$7,CommissionDD!$C$7,IF(C823&lt;=CommissionDD!$E$8,CommissionDD!$C$8,CommissionDD!$C$9))))))</f>
        <v>0.03</v>
      </c>
      <c r="F823" s="23" t="str">
        <f t="shared" si="38"/>
        <v/>
      </c>
      <c r="G823" s="23" t="str">
        <f>IF($B823="","",(Acc!$F823*CommissionDD!$C$30))</f>
        <v/>
      </c>
      <c r="H823" s="23" t="str">
        <f t="shared" si="36"/>
        <v/>
      </c>
    </row>
    <row r="824" spans="1:8">
      <c r="A824" s="21" t="str">
        <f t="shared" si="37"/>
        <v/>
      </c>
      <c r="B824" s="1" t="str">
        <f>IF(Cus!$B824&lt;&gt;"",Cus!$A824,"")</f>
        <v/>
      </c>
      <c r="C824" s="22" t="str">
        <f>IF($B824="","",Cus!$AA824)</f>
        <v/>
      </c>
      <c r="D824" s="23" t="str">
        <f>IF($B824="","",(Acc!$H824*$C824))</f>
        <v/>
      </c>
      <c r="E824" s="24">
        <f>IF(C824&lt;=CommissionDD!$E$3,CommissionDD!$C$3,IF(C824&lt;=CommissionDD!$E$4,CommissionDD!$C$4,IF(C824&lt;=CommissionDD!$E$5,CommissionDD!$C$5,IF(C824&lt;=CommissionDD!$E$6,CommissionDD!$C$6,IF(C824&lt;=CommissionDD!$E$7,CommissionDD!$C$7,IF(C824&lt;=CommissionDD!$E$8,CommissionDD!$C$8,CommissionDD!$C$9))))))</f>
        <v>0.03</v>
      </c>
      <c r="F824" s="23" t="str">
        <f t="shared" si="38"/>
        <v/>
      </c>
      <c r="G824" s="23" t="str">
        <f>IF($B824="","",(Acc!$F824*CommissionDD!$C$30))</f>
        <v/>
      </c>
      <c r="H824" s="23" t="str">
        <f t="shared" si="36"/>
        <v/>
      </c>
    </row>
    <row r="825" spans="1:8">
      <c r="A825" s="21" t="str">
        <f t="shared" si="37"/>
        <v/>
      </c>
      <c r="B825" s="1" t="str">
        <f>IF(Cus!$B825&lt;&gt;"",Cus!$A825,"")</f>
        <v/>
      </c>
      <c r="C825" s="22" t="str">
        <f>IF($B825="","",Cus!$AA825)</f>
        <v/>
      </c>
      <c r="D825" s="23" t="str">
        <f>IF($B825="","",(Acc!$H825*$C825))</f>
        <v/>
      </c>
      <c r="E825" s="24">
        <f>IF(C825&lt;=CommissionDD!$E$3,CommissionDD!$C$3,IF(C825&lt;=CommissionDD!$E$4,CommissionDD!$C$4,IF(C825&lt;=CommissionDD!$E$5,CommissionDD!$C$5,IF(C825&lt;=CommissionDD!$E$6,CommissionDD!$C$6,IF(C825&lt;=CommissionDD!$E$7,CommissionDD!$C$7,IF(C825&lt;=CommissionDD!$E$8,CommissionDD!$C$8,CommissionDD!$C$9))))))</f>
        <v>0.03</v>
      </c>
      <c r="F825" s="23" t="str">
        <f t="shared" si="38"/>
        <v/>
      </c>
      <c r="G825" s="23" t="str">
        <f>IF($B825="","",(Acc!$F825*CommissionDD!$C$30))</f>
        <v/>
      </c>
      <c r="H825" s="23" t="str">
        <f t="shared" si="36"/>
        <v/>
      </c>
    </row>
    <row r="826" spans="1:8">
      <c r="A826" s="21" t="str">
        <f t="shared" si="37"/>
        <v/>
      </c>
      <c r="B826" s="1" t="str">
        <f>IF(Cus!$B826&lt;&gt;"",Cus!$A826,"")</f>
        <v/>
      </c>
      <c r="C826" s="22" t="str">
        <f>IF($B826="","",Cus!$AA826)</f>
        <v/>
      </c>
      <c r="D826" s="23" t="str">
        <f>IF($B826="","",(Acc!$H826*$C826))</f>
        <v/>
      </c>
      <c r="E826" s="24">
        <f>IF(C826&lt;=CommissionDD!$E$3,CommissionDD!$C$3,IF(C826&lt;=CommissionDD!$E$4,CommissionDD!$C$4,IF(C826&lt;=CommissionDD!$E$5,CommissionDD!$C$5,IF(C826&lt;=CommissionDD!$E$6,CommissionDD!$C$6,IF(C826&lt;=CommissionDD!$E$7,CommissionDD!$C$7,IF(C826&lt;=CommissionDD!$E$8,CommissionDD!$C$8,CommissionDD!$C$9))))))</f>
        <v>0.03</v>
      </c>
      <c r="F826" s="23" t="str">
        <f t="shared" si="38"/>
        <v/>
      </c>
      <c r="G826" s="23" t="str">
        <f>IF($B826="","",(Acc!$F826*CommissionDD!$C$30))</f>
        <v/>
      </c>
      <c r="H826" s="23" t="str">
        <f t="shared" si="36"/>
        <v/>
      </c>
    </row>
    <row r="827" spans="1:8">
      <c r="A827" s="21" t="str">
        <f t="shared" si="37"/>
        <v/>
      </c>
      <c r="B827" s="1" t="str">
        <f>IF(Cus!$B827&lt;&gt;"",Cus!$A827,"")</f>
        <v/>
      </c>
      <c r="C827" s="22" t="str">
        <f>IF($B827="","",Cus!$AA827)</f>
        <v/>
      </c>
      <c r="D827" s="23" t="str">
        <f>IF($B827="","",(Acc!$H827*$C827))</f>
        <v/>
      </c>
      <c r="E827" s="24">
        <f>IF(C827&lt;=CommissionDD!$E$3,CommissionDD!$C$3,IF(C827&lt;=CommissionDD!$E$4,CommissionDD!$C$4,IF(C827&lt;=CommissionDD!$E$5,CommissionDD!$C$5,IF(C827&lt;=CommissionDD!$E$6,CommissionDD!$C$6,IF(C827&lt;=CommissionDD!$E$7,CommissionDD!$C$7,IF(C827&lt;=CommissionDD!$E$8,CommissionDD!$C$8,CommissionDD!$C$9))))))</f>
        <v>0.03</v>
      </c>
      <c r="F827" s="23" t="str">
        <f t="shared" si="38"/>
        <v/>
      </c>
      <c r="G827" s="23" t="str">
        <f>IF($B827="","",(Acc!$F827*CommissionDD!$C$30))</f>
        <v/>
      </c>
      <c r="H827" s="23" t="str">
        <f t="shared" si="36"/>
        <v/>
      </c>
    </row>
    <row r="828" spans="1:8">
      <c r="A828" s="21" t="str">
        <f t="shared" si="37"/>
        <v/>
      </c>
      <c r="B828" s="1" t="str">
        <f>IF(Cus!$B828&lt;&gt;"",Cus!$A828,"")</f>
        <v/>
      </c>
      <c r="C828" s="22" t="str">
        <f>IF($B828="","",Cus!$AA828)</f>
        <v/>
      </c>
      <c r="D828" s="23" t="str">
        <f>IF($B828="","",(Acc!$H828*$C828))</f>
        <v/>
      </c>
      <c r="E828" s="24">
        <f>IF(C828&lt;=CommissionDD!$E$3,CommissionDD!$C$3,IF(C828&lt;=CommissionDD!$E$4,CommissionDD!$C$4,IF(C828&lt;=CommissionDD!$E$5,CommissionDD!$C$5,IF(C828&lt;=CommissionDD!$E$6,CommissionDD!$C$6,IF(C828&lt;=CommissionDD!$E$7,CommissionDD!$C$7,IF(C828&lt;=CommissionDD!$E$8,CommissionDD!$C$8,CommissionDD!$C$9))))))</f>
        <v>0.03</v>
      </c>
      <c r="F828" s="23" t="str">
        <f t="shared" si="38"/>
        <v/>
      </c>
      <c r="G828" s="23" t="str">
        <f>IF($B828="","",(Acc!$F828*CommissionDD!$C$30))</f>
        <v/>
      </c>
      <c r="H828" s="23" t="str">
        <f t="shared" si="36"/>
        <v/>
      </c>
    </row>
    <row r="829" spans="1:8">
      <c r="A829" s="21" t="str">
        <f t="shared" si="37"/>
        <v/>
      </c>
      <c r="B829" s="1" t="str">
        <f>IF(Cus!$B829&lt;&gt;"",Cus!$A829,"")</f>
        <v/>
      </c>
      <c r="C829" s="22" t="str">
        <f>IF($B829="","",Cus!$AA829)</f>
        <v/>
      </c>
      <c r="D829" s="23" t="str">
        <f>IF($B829="","",(Acc!$H829*$C829))</f>
        <v/>
      </c>
      <c r="E829" s="24">
        <f>IF(C829&lt;=CommissionDD!$E$3,CommissionDD!$C$3,IF(C829&lt;=CommissionDD!$E$4,CommissionDD!$C$4,IF(C829&lt;=CommissionDD!$E$5,CommissionDD!$C$5,IF(C829&lt;=CommissionDD!$E$6,CommissionDD!$C$6,IF(C829&lt;=CommissionDD!$E$7,CommissionDD!$C$7,IF(C829&lt;=CommissionDD!$E$8,CommissionDD!$C$8,CommissionDD!$C$9))))))</f>
        <v>0.03</v>
      </c>
      <c r="F829" s="23" t="str">
        <f t="shared" si="38"/>
        <v/>
      </c>
      <c r="G829" s="23" t="str">
        <f>IF($B829="","",(Acc!$F829*CommissionDD!$C$30))</f>
        <v/>
      </c>
      <c r="H829" s="23" t="str">
        <f t="shared" si="36"/>
        <v/>
      </c>
    </row>
    <row r="830" spans="1:8">
      <c r="A830" s="21" t="str">
        <f t="shared" si="37"/>
        <v/>
      </c>
      <c r="B830" s="1" t="str">
        <f>IF(Cus!$B830&lt;&gt;"",Cus!$A830,"")</f>
        <v/>
      </c>
      <c r="C830" s="22" t="str">
        <f>IF($B830="","",Cus!$AA830)</f>
        <v/>
      </c>
      <c r="D830" s="23" t="str">
        <f>IF($B830="","",(Acc!$H830*$C830))</f>
        <v/>
      </c>
      <c r="E830" s="24">
        <f>IF(C830&lt;=CommissionDD!$E$3,CommissionDD!$C$3,IF(C830&lt;=CommissionDD!$E$4,CommissionDD!$C$4,IF(C830&lt;=CommissionDD!$E$5,CommissionDD!$C$5,IF(C830&lt;=CommissionDD!$E$6,CommissionDD!$C$6,IF(C830&lt;=CommissionDD!$E$7,CommissionDD!$C$7,IF(C830&lt;=CommissionDD!$E$8,CommissionDD!$C$8,CommissionDD!$C$9))))))</f>
        <v>0.03</v>
      </c>
      <c r="F830" s="23" t="str">
        <f t="shared" si="38"/>
        <v/>
      </c>
      <c r="G830" s="23" t="str">
        <f>IF($B830="","",(Acc!$F830*CommissionDD!$C$30))</f>
        <v/>
      </c>
      <c r="H830" s="23" t="str">
        <f t="shared" si="36"/>
        <v/>
      </c>
    </row>
    <row r="831" spans="1:8">
      <c r="A831" s="21" t="str">
        <f t="shared" si="37"/>
        <v/>
      </c>
      <c r="B831" s="1" t="str">
        <f>IF(Cus!$B831&lt;&gt;"",Cus!$A831,"")</f>
        <v/>
      </c>
      <c r="C831" s="22" t="str">
        <f>IF($B831="","",Cus!$AA831)</f>
        <v/>
      </c>
      <c r="D831" s="23" t="str">
        <f>IF($B831="","",(Acc!$H831*$C831))</f>
        <v/>
      </c>
      <c r="E831" s="24">
        <f>IF(C831&lt;=CommissionDD!$E$3,CommissionDD!$C$3,IF(C831&lt;=CommissionDD!$E$4,CommissionDD!$C$4,IF(C831&lt;=CommissionDD!$E$5,CommissionDD!$C$5,IF(C831&lt;=CommissionDD!$E$6,CommissionDD!$C$6,IF(C831&lt;=CommissionDD!$E$7,CommissionDD!$C$7,IF(C831&lt;=CommissionDD!$E$8,CommissionDD!$C$8,CommissionDD!$C$9))))))</f>
        <v>0.03</v>
      </c>
      <c r="F831" s="23" t="str">
        <f t="shared" si="38"/>
        <v/>
      </c>
      <c r="G831" s="23" t="str">
        <f>IF($B831="","",(Acc!$F831*CommissionDD!$C$30))</f>
        <v/>
      </c>
      <c r="H831" s="23" t="str">
        <f t="shared" si="36"/>
        <v/>
      </c>
    </row>
    <row r="832" spans="1:8">
      <c r="A832" s="21" t="str">
        <f t="shared" si="37"/>
        <v/>
      </c>
      <c r="B832" s="1" t="str">
        <f>IF(Cus!$B832&lt;&gt;"",Cus!$A832,"")</f>
        <v/>
      </c>
      <c r="C832" s="22" t="str">
        <f>IF($B832="","",Cus!$AA832)</f>
        <v/>
      </c>
      <c r="D832" s="23" t="str">
        <f>IF($B832="","",(Acc!$H832*$C832))</f>
        <v/>
      </c>
      <c r="E832" s="24">
        <f>IF(C832&lt;=CommissionDD!$E$3,CommissionDD!$C$3,IF(C832&lt;=CommissionDD!$E$4,CommissionDD!$C$4,IF(C832&lt;=CommissionDD!$E$5,CommissionDD!$C$5,IF(C832&lt;=CommissionDD!$E$6,CommissionDD!$C$6,IF(C832&lt;=CommissionDD!$E$7,CommissionDD!$C$7,IF(C832&lt;=CommissionDD!$E$8,CommissionDD!$C$8,CommissionDD!$C$9))))))</f>
        <v>0.03</v>
      </c>
      <c r="F832" s="23" t="str">
        <f t="shared" si="38"/>
        <v/>
      </c>
      <c r="G832" s="23" t="str">
        <f>IF($B832="","",(Acc!$F832*CommissionDD!$C$30))</f>
        <v/>
      </c>
      <c r="H832" s="23" t="str">
        <f t="shared" si="36"/>
        <v/>
      </c>
    </row>
    <row r="833" spans="1:8">
      <c r="A833" s="21" t="str">
        <f t="shared" si="37"/>
        <v/>
      </c>
      <c r="B833" s="1" t="str">
        <f>IF(Cus!$B833&lt;&gt;"",Cus!$A833,"")</f>
        <v/>
      </c>
      <c r="C833" s="22" t="str">
        <f>IF($B833="","",Cus!$AA833)</f>
        <v/>
      </c>
      <c r="D833" s="23" t="str">
        <f>IF($B833="","",(Acc!$H833*$C833))</f>
        <v/>
      </c>
      <c r="E833" s="24">
        <f>IF(C833&lt;=CommissionDD!$E$3,CommissionDD!$C$3,IF(C833&lt;=CommissionDD!$E$4,CommissionDD!$C$4,IF(C833&lt;=CommissionDD!$E$5,CommissionDD!$C$5,IF(C833&lt;=CommissionDD!$E$6,CommissionDD!$C$6,IF(C833&lt;=CommissionDD!$E$7,CommissionDD!$C$7,IF(C833&lt;=CommissionDD!$E$8,CommissionDD!$C$8,CommissionDD!$C$9))))))</f>
        <v>0.03</v>
      </c>
      <c r="F833" s="23" t="str">
        <f t="shared" si="38"/>
        <v/>
      </c>
      <c r="G833" s="23" t="str">
        <f>IF($B833="","",(Acc!$F833*CommissionDD!$C$30))</f>
        <v/>
      </c>
      <c r="H833" s="23" t="str">
        <f t="shared" si="36"/>
        <v/>
      </c>
    </row>
    <row r="834" spans="1:8">
      <c r="A834" s="21" t="str">
        <f t="shared" si="37"/>
        <v/>
      </c>
      <c r="B834" s="1" t="str">
        <f>IF(Cus!$B834&lt;&gt;"",Cus!$A834,"")</f>
        <v/>
      </c>
      <c r="C834" s="22" t="str">
        <f>IF($B834="","",Cus!$AA834)</f>
        <v/>
      </c>
      <c r="D834" s="23" t="str">
        <f>IF($B834="","",(Acc!$H834*$C834))</f>
        <v/>
      </c>
      <c r="E834" s="24">
        <f>IF(C834&lt;=CommissionDD!$E$3,CommissionDD!$C$3,IF(C834&lt;=CommissionDD!$E$4,CommissionDD!$C$4,IF(C834&lt;=CommissionDD!$E$5,CommissionDD!$C$5,IF(C834&lt;=CommissionDD!$E$6,CommissionDD!$C$6,IF(C834&lt;=CommissionDD!$E$7,CommissionDD!$C$7,IF(C834&lt;=CommissionDD!$E$8,CommissionDD!$C$8,CommissionDD!$C$9))))))</f>
        <v>0.03</v>
      </c>
      <c r="F834" s="23" t="str">
        <f t="shared" si="38"/>
        <v/>
      </c>
      <c r="G834" s="23" t="str">
        <f>IF($B834="","",(Acc!$F834*CommissionDD!$C$30))</f>
        <v/>
      </c>
      <c r="H834" s="23" t="str">
        <f t="shared" ref="H834:H897" si="39">IF($B834="","",F834+G834)</f>
        <v/>
      </c>
    </row>
    <row r="835" spans="1:8">
      <c r="A835" s="21" t="str">
        <f t="shared" ref="A835:A898" si="40">IF($B835="","",(ROW($A834)))</f>
        <v/>
      </c>
      <c r="B835" s="1" t="str">
        <f>IF(Cus!$B835&lt;&gt;"",Cus!$A835,"")</f>
        <v/>
      </c>
      <c r="C835" s="22" t="str">
        <f>IF($B835="","",Cus!$AA835)</f>
        <v/>
      </c>
      <c r="D835" s="23" t="str">
        <f>IF($B835="","",(Acc!$H835*$C835))</f>
        <v/>
      </c>
      <c r="E835" s="24">
        <f>IF(C835&lt;=CommissionDD!$E$3,CommissionDD!$C$3,IF(C835&lt;=CommissionDD!$E$4,CommissionDD!$C$4,IF(C835&lt;=CommissionDD!$E$5,CommissionDD!$C$5,IF(C835&lt;=CommissionDD!$E$6,CommissionDD!$C$6,IF(C835&lt;=CommissionDD!$E$7,CommissionDD!$C$7,IF(C835&lt;=CommissionDD!$E$8,CommissionDD!$C$8,CommissionDD!$C$9))))))</f>
        <v>0.03</v>
      </c>
      <c r="F835" s="23" t="str">
        <f t="shared" si="38"/>
        <v/>
      </c>
      <c r="G835" s="23" t="str">
        <f>IF($B835="","",(Acc!$F835*CommissionDD!$C$30))</f>
        <v/>
      </c>
      <c r="H835" s="23" t="str">
        <f t="shared" si="39"/>
        <v/>
      </c>
    </row>
    <row r="836" spans="1:8">
      <c r="A836" s="21" t="str">
        <f t="shared" si="40"/>
        <v/>
      </c>
      <c r="B836" s="1" t="str">
        <f>IF(Cus!$B836&lt;&gt;"",Cus!$A836,"")</f>
        <v/>
      </c>
      <c r="C836" s="22" t="str">
        <f>IF($B836="","",Cus!$AA836)</f>
        <v/>
      </c>
      <c r="D836" s="23" t="str">
        <f>IF($B836="","",(Acc!$H836*$C836))</f>
        <v/>
      </c>
      <c r="E836" s="24">
        <f>IF(C836&lt;=CommissionDD!$E$3,CommissionDD!$C$3,IF(C836&lt;=CommissionDD!$E$4,CommissionDD!$C$4,IF(C836&lt;=CommissionDD!$E$5,CommissionDD!$C$5,IF(C836&lt;=CommissionDD!$E$6,CommissionDD!$C$6,IF(C836&lt;=CommissionDD!$E$7,CommissionDD!$C$7,IF(C836&lt;=CommissionDD!$E$8,CommissionDD!$C$8,CommissionDD!$C$9))))))</f>
        <v>0.03</v>
      </c>
      <c r="F836" s="23" t="str">
        <f t="shared" si="38"/>
        <v/>
      </c>
      <c r="G836" s="23" t="str">
        <f>IF($B836="","",(Acc!$F836*CommissionDD!$C$30))</f>
        <v/>
      </c>
      <c r="H836" s="23" t="str">
        <f t="shared" si="39"/>
        <v/>
      </c>
    </row>
    <row r="837" spans="1:8">
      <c r="A837" s="21" t="str">
        <f t="shared" si="40"/>
        <v/>
      </c>
      <c r="B837" s="1" t="str">
        <f>IF(Cus!$B837&lt;&gt;"",Cus!$A837,"")</f>
        <v/>
      </c>
      <c r="C837" s="22" t="str">
        <f>IF($B837="","",Cus!$AA837)</f>
        <v/>
      </c>
      <c r="D837" s="23" t="str">
        <f>IF($B837="","",(Acc!$H837*$C837))</f>
        <v/>
      </c>
      <c r="E837" s="24">
        <f>IF(C837&lt;=CommissionDD!$E$3,CommissionDD!$C$3,IF(C837&lt;=CommissionDD!$E$4,CommissionDD!$C$4,IF(C837&lt;=CommissionDD!$E$5,CommissionDD!$C$5,IF(C837&lt;=CommissionDD!$E$6,CommissionDD!$C$6,IF(C837&lt;=CommissionDD!$E$7,CommissionDD!$C$7,IF(C837&lt;=CommissionDD!$E$8,CommissionDD!$C$8,CommissionDD!$C$9))))))</f>
        <v>0.03</v>
      </c>
      <c r="F837" s="23" t="str">
        <f t="shared" ref="F837:F900" si="41">IF($B837="","",D837*E837)</f>
        <v/>
      </c>
      <c r="G837" s="23" t="str">
        <f>IF($B837="","",(Acc!$F837*CommissionDD!$C$30))</f>
        <v/>
      </c>
      <c r="H837" s="23" t="str">
        <f t="shared" si="39"/>
        <v/>
      </c>
    </row>
    <row r="838" spans="1:8">
      <c r="A838" s="21" t="str">
        <f t="shared" si="40"/>
        <v/>
      </c>
      <c r="B838" s="1" t="str">
        <f>IF(Cus!$B838&lt;&gt;"",Cus!$A838,"")</f>
        <v/>
      </c>
      <c r="C838" s="22" t="str">
        <f>IF($B838="","",Cus!$AA838)</f>
        <v/>
      </c>
      <c r="D838" s="23" t="str">
        <f>IF($B838="","",(Acc!$H838*$C838))</f>
        <v/>
      </c>
      <c r="E838" s="24">
        <f>IF(C838&lt;=CommissionDD!$E$3,CommissionDD!$C$3,IF(C838&lt;=CommissionDD!$E$4,CommissionDD!$C$4,IF(C838&lt;=CommissionDD!$E$5,CommissionDD!$C$5,IF(C838&lt;=CommissionDD!$E$6,CommissionDD!$C$6,IF(C838&lt;=CommissionDD!$E$7,CommissionDD!$C$7,IF(C838&lt;=CommissionDD!$E$8,CommissionDD!$C$8,CommissionDD!$C$9))))))</f>
        <v>0.03</v>
      </c>
      <c r="F838" s="23" t="str">
        <f t="shared" si="41"/>
        <v/>
      </c>
      <c r="G838" s="23" t="str">
        <f>IF($B838="","",(Acc!$F838*CommissionDD!$C$30))</f>
        <v/>
      </c>
      <c r="H838" s="23" t="str">
        <f t="shared" si="39"/>
        <v/>
      </c>
    </row>
    <row r="839" spans="1:8">
      <c r="A839" s="21" t="str">
        <f t="shared" si="40"/>
        <v/>
      </c>
      <c r="B839" s="1" t="str">
        <f>IF(Cus!$B839&lt;&gt;"",Cus!$A839,"")</f>
        <v/>
      </c>
      <c r="C839" s="22" t="str">
        <f>IF($B839="","",Cus!$AA839)</f>
        <v/>
      </c>
      <c r="D839" s="23" t="str">
        <f>IF($B839="","",(Acc!$H839*$C839))</f>
        <v/>
      </c>
      <c r="E839" s="24">
        <f>IF(C839&lt;=CommissionDD!$E$3,CommissionDD!$C$3,IF(C839&lt;=CommissionDD!$E$4,CommissionDD!$C$4,IF(C839&lt;=CommissionDD!$E$5,CommissionDD!$C$5,IF(C839&lt;=CommissionDD!$E$6,CommissionDD!$C$6,IF(C839&lt;=CommissionDD!$E$7,CommissionDD!$C$7,IF(C839&lt;=CommissionDD!$E$8,CommissionDD!$C$8,CommissionDD!$C$9))))))</f>
        <v>0.03</v>
      </c>
      <c r="F839" s="23" t="str">
        <f t="shared" si="41"/>
        <v/>
      </c>
      <c r="G839" s="23" t="str">
        <f>IF($B839="","",(Acc!$F839*CommissionDD!$C$30))</f>
        <v/>
      </c>
      <c r="H839" s="23" t="str">
        <f t="shared" si="39"/>
        <v/>
      </c>
    </row>
    <row r="840" spans="1:8">
      <c r="A840" s="21" t="str">
        <f t="shared" si="40"/>
        <v/>
      </c>
      <c r="B840" s="1" t="str">
        <f>IF(Cus!$B840&lt;&gt;"",Cus!$A840,"")</f>
        <v/>
      </c>
      <c r="C840" s="22" t="str">
        <f>IF($B840="","",Cus!$AA840)</f>
        <v/>
      </c>
      <c r="D840" s="23" t="str">
        <f>IF($B840="","",(Acc!$H840*$C840))</f>
        <v/>
      </c>
      <c r="E840" s="24">
        <f>IF(C840&lt;=CommissionDD!$E$3,CommissionDD!$C$3,IF(C840&lt;=CommissionDD!$E$4,CommissionDD!$C$4,IF(C840&lt;=CommissionDD!$E$5,CommissionDD!$C$5,IF(C840&lt;=CommissionDD!$E$6,CommissionDD!$C$6,IF(C840&lt;=CommissionDD!$E$7,CommissionDD!$C$7,IF(C840&lt;=CommissionDD!$E$8,CommissionDD!$C$8,CommissionDD!$C$9))))))</f>
        <v>0.03</v>
      </c>
      <c r="F840" s="23" t="str">
        <f t="shared" si="41"/>
        <v/>
      </c>
      <c r="G840" s="23" t="str">
        <f>IF($B840="","",(Acc!$F840*CommissionDD!$C$30))</f>
        <v/>
      </c>
      <c r="H840" s="23" t="str">
        <f t="shared" si="39"/>
        <v/>
      </c>
    </row>
    <row r="841" spans="1:8">
      <c r="A841" s="21" t="str">
        <f t="shared" si="40"/>
        <v/>
      </c>
      <c r="B841" s="1" t="str">
        <f>IF(Cus!$B841&lt;&gt;"",Cus!$A841,"")</f>
        <v/>
      </c>
      <c r="C841" s="22" t="str">
        <f>IF($B841="","",Cus!$AA841)</f>
        <v/>
      </c>
      <c r="D841" s="23" t="str">
        <f>IF($B841="","",(Acc!$H841*$C841))</f>
        <v/>
      </c>
      <c r="E841" s="24">
        <f>IF(C841&lt;=CommissionDD!$E$3,CommissionDD!$C$3,IF(C841&lt;=CommissionDD!$E$4,CommissionDD!$C$4,IF(C841&lt;=CommissionDD!$E$5,CommissionDD!$C$5,IF(C841&lt;=CommissionDD!$E$6,CommissionDD!$C$6,IF(C841&lt;=CommissionDD!$E$7,CommissionDD!$C$7,IF(C841&lt;=CommissionDD!$E$8,CommissionDD!$C$8,CommissionDD!$C$9))))))</f>
        <v>0.03</v>
      </c>
      <c r="F841" s="23" t="str">
        <f t="shared" si="41"/>
        <v/>
      </c>
      <c r="G841" s="23" t="str">
        <f>IF($B841="","",(Acc!$F841*CommissionDD!$C$30))</f>
        <v/>
      </c>
      <c r="H841" s="23" t="str">
        <f t="shared" si="39"/>
        <v/>
      </c>
    </row>
    <row r="842" spans="1:8">
      <c r="A842" s="21" t="str">
        <f t="shared" si="40"/>
        <v/>
      </c>
      <c r="B842" s="1" t="str">
        <f>IF(Cus!$B842&lt;&gt;"",Cus!$A842,"")</f>
        <v/>
      </c>
      <c r="C842" s="22" t="str">
        <f>IF($B842="","",Cus!$AA842)</f>
        <v/>
      </c>
      <c r="D842" s="23" t="str">
        <f>IF($B842="","",(Acc!$H842*$C842))</f>
        <v/>
      </c>
      <c r="E842" s="24">
        <f>IF(C842&lt;=CommissionDD!$E$3,CommissionDD!$C$3,IF(C842&lt;=CommissionDD!$E$4,CommissionDD!$C$4,IF(C842&lt;=CommissionDD!$E$5,CommissionDD!$C$5,IF(C842&lt;=CommissionDD!$E$6,CommissionDD!$C$6,IF(C842&lt;=CommissionDD!$E$7,CommissionDD!$C$7,IF(C842&lt;=CommissionDD!$E$8,CommissionDD!$C$8,CommissionDD!$C$9))))))</f>
        <v>0.03</v>
      </c>
      <c r="F842" s="23" t="str">
        <f t="shared" si="41"/>
        <v/>
      </c>
      <c r="G842" s="23" t="str">
        <f>IF($B842="","",(Acc!$F842*CommissionDD!$C$30))</f>
        <v/>
      </c>
      <c r="H842" s="23" t="str">
        <f t="shared" si="39"/>
        <v/>
      </c>
    </row>
    <row r="843" spans="1:8">
      <c r="A843" s="21" t="str">
        <f t="shared" si="40"/>
        <v/>
      </c>
      <c r="B843" s="1" t="str">
        <f>IF(Cus!$B843&lt;&gt;"",Cus!$A843,"")</f>
        <v/>
      </c>
      <c r="C843" s="22" t="str">
        <f>IF($B843="","",Cus!$AA843)</f>
        <v/>
      </c>
      <c r="D843" s="23" t="str">
        <f>IF($B843="","",(Acc!$H843*$C843))</f>
        <v/>
      </c>
      <c r="E843" s="24">
        <f>IF(C843&lt;=CommissionDD!$E$3,CommissionDD!$C$3,IF(C843&lt;=CommissionDD!$E$4,CommissionDD!$C$4,IF(C843&lt;=CommissionDD!$E$5,CommissionDD!$C$5,IF(C843&lt;=CommissionDD!$E$6,CommissionDD!$C$6,IF(C843&lt;=CommissionDD!$E$7,CommissionDD!$C$7,IF(C843&lt;=CommissionDD!$E$8,CommissionDD!$C$8,CommissionDD!$C$9))))))</f>
        <v>0.03</v>
      </c>
      <c r="F843" s="23" t="str">
        <f t="shared" si="41"/>
        <v/>
      </c>
      <c r="G843" s="23" t="str">
        <f>IF($B843="","",(Acc!$F843*CommissionDD!$C$30))</f>
        <v/>
      </c>
      <c r="H843" s="23" t="str">
        <f t="shared" si="39"/>
        <v/>
      </c>
    </row>
    <row r="844" spans="1:8">
      <c r="A844" s="21" t="str">
        <f t="shared" si="40"/>
        <v/>
      </c>
      <c r="B844" s="1" t="str">
        <f>IF(Cus!$B844&lt;&gt;"",Cus!$A844,"")</f>
        <v/>
      </c>
      <c r="C844" s="22" t="str">
        <f>IF($B844="","",Cus!$AA844)</f>
        <v/>
      </c>
      <c r="D844" s="23" t="str">
        <f>IF($B844="","",(Acc!$H844*$C844))</f>
        <v/>
      </c>
      <c r="E844" s="24">
        <f>IF(C844&lt;=CommissionDD!$E$3,CommissionDD!$C$3,IF(C844&lt;=CommissionDD!$E$4,CommissionDD!$C$4,IF(C844&lt;=CommissionDD!$E$5,CommissionDD!$C$5,IF(C844&lt;=CommissionDD!$E$6,CommissionDD!$C$6,IF(C844&lt;=CommissionDD!$E$7,CommissionDD!$C$7,IF(C844&lt;=CommissionDD!$E$8,CommissionDD!$C$8,CommissionDD!$C$9))))))</f>
        <v>0.03</v>
      </c>
      <c r="F844" s="23" t="str">
        <f t="shared" si="41"/>
        <v/>
      </c>
      <c r="G844" s="23" t="str">
        <f>IF($B844="","",(Acc!$F844*CommissionDD!$C$30))</f>
        <v/>
      </c>
      <c r="H844" s="23" t="str">
        <f t="shared" si="39"/>
        <v/>
      </c>
    </row>
    <row r="845" spans="1:8">
      <c r="A845" s="21" t="str">
        <f t="shared" si="40"/>
        <v/>
      </c>
      <c r="B845" s="1" t="str">
        <f>IF(Cus!$B845&lt;&gt;"",Cus!$A845,"")</f>
        <v/>
      </c>
      <c r="C845" s="22" t="str">
        <f>IF($B845="","",Cus!$AA845)</f>
        <v/>
      </c>
      <c r="D845" s="23" t="str">
        <f>IF($B845="","",(Acc!$H845*$C845))</f>
        <v/>
      </c>
      <c r="E845" s="24">
        <f>IF(C845&lt;=CommissionDD!$E$3,CommissionDD!$C$3,IF(C845&lt;=CommissionDD!$E$4,CommissionDD!$C$4,IF(C845&lt;=CommissionDD!$E$5,CommissionDD!$C$5,IF(C845&lt;=CommissionDD!$E$6,CommissionDD!$C$6,IF(C845&lt;=CommissionDD!$E$7,CommissionDD!$C$7,IF(C845&lt;=CommissionDD!$E$8,CommissionDD!$C$8,CommissionDD!$C$9))))))</f>
        <v>0.03</v>
      </c>
      <c r="F845" s="23" t="str">
        <f t="shared" si="41"/>
        <v/>
      </c>
      <c r="G845" s="23" t="str">
        <f>IF($B845="","",(Acc!$F845*CommissionDD!$C$30))</f>
        <v/>
      </c>
      <c r="H845" s="23" t="str">
        <f t="shared" si="39"/>
        <v/>
      </c>
    </row>
    <row r="846" spans="1:8">
      <c r="A846" s="21" t="str">
        <f t="shared" si="40"/>
        <v/>
      </c>
      <c r="B846" s="1" t="str">
        <f>IF(Cus!$B846&lt;&gt;"",Cus!$A846,"")</f>
        <v/>
      </c>
      <c r="C846" s="22" t="str">
        <f>IF($B846="","",Cus!$AA846)</f>
        <v/>
      </c>
      <c r="D846" s="23" t="str">
        <f>IF($B846="","",(Acc!$H846*$C846))</f>
        <v/>
      </c>
      <c r="E846" s="24">
        <f>IF(C846&lt;=CommissionDD!$E$3,CommissionDD!$C$3,IF(C846&lt;=CommissionDD!$E$4,CommissionDD!$C$4,IF(C846&lt;=CommissionDD!$E$5,CommissionDD!$C$5,IF(C846&lt;=CommissionDD!$E$6,CommissionDD!$C$6,IF(C846&lt;=CommissionDD!$E$7,CommissionDD!$C$7,IF(C846&lt;=CommissionDD!$E$8,CommissionDD!$C$8,CommissionDD!$C$9))))))</f>
        <v>0.03</v>
      </c>
      <c r="F846" s="23" t="str">
        <f t="shared" si="41"/>
        <v/>
      </c>
      <c r="G846" s="23" t="str">
        <f>IF($B846="","",(Acc!$F846*CommissionDD!$C$30))</f>
        <v/>
      </c>
      <c r="H846" s="23" t="str">
        <f t="shared" si="39"/>
        <v/>
      </c>
    </row>
    <row r="847" spans="1:8">
      <c r="A847" s="21" t="str">
        <f t="shared" si="40"/>
        <v/>
      </c>
      <c r="B847" s="1" t="str">
        <f>IF(Cus!$B847&lt;&gt;"",Cus!$A847,"")</f>
        <v/>
      </c>
      <c r="C847" s="22" t="str">
        <f>IF($B847="","",Cus!$AA847)</f>
        <v/>
      </c>
      <c r="D847" s="23" t="str">
        <f>IF($B847="","",(Acc!$H847*$C847))</f>
        <v/>
      </c>
      <c r="E847" s="24">
        <f>IF(C847&lt;=CommissionDD!$E$3,CommissionDD!$C$3,IF(C847&lt;=CommissionDD!$E$4,CommissionDD!$C$4,IF(C847&lt;=CommissionDD!$E$5,CommissionDD!$C$5,IF(C847&lt;=CommissionDD!$E$6,CommissionDD!$C$6,IF(C847&lt;=CommissionDD!$E$7,CommissionDD!$C$7,IF(C847&lt;=CommissionDD!$E$8,CommissionDD!$C$8,CommissionDD!$C$9))))))</f>
        <v>0.03</v>
      </c>
      <c r="F847" s="23" t="str">
        <f t="shared" si="41"/>
        <v/>
      </c>
      <c r="G847" s="23" t="str">
        <f>IF($B847="","",(Acc!$F847*CommissionDD!$C$30))</f>
        <v/>
      </c>
      <c r="H847" s="23" t="str">
        <f t="shared" si="39"/>
        <v/>
      </c>
    </row>
    <row r="848" spans="1:8">
      <c r="A848" s="21" t="str">
        <f t="shared" si="40"/>
        <v/>
      </c>
      <c r="B848" s="1" t="str">
        <f>IF(Cus!$B848&lt;&gt;"",Cus!$A848,"")</f>
        <v/>
      </c>
      <c r="C848" s="22" t="str">
        <f>IF($B848="","",Cus!$AA848)</f>
        <v/>
      </c>
      <c r="D848" s="23" t="str">
        <f>IF($B848="","",(Acc!$H848*$C848))</f>
        <v/>
      </c>
      <c r="E848" s="24">
        <f>IF(C848&lt;=CommissionDD!$E$3,CommissionDD!$C$3,IF(C848&lt;=CommissionDD!$E$4,CommissionDD!$C$4,IF(C848&lt;=CommissionDD!$E$5,CommissionDD!$C$5,IF(C848&lt;=CommissionDD!$E$6,CommissionDD!$C$6,IF(C848&lt;=CommissionDD!$E$7,CommissionDD!$C$7,IF(C848&lt;=CommissionDD!$E$8,CommissionDD!$C$8,CommissionDD!$C$9))))))</f>
        <v>0.03</v>
      </c>
      <c r="F848" s="23" t="str">
        <f t="shared" si="41"/>
        <v/>
      </c>
      <c r="G848" s="23" t="str">
        <f>IF($B848="","",(Acc!$F848*CommissionDD!$C$30))</f>
        <v/>
      </c>
      <c r="H848" s="23" t="str">
        <f t="shared" si="39"/>
        <v/>
      </c>
    </row>
    <row r="849" spans="1:8">
      <c r="A849" s="21" t="str">
        <f t="shared" si="40"/>
        <v/>
      </c>
      <c r="B849" s="1" t="str">
        <f>IF(Cus!$B849&lt;&gt;"",Cus!$A849,"")</f>
        <v/>
      </c>
      <c r="C849" s="22" t="str">
        <f>IF($B849="","",Cus!$AA849)</f>
        <v/>
      </c>
      <c r="D849" s="23" t="str">
        <f>IF($B849="","",(Acc!$H849*$C849))</f>
        <v/>
      </c>
      <c r="E849" s="24">
        <f>IF(C849&lt;=CommissionDD!$E$3,CommissionDD!$C$3,IF(C849&lt;=CommissionDD!$E$4,CommissionDD!$C$4,IF(C849&lt;=CommissionDD!$E$5,CommissionDD!$C$5,IF(C849&lt;=CommissionDD!$E$6,CommissionDD!$C$6,IF(C849&lt;=CommissionDD!$E$7,CommissionDD!$C$7,IF(C849&lt;=CommissionDD!$E$8,CommissionDD!$C$8,CommissionDD!$C$9))))))</f>
        <v>0.03</v>
      </c>
      <c r="F849" s="23" t="str">
        <f t="shared" si="41"/>
        <v/>
      </c>
      <c r="G849" s="23" t="str">
        <f>IF($B849="","",(Acc!$F849*CommissionDD!$C$30))</f>
        <v/>
      </c>
      <c r="H849" s="23" t="str">
        <f t="shared" si="39"/>
        <v/>
      </c>
    </row>
    <row r="850" spans="1:8">
      <c r="A850" s="21" t="str">
        <f t="shared" si="40"/>
        <v/>
      </c>
      <c r="B850" s="1" t="str">
        <f>IF(Cus!$B850&lt;&gt;"",Cus!$A850,"")</f>
        <v/>
      </c>
      <c r="C850" s="22" t="str">
        <f>IF($B850="","",Cus!$AA850)</f>
        <v/>
      </c>
      <c r="D850" s="23" t="str">
        <f>IF($B850="","",(Acc!$H850*$C850))</f>
        <v/>
      </c>
      <c r="E850" s="24">
        <f>IF(C850&lt;=CommissionDD!$E$3,CommissionDD!$C$3,IF(C850&lt;=CommissionDD!$E$4,CommissionDD!$C$4,IF(C850&lt;=CommissionDD!$E$5,CommissionDD!$C$5,IF(C850&lt;=CommissionDD!$E$6,CommissionDD!$C$6,IF(C850&lt;=CommissionDD!$E$7,CommissionDD!$C$7,IF(C850&lt;=CommissionDD!$E$8,CommissionDD!$C$8,CommissionDD!$C$9))))))</f>
        <v>0.03</v>
      </c>
      <c r="F850" s="23" t="str">
        <f t="shared" si="41"/>
        <v/>
      </c>
      <c r="G850" s="23" t="str">
        <f>IF($B850="","",(Acc!$F850*CommissionDD!$C$30))</f>
        <v/>
      </c>
      <c r="H850" s="23" t="str">
        <f t="shared" si="39"/>
        <v/>
      </c>
    </row>
    <row r="851" spans="1:8">
      <c r="A851" s="21" t="str">
        <f t="shared" si="40"/>
        <v/>
      </c>
      <c r="B851" s="1" t="str">
        <f>IF(Cus!$B851&lt;&gt;"",Cus!$A851,"")</f>
        <v/>
      </c>
      <c r="C851" s="22" t="str">
        <f>IF($B851="","",Cus!$AA851)</f>
        <v/>
      </c>
      <c r="D851" s="23" t="str">
        <f>IF($B851="","",(Acc!$H851*$C851))</f>
        <v/>
      </c>
      <c r="E851" s="24">
        <f>IF(C851&lt;=CommissionDD!$E$3,CommissionDD!$C$3,IF(C851&lt;=CommissionDD!$E$4,CommissionDD!$C$4,IF(C851&lt;=CommissionDD!$E$5,CommissionDD!$C$5,IF(C851&lt;=CommissionDD!$E$6,CommissionDD!$C$6,IF(C851&lt;=CommissionDD!$E$7,CommissionDD!$C$7,IF(C851&lt;=CommissionDD!$E$8,CommissionDD!$C$8,CommissionDD!$C$9))))))</f>
        <v>0.03</v>
      </c>
      <c r="F851" s="23" t="str">
        <f t="shared" si="41"/>
        <v/>
      </c>
      <c r="G851" s="23" t="str">
        <f>IF($B851="","",(Acc!$F851*CommissionDD!$C$30))</f>
        <v/>
      </c>
      <c r="H851" s="23" t="str">
        <f t="shared" si="39"/>
        <v/>
      </c>
    </row>
    <row r="852" spans="1:8">
      <c r="A852" s="21" t="str">
        <f t="shared" si="40"/>
        <v/>
      </c>
      <c r="B852" s="1" t="str">
        <f>IF(Cus!$B852&lt;&gt;"",Cus!$A852,"")</f>
        <v/>
      </c>
      <c r="C852" s="22" t="str">
        <f>IF($B852="","",Cus!$AA852)</f>
        <v/>
      </c>
      <c r="D852" s="23" t="str">
        <f>IF($B852="","",(Acc!$H852*$C852))</f>
        <v/>
      </c>
      <c r="E852" s="24">
        <f>IF(C852&lt;=CommissionDD!$E$3,CommissionDD!$C$3,IF(C852&lt;=CommissionDD!$E$4,CommissionDD!$C$4,IF(C852&lt;=CommissionDD!$E$5,CommissionDD!$C$5,IF(C852&lt;=CommissionDD!$E$6,CommissionDD!$C$6,IF(C852&lt;=CommissionDD!$E$7,CommissionDD!$C$7,IF(C852&lt;=CommissionDD!$E$8,CommissionDD!$C$8,CommissionDD!$C$9))))))</f>
        <v>0.03</v>
      </c>
      <c r="F852" s="23" t="str">
        <f t="shared" si="41"/>
        <v/>
      </c>
      <c r="G852" s="23" t="str">
        <f>IF($B852="","",(Acc!$F852*CommissionDD!$C$30))</f>
        <v/>
      </c>
      <c r="H852" s="23" t="str">
        <f t="shared" si="39"/>
        <v/>
      </c>
    </row>
    <row r="853" spans="1:8">
      <c r="A853" s="21" t="str">
        <f t="shared" si="40"/>
        <v/>
      </c>
      <c r="B853" s="1" t="str">
        <f>IF(Cus!$B853&lt;&gt;"",Cus!$A853,"")</f>
        <v/>
      </c>
      <c r="C853" s="22" t="str">
        <f>IF($B853="","",Cus!$AA853)</f>
        <v/>
      </c>
      <c r="D853" s="23" t="str">
        <f>IF($B853="","",(Acc!$H853*$C853))</f>
        <v/>
      </c>
      <c r="E853" s="24">
        <f>IF(C853&lt;=CommissionDD!$E$3,CommissionDD!$C$3,IF(C853&lt;=CommissionDD!$E$4,CommissionDD!$C$4,IF(C853&lt;=CommissionDD!$E$5,CommissionDD!$C$5,IF(C853&lt;=CommissionDD!$E$6,CommissionDD!$C$6,IF(C853&lt;=CommissionDD!$E$7,CommissionDD!$C$7,IF(C853&lt;=CommissionDD!$E$8,CommissionDD!$C$8,CommissionDD!$C$9))))))</f>
        <v>0.03</v>
      </c>
      <c r="F853" s="23" t="str">
        <f t="shared" si="41"/>
        <v/>
      </c>
      <c r="G853" s="23" t="str">
        <f>IF($B853="","",(Acc!$F853*CommissionDD!$C$30))</f>
        <v/>
      </c>
      <c r="H853" s="23" t="str">
        <f t="shared" si="39"/>
        <v/>
      </c>
    </row>
    <row r="854" spans="1:8">
      <c r="A854" s="21" t="str">
        <f t="shared" si="40"/>
        <v/>
      </c>
      <c r="B854" s="1" t="str">
        <f>IF(Cus!$B854&lt;&gt;"",Cus!$A854,"")</f>
        <v/>
      </c>
      <c r="C854" s="22" t="str">
        <f>IF($B854="","",Cus!$AA854)</f>
        <v/>
      </c>
      <c r="D854" s="23" t="str">
        <f>IF($B854="","",(Acc!$H854*$C854))</f>
        <v/>
      </c>
      <c r="E854" s="24">
        <f>IF(C854&lt;=CommissionDD!$E$3,CommissionDD!$C$3,IF(C854&lt;=CommissionDD!$E$4,CommissionDD!$C$4,IF(C854&lt;=CommissionDD!$E$5,CommissionDD!$C$5,IF(C854&lt;=CommissionDD!$E$6,CommissionDD!$C$6,IF(C854&lt;=CommissionDD!$E$7,CommissionDD!$C$7,IF(C854&lt;=CommissionDD!$E$8,CommissionDD!$C$8,CommissionDD!$C$9))))))</f>
        <v>0.03</v>
      </c>
      <c r="F854" s="23" t="str">
        <f t="shared" si="41"/>
        <v/>
      </c>
      <c r="G854" s="23" t="str">
        <f>IF($B854="","",(Acc!$F854*CommissionDD!$C$30))</f>
        <v/>
      </c>
      <c r="H854" s="23" t="str">
        <f t="shared" si="39"/>
        <v/>
      </c>
    </row>
    <row r="855" spans="1:8">
      <c r="A855" s="21" t="str">
        <f t="shared" si="40"/>
        <v/>
      </c>
      <c r="B855" s="1" t="str">
        <f>IF(Cus!$B855&lt;&gt;"",Cus!$A855,"")</f>
        <v/>
      </c>
      <c r="C855" s="22" t="str">
        <f>IF($B855="","",Cus!$AA855)</f>
        <v/>
      </c>
      <c r="D855" s="23" t="str">
        <f>IF($B855="","",(Acc!$H855*$C855))</f>
        <v/>
      </c>
      <c r="E855" s="24">
        <f>IF(C855&lt;=CommissionDD!$E$3,CommissionDD!$C$3,IF(C855&lt;=CommissionDD!$E$4,CommissionDD!$C$4,IF(C855&lt;=CommissionDD!$E$5,CommissionDD!$C$5,IF(C855&lt;=CommissionDD!$E$6,CommissionDD!$C$6,IF(C855&lt;=CommissionDD!$E$7,CommissionDD!$C$7,IF(C855&lt;=CommissionDD!$E$8,CommissionDD!$C$8,CommissionDD!$C$9))))))</f>
        <v>0.03</v>
      </c>
      <c r="F855" s="23" t="str">
        <f t="shared" si="41"/>
        <v/>
      </c>
      <c r="G855" s="23" t="str">
        <f>IF($B855="","",(Acc!$F855*CommissionDD!$C$30))</f>
        <v/>
      </c>
      <c r="H855" s="23" t="str">
        <f t="shared" si="39"/>
        <v/>
      </c>
    </row>
    <row r="856" spans="1:8">
      <c r="A856" s="21" t="str">
        <f t="shared" si="40"/>
        <v/>
      </c>
      <c r="B856" s="1" t="str">
        <f>IF(Cus!$B856&lt;&gt;"",Cus!$A856,"")</f>
        <v/>
      </c>
      <c r="C856" s="22" t="str">
        <f>IF($B856="","",Cus!$AA856)</f>
        <v/>
      </c>
      <c r="D856" s="23" t="str">
        <f>IF($B856="","",(Acc!$H856*$C856))</f>
        <v/>
      </c>
      <c r="E856" s="24">
        <f>IF(C856&lt;=CommissionDD!$E$3,CommissionDD!$C$3,IF(C856&lt;=CommissionDD!$E$4,CommissionDD!$C$4,IF(C856&lt;=CommissionDD!$E$5,CommissionDD!$C$5,IF(C856&lt;=CommissionDD!$E$6,CommissionDD!$C$6,IF(C856&lt;=CommissionDD!$E$7,CommissionDD!$C$7,IF(C856&lt;=CommissionDD!$E$8,CommissionDD!$C$8,CommissionDD!$C$9))))))</f>
        <v>0.03</v>
      </c>
      <c r="F856" s="23" t="str">
        <f t="shared" si="41"/>
        <v/>
      </c>
      <c r="G856" s="23" t="str">
        <f>IF($B856="","",(Acc!$F856*CommissionDD!$C$30))</f>
        <v/>
      </c>
      <c r="H856" s="23" t="str">
        <f t="shared" si="39"/>
        <v/>
      </c>
    </row>
    <row r="857" spans="1:8">
      <c r="A857" s="21" t="str">
        <f t="shared" si="40"/>
        <v/>
      </c>
      <c r="B857" s="1" t="str">
        <f>IF(Cus!$B857&lt;&gt;"",Cus!$A857,"")</f>
        <v/>
      </c>
      <c r="C857" s="22" t="str">
        <f>IF($B857="","",Cus!$AA857)</f>
        <v/>
      </c>
      <c r="D857" s="23" t="str">
        <f>IF($B857="","",(Acc!$H857*$C857))</f>
        <v/>
      </c>
      <c r="E857" s="24">
        <f>IF(C857&lt;=CommissionDD!$E$3,CommissionDD!$C$3,IF(C857&lt;=CommissionDD!$E$4,CommissionDD!$C$4,IF(C857&lt;=CommissionDD!$E$5,CommissionDD!$C$5,IF(C857&lt;=CommissionDD!$E$6,CommissionDD!$C$6,IF(C857&lt;=CommissionDD!$E$7,CommissionDD!$C$7,IF(C857&lt;=CommissionDD!$E$8,CommissionDD!$C$8,CommissionDD!$C$9))))))</f>
        <v>0.03</v>
      </c>
      <c r="F857" s="23" t="str">
        <f t="shared" si="41"/>
        <v/>
      </c>
      <c r="G857" s="23" t="str">
        <f>IF($B857="","",(Acc!$F857*CommissionDD!$C$30))</f>
        <v/>
      </c>
      <c r="H857" s="23" t="str">
        <f t="shared" si="39"/>
        <v/>
      </c>
    </row>
    <row r="858" spans="1:8">
      <c r="A858" s="21" t="str">
        <f t="shared" si="40"/>
        <v/>
      </c>
      <c r="B858" s="1" t="str">
        <f>IF(Cus!$B858&lt;&gt;"",Cus!$A858,"")</f>
        <v/>
      </c>
      <c r="C858" s="22" t="str">
        <f>IF($B858="","",Cus!$AA858)</f>
        <v/>
      </c>
      <c r="D858" s="23" t="str">
        <f>IF($B858="","",(Acc!$H858*$C858))</f>
        <v/>
      </c>
      <c r="E858" s="24">
        <f>IF(C858&lt;=CommissionDD!$E$3,CommissionDD!$C$3,IF(C858&lt;=CommissionDD!$E$4,CommissionDD!$C$4,IF(C858&lt;=CommissionDD!$E$5,CommissionDD!$C$5,IF(C858&lt;=CommissionDD!$E$6,CommissionDD!$C$6,IF(C858&lt;=CommissionDD!$E$7,CommissionDD!$C$7,IF(C858&lt;=CommissionDD!$E$8,CommissionDD!$C$8,CommissionDD!$C$9))))))</f>
        <v>0.03</v>
      </c>
      <c r="F858" s="23" t="str">
        <f t="shared" si="41"/>
        <v/>
      </c>
      <c r="G858" s="23" t="str">
        <f>IF($B858="","",(Acc!$F858*CommissionDD!$C$30))</f>
        <v/>
      </c>
      <c r="H858" s="23" t="str">
        <f t="shared" si="39"/>
        <v/>
      </c>
    </row>
    <row r="859" spans="1:8">
      <c r="A859" s="21" t="str">
        <f t="shared" si="40"/>
        <v/>
      </c>
      <c r="B859" s="1" t="str">
        <f>IF(Cus!$B859&lt;&gt;"",Cus!$A859,"")</f>
        <v/>
      </c>
      <c r="C859" s="22" t="str">
        <f>IF($B859="","",Cus!$AA859)</f>
        <v/>
      </c>
      <c r="D859" s="23" t="str">
        <f>IF($B859="","",(Acc!$H859*$C859))</f>
        <v/>
      </c>
      <c r="E859" s="24">
        <f>IF(C859&lt;=CommissionDD!$E$3,CommissionDD!$C$3,IF(C859&lt;=CommissionDD!$E$4,CommissionDD!$C$4,IF(C859&lt;=CommissionDD!$E$5,CommissionDD!$C$5,IF(C859&lt;=CommissionDD!$E$6,CommissionDD!$C$6,IF(C859&lt;=CommissionDD!$E$7,CommissionDD!$C$7,IF(C859&lt;=CommissionDD!$E$8,CommissionDD!$C$8,CommissionDD!$C$9))))))</f>
        <v>0.03</v>
      </c>
      <c r="F859" s="23" t="str">
        <f t="shared" si="41"/>
        <v/>
      </c>
      <c r="G859" s="23" t="str">
        <f>IF($B859="","",(Acc!$F859*CommissionDD!$C$30))</f>
        <v/>
      </c>
      <c r="H859" s="23" t="str">
        <f t="shared" si="39"/>
        <v/>
      </c>
    </row>
    <row r="860" spans="1:8">
      <c r="A860" s="21" t="str">
        <f t="shared" si="40"/>
        <v/>
      </c>
      <c r="B860" s="1" t="str">
        <f>IF(Cus!$B860&lt;&gt;"",Cus!$A860,"")</f>
        <v/>
      </c>
      <c r="C860" s="22" t="str">
        <f>IF($B860="","",Cus!$AA860)</f>
        <v/>
      </c>
      <c r="D860" s="23" t="str">
        <f>IF($B860="","",(Acc!$H860*$C860))</f>
        <v/>
      </c>
      <c r="E860" s="24">
        <f>IF(C860&lt;=CommissionDD!$E$3,CommissionDD!$C$3,IF(C860&lt;=CommissionDD!$E$4,CommissionDD!$C$4,IF(C860&lt;=CommissionDD!$E$5,CommissionDD!$C$5,IF(C860&lt;=CommissionDD!$E$6,CommissionDD!$C$6,IF(C860&lt;=CommissionDD!$E$7,CommissionDD!$C$7,IF(C860&lt;=CommissionDD!$E$8,CommissionDD!$C$8,CommissionDD!$C$9))))))</f>
        <v>0.03</v>
      </c>
      <c r="F860" s="23" t="str">
        <f t="shared" si="41"/>
        <v/>
      </c>
      <c r="G860" s="23" t="str">
        <f>IF($B860="","",(Acc!$F860*CommissionDD!$C$30))</f>
        <v/>
      </c>
      <c r="H860" s="23" t="str">
        <f t="shared" si="39"/>
        <v/>
      </c>
    </row>
    <row r="861" spans="1:8">
      <c r="A861" s="21" t="str">
        <f t="shared" si="40"/>
        <v/>
      </c>
      <c r="B861" s="1" t="str">
        <f>IF(Cus!$B861&lt;&gt;"",Cus!$A861,"")</f>
        <v/>
      </c>
      <c r="C861" s="22" t="str">
        <f>IF($B861="","",Cus!$AA861)</f>
        <v/>
      </c>
      <c r="D861" s="23" t="str">
        <f>IF($B861="","",(Acc!$H861*$C861))</f>
        <v/>
      </c>
      <c r="E861" s="24">
        <f>IF(C861&lt;=CommissionDD!$E$3,CommissionDD!$C$3,IF(C861&lt;=CommissionDD!$E$4,CommissionDD!$C$4,IF(C861&lt;=CommissionDD!$E$5,CommissionDD!$C$5,IF(C861&lt;=CommissionDD!$E$6,CommissionDD!$C$6,IF(C861&lt;=CommissionDD!$E$7,CommissionDD!$C$7,IF(C861&lt;=CommissionDD!$E$8,CommissionDD!$C$8,CommissionDD!$C$9))))))</f>
        <v>0.03</v>
      </c>
      <c r="F861" s="23" t="str">
        <f t="shared" si="41"/>
        <v/>
      </c>
      <c r="G861" s="23" t="str">
        <f>IF($B861="","",(Acc!$F861*CommissionDD!$C$30))</f>
        <v/>
      </c>
      <c r="H861" s="23" t="str">
        <f t="shared" si="39"/>
        <v/>
      </c>
    </row>
    <row r="862" spans="1:8">
      <c r="A862" s="21" t="str">
        <f t="shared" si="40"/>
        <v/>
      </c>
      <c r="B862" s="1" t="str">
        <f>IF(Cus!$B862&lt;&gt;"",Cus!$A862,"")</f>
        <v/>
      </c>
      <c r="C862" s="22" t="str">
        <f>IF($B862="","",Cus!$AA862)</f>
        <v/>
      </c>
      <c r="D862" s="23" t="str">
        <f>IF($B862="","",(Acc!$H862*$C862))</f>
        <v/>
      </c>
      <c r="E862" s="24">
        <f>IF(C862&lt;=CommissionDD!$E$3,CommissionDD!$C$3,IF(C862&lt;=CommissionDD!$E$4,CommissionDD!$C$4,IF(C862&lt;=CommissionDD!$E$5,CommissionDD!$C$5,IF(C862&lt;=CommissionDD!$E$6,CommissionDD!$C$6,IF(C862&lt;=CommissionDD!$E$7,CommissionDD!$C$7,IF(C862&lt;=CommissionDD!$E$8,CommissionDD!$C$8,CommissionDD!$C$9))))))</f>
        <v>0.03</v>
      </c>
      <c r="F862" s="23" t="str">
        <f t="shared" si="41"/>
        <v/>
      </c>
      <c r="G862" s="23" t="str">
        <f>IF($B862="","",(Acc!$F862*CommissionDD!$C$30))</f>
        <v/>
      </c>
      <c r="H862" s="23" t="str">
        <f t="shared" si="39"/>
        <v/>
      </c>
    </row>
    <row r="863" spans="1:8">
      <c r="A863" s="21" t="str">
        <f t="shared" si="40"/>
        <v/>
      </c>
      <c r="B863" s="1" t="str">
        <f>IF(Cus!$B863&lt;&gt;"",Cus!$A863,"")</f>
        <v/>
      </c>
      <c r="C863" s="22" t="str">
        <f>IF($B863="","",Cus!$AA863)</f>
        <v/>
      </c>
      <c r="D863" s="23" t="str">
        <f>IF($B863="","",(Acc!$H863*$C863))</f>
        <v/>
      </c>
      <c r="E863" s="24">
        <f>IF(C863&lt;=CommissionDD!$E$3,CommissionDD!$C$3,IF(C863&lt;=CommissionDD!$E$4,CommissionDD!$C$4,IF(C863&lt;=CommissionDD!$E$5,CommissionDD!$C$5,IF(C863&lt;=CommissionDD!$E$6,CommissionDD!$C$6,IF(C863&lt;=CommissionDD!$E$7,CommissionDD!$C$7,IF(C863&lt;=CommissionDD!$E$8,CommissionDD!$C$8,CommissionDD!$C$9))))))</f>
        <v>0.03</v>
      </c>
      <c r="F863" s="23" t="str">
        <f t="shared" si="41"/>
        <v/>
      </c>
      <c r="G863" s="23" t="str">
        <f>IF($B863="","",(Acc!$F863*CommissionDD!$C$30))</f>
        <v/>
      </c>
      <c r="H863" s="23" t="str">
        <f t="shared" si="39"/>
        <v/>
      </c>
    </row>
    <row r="864" spans="1:8">
      <c r="A864" s="21" t="str">
        <f t="shared" si="40"/>
        <v/>
      </c>
      <c r="B864" s="1" t="str">
        <f>IF(Cus!$B864&lt;&gt;"",Cus!$A864,"")</f>
        <v/>
      </c>
      <c r="C864" s="22" t="str">
        <f>IF($B864="","",Cus!$AA864)</f>
        <v/>
      </c>
      <c r="D864" s="23" t="str">
        <f>IF($B864="","",(Acc!$H864*$C864))</f>
        <v/>
      </c>
      <c r="E864" s="24">
        <f>IF(C864&lt;=CommissionDD!$E$3,CommissionDD!$C$3,IF(C864&lt;=CommissionDD!$E$4,CommissionDD!$C$4,IF(C864&lt;=CommissionDD!$E$5,CommissionDD!$C$5,IF(C864&lt;=CommissionDD!$E$6,CommissionDD!$C$6,IF(C864&lt;=CommissionDD!$E$7,CommissionDD!$C$7,IF(C864&lt;=CommissionDD!$E$8,CommissionDD!$C$8,CommissionDD!$C$9))))))</f>
        <v>0.03</v>
      </c>
      <c r="F864" s="23" t="str">
        <f t="shared" si="41"/>
        <v/>
      </c>
      <c r="G864" s="23" t="str">
        <f>IF($B864="","",(Acc!$F864*CommissionDD!$C$30))</f>
        <v/>
      </c>
      <c r="H864" s="23" t="str">
        <f t="shared" si="39"/>
        <v/>
      </c>
    </row>
    <row r="865" spans="1:8">
      <c r="A865" s="21" t="str">
        <f t="shared" si="40"/>
        <v/>
      </c>
      <c r="B865" s="1" t="str">
        <f>IF(Cus!$B865&lt;&gt;"",Cus!$A865,"")</f>
        <v/>
      </c>
      <c r="C865" s="22" t="str">
        <f>IF($B865="","",Cus!$AA865)</f>
        <v/>
      </c>
      <c r="D865" s="23" t="str">
        <f>IF($B865="","",(Acc!$H865*$C865))</f>
        <v/>
      </c>
      <c r="E865" s="24">
        <f>IF(C865&lt;=CommissionDD!$E$3,CommissionDD!$C$3,IF(C865&lt;=CommissionDD!$E$4,CommissionDD!$C$4,IF(C865&lt;=CommissionDD!$E$5,CommissionDD!$C$5,IF(C865&lt;=CommissionDD!$E$6,CommissionDD!$C$6,IF(C865&lt;=CommissionDD!$E$7,CommissionDD!$C$7,IF(C865&lt;=CommissionDD!$E$8,CommissionDD!$C$8,CommissionDD!$C$9))))))</f>
        <v>0.03</v>
      </c>
      <c r="F865" s="23" t="str">
        <f t="shared" si="41"/>
        <v/>
      </c>
      <c r="G865" s="23" t="str">
        <f>IF($B865="","",(Acc!$F865*CommissionDD!$C$30))</f>
        <v/>
      </c>
      <c r="H865" s="23" t="str">
        <f t="shared" si="39"/>
        <v/>
      </c>
    </row>
    <row r="866" spans="1:8">
      <c r="A866" s="21" t="str">
        <f t="shared" si="40"/>
        <v/>
      </c>
      <c r="B866" s="1" t="str">
        <f>IF(Cus!$B866&lt;&gt;"",Cus!$A866,"")</f>
        <v/>
      </c>
      <c r="C866" s="22" t="str">
        <f>IF($B866="","",Cus!$AA866)</f>
        <v/>
      </c>
      <c r="D866" s="23" t="str">
        <f>IF($B866="","",(Acc!$H866*$C866))</f>
        <v/>
      </c>
      <c r="E866" s="24">
        <f>IF(C866&lt;=CommissionDD!$E$3,CommissionDD!$C$3,IF(C866&lt;=CommissionDD!$E$4,CommissionDD!$C$4,IF(C866&lt;=CommissionDD!$E$5,CommissionDD!$C$5,IF(C866&lt;=CommissionDD!$E$6,CommissionDD!$C$6,IF(C866&lt;=CommissionDD!$E$7,CommissionDD!$C$7,IF(C866&lt;=CommissionDD!$E$8,CommissionDD!$C$8,CommissionDD!$C$9))))))</f>
        <v>0.03</v>
      </c>
      <c r="F866" s="23" t="str">
        <f t="shared" si="41"/>
        <v/>
      </c>
      <c r="G866" s="23" t="str">
        <f>IF($B866="","",(Acc!$F866*CommissionDD!$C$30))</f>
        <v/>
      </c>
      <c r="H866" s="23" t="str">
        <f t="shared" si="39"/>
        <v/>
      </c>
    </row>
    <row r="867" spans="1:8">
      <c r="A867" s="21" t="str">
        <f t="shared" si="40"/>
        <v/>
      </c>
      <c r="B867" s="1" t="str">
        <f>IF(Cus!$B867&lt;&gt;"",Cus!$A867,"")</f>
        <v/>
      </c>
      <c r="C867" s="22" t="str">
        <f>IF($B867="","",Cus!$AA867)</f>
        <v/>
      </c>
      <c r="D867" s="23" t="str">
        <f>IF($B867="","",(Acc!$H867*$C867))</f>
        <v/>
      </c>
      <c r="E867" s="24">
        <f>IF(C867&lt;=CommissionDD!$E$3,CommissionDD!$C$3,IF(C867&lt;=CommissionDD!$E$4,CommissionDD!$C$4,IF(C867&lt;=CommissionDD!$E$5,CommissionDD!$C$5,IF(C867&lt;=CommissionDD!$E$6,CommissionDD!$C$6,IF(C867&lt;=CommissionDD!$E$7,CommissionDD!$C$7,IF(C867&lt;=CommissionDD!$E$8,CommissionDD!$C$8,CommissionDD!$C$9))))))</f>
        <v>0.03</v>
      </c>
      <c r="F867" s="23" t="str">
        <f t="shared" si="41"/>
        <v/>
      </c>
      <c r="G867" s="23" t="str">
        <f>IF($B867="","",(Acc!$F867*CommissionDD!$C$30))</f>
        <v/>
      </c>
      <c r="H867" s="23" t="str">
        <f t="shared" si="39"/>
        <v/>
      </c>
    </row>
    <row r="868" spans="1:8">
      <c r="A868" s="21" t="str">
        <f t="shared" si="40"/>
        <v/>
      </c>
      <c r="B868" s="1" t="str">
        <f>IF(Cus!$B868&lt;&gt;"",Cus!$A868,"")</f>
        <v/>
      </c>
      <c r="C868" s="22" t="str">
        <f>IF($B868="","",Cus!$AA868)</f>
        <v/>
      </c>
      <c r="D868" s="23" t="str">
        <f>IF($B868="","",(Acc!$H868*$C868))</f>
        <v/>
      </c>
      <c r="E868" s="24">
        <f>IF(C868&lt;=CommissionDD!$E$3,CommissionDD!$C$3,IF(C868&lt;=CommissionDD!$E$4,CommissionDD!$C$4,IF(C868&lt;=CommissionDD!$E$5,CommissionDD!$C$5,IF(C868&lt;=CommissionDD!$E$6,CommissionDD!$C$6,IF(C868&lt;=CommissionDD!$E$7,CommissionDD!$C$7,IF(C868&lt;=CommissionDD!$E$8,CommissionDD!$C$8,CommissionDD!$C$9))))))</f>
        <v>0.03</v>
      </c>
      <c r="F868" s="23" t="str">
        <f t="shared" si="41"/>
        <v/>
      </c>
      <c r="G868" s="23" t="str">
        <f>IF($B868="","",(Acc!$F868*CommissionDD!$C$30))</f>
        <v/>
      </c>
      <c r="H868" s="23" t="str">
        <f t="shared" si="39"/>
        <v/>
      </c>
    </row>
    <row r="869" spans="1:8">
      <c r="A869" s="21" t="str">
        <f t="shared" si="40"/>
        <v/>
      </c>
      <c r="B869" s="1" t="str">
        <f>IF(Cus!$B869&lt;&gt;"",Cus!$A869,"")</f>
        <v/>
      </c>
      <c r="C869" s="22" t="str">
        <f>IF($B869="","",Cus!$AA869)</f>
        <v/>
      </c>
      <c r="D869" s="23" t="str">
        <f>IF($B869="","",(Acc!$H869*$C869))</f>
        <v/>
      </c>
      <c r="E869" s="24">
        <f>IF(C869&lt;=CommissionDD!$E$3,CommissionDD!$C$3,IF(C869&lt;=CommissionDD!$E$4,CommissionDD!$C$4,IF(C869&lt;=CommissionDD!$E$5,CommissionDD!$C$5,IF(C869&lt;=CommissionDD!$E$6,CommissionDD!$C$6,IF(C869&lt;=CommissionDD!$E$7,CommissionDD!$C$7,IF(C869&lt;=CommissionDD!$E$8,CommissionDD!$C$8,CommissionDD!$C$9))))))</f>
        <v>0.03</v>
      </c>
      <c r="F869" s="23" t="str">
        <f t="shared" si="41"/>
        <v/>
      </c>
      <c r="G869" s="23" t="str">
        <f>IF($B869="","",(Acc!$F869*CommissionDD!$C$30))</f>
        <v/>
      </c>
      <c r="H869" s="23" t="str">
        <f t="shared" si="39"/>
        <v/>
      </c>
    </row>
    <row r="870" spans="1:8">
      <c r="A870" s="21" t="str">
        <f t="shared" si="40"/>
        <v/>
      </c>
      <c r="B870" s="1" t="str">
        <f>IF(Cus!$B870&lt;&gt;"",Cus!$A870,"")</f>
        <v/>
      </c>
      <c r="C870" s="22" t="str">
        <f>IF($B870="","",Cus!$AA870)</f>
        <v/>
      </c>
      <c r="D870" s="23" t="str">
        <f>IF($B870="","",(Acc!$H870*$C870))</f>
        <v/>
      </c>
      <c r="E870" s="24">
        <f>IF(C870&lt;=CommissionDD!$E$3,CommissionDD!$C$3,IF(C870&lt;=CommissionDD!$E$4,CommissionDD!$C$4,IF(C870&lt;=CommissionDD!$E$5,CommissionDD!$C$5,IF(C870&lt;=CommissionDD!$E$6,CommissionDD!$C$6,IF(C870&lt;=CommissionDD!$E$7,CommissionDD!$C$7,IF(C870&lt;=CommissionDD!$E$8,CommissionDD!$C$8,CommissionDD!$C$9))))))</f>
        <v>0.03</v>
      </c>
      <c r="F870" s="23" t="str">
        <f t="shared" si="41"/>
        <v/>
      </c>
      <c r="G870" s="23" t="str">
        <f>IF($B870="","",(Acc!$F870*CommissionDD!$C$30))</f>
        <v/>
      </c>
      <c r="H870" s="23" t="str">
        <f t="shared" si="39"/>
        <v/>
      </c>
    </row>
    <row r="871" spans="1:8">
      <c r="A871" s="21" t="str">
        <f t="shared" si="40"/>
        <v/>
      </c>
      <c r="B871" s="1" t="str">
        <f>IF(Cus!$B871&lt;&gt;"",Cus!$A871,"")</f>
        <v/>
      </c>
      <c r="C871" s="22" t="str">
        <f>IF($B871="","",Cus!$AA871)</f>
        <v/>
      </c>
      <c r="D871" s="23" t="str">
        <f>IF($B871="","",(Acc!$H871*$C871))</f>
        <v/>
      </c>
      <c r="E871" s="24">
        <f>IF(C871&lt;=CommissionDD!$E$3,CommissionDD!$C$3,IF(C871&lt;=CommissionDD!$E$4,CommissionDD!$C$4,IF(C871&lt;=CommissionDD!$E$5,CommissionDD!$C$5,IF(C871&lt;=CommissionDD!$E$6,CommissionDD!$C$6,IF(C871&lt;=CommissionDD!$E$7,CommissionDD!$C$7,IF(C871&lt;=CommissionDD!$E$8,CommissionDD!$C$8,CommissionDD!$C$9))))))</f>
        <v>0.03</v>
      </c>
      <c r="F871" s="23" t="str">
        <f t="shared" si="41"/>
        <v/>
      </c>
      <c r="G871" s="23" t="str">
        <f>IF($B871="","",(Acc!$F871*CommissionDD!$C$30))</f>
        <v/>
      </c>
      <c r="H871" s="23" t="str">
        <f t="shared" si="39"/>
        <v/>
      </c>
    </row>
    <row r="872" spans="1:8">
      <c r="A872" s="21" t="str">
        <f t="shared" si="40"/>
        <v/>
      </c>
      <c r="B872" s="1" t="str">
        <f>IF(Cus!$B872&lt;&gt;"",Cus!$A872,"")</f>
        <v/>
      </c>
      <c r="C872" s="22" t="str">
        <f>IF($B872="","",Cus!$AA872)</f>
        <v/>
      </c>
      <c r="D872" s="23" t="str">
        <f>IF($B872="","",(Acc!$H872*$C872))</f>
        <v/>
      </c>
      <c r="E872" s="24">
        <f>IF(C872&lt;=CommissionDD!$E$3,CommissionDD!$C$3,IF(C872&lt;=CommissionDD!$E$4,CommissionDD!$C$4,IF(C872&lt;=CommissionDD!$E$5,CommissionDD!$C$5,IF(C872&lt;=CommissionDD!$E$6,CommissionDD!$C$6,IF(C872&lt;=CommissionDD!$E$7,CommissionDD!$C$7,IF(C872&lt;=CommissionDD!$E$8,CommissionDD!$C$8,CommissionDD!$C$9))))))</f>
        <v>0.03</v>
      </c>
      <c r="F872" s="23" t="str">
        <f t="shared" si="41"/>
        <v/>
      </c>
      <c r="G872" s="23" t="str">
        <f>IF($B872="","",(Acc!$F872*CommissionDD!$C$30))</f>
        <v/>
      </c>
      <c r="H872" s="23" t="str">
        <f t="shared" si="39"/>
        <v/>
      </c>
    </row>
    <row r="873" spans="1:8">
      <c r="A873" s="21" t="str">
        <f t="shared" si="40"/>
        <v/>
      </c>
      <c r="B873" s="1" t="str">
        <f>IF(Cus!$B873&lt;&gt;"",Cus!$A873,"")</f>
        <v/>
      </c>
      <c r="C873" s="22" t="str">
        <f>IF($B873="","",Cus!$AA873)</f>
        <v/>
      </c>
      <c r="D873" s="23" t="str">
        <f>IF($B873="","",(Acc!$H873*$C873))</f>
        <v/>
      </c>
      <c r="E873" s="24">
        <f>IF(C873&lt;=CommissionDD!$E$3,CommissionDD!$C$3,IF(C873&lt;=CommissionDD!$E$4,CommissionDD!$C$4,IF(C873&lt;=CommissionDD!$E$5,CommissionDD!$C$5,IF(C873&lt;=CommissionDD!$E$6,CommissionDD!$C$6,IF(C873&lt;=CommissionDD!$E$7,CommissionDD!$C$7,IF(C873&lt;=CommissionDD!$E$8,CommissionDD!$C$8,CommissionDD!$C$9))))))</f>
        <v>0.03</v>
      </c>
      <c r="F873" s="23" t="str">
        <f t="shared" si="41"/>
        <v/>
      </c>
      <c r="G873" s="23" t="str">
        <f>IF($B873="","",(Acc!$F873*CommissionDD!$C$30))</f>
        <v/>
      </c>
      <c r="H873" s="23" t="str">
        <f t="shared" si="39"/>
        <v/>
      </c>
    </row>
    <row r="874" spans="1:8">
      <c r="A874" s="21" t="str">
        <f t="shared" si="40"/>
        <v/>
      </c>
      <c r="B874" s="1" t="str">
        <f>IF(Cus!$B874&lt;&gt;"",Cus!$A874,"")</f>
        <v/>
      </c>
      <c r="C874" s="22" t="str">
        <f>IF($B874="","",Cus!$AA874)</f>
        <v/>
      </c>
      <c r="D874" s="23" t="str">
        <f>IF($B874="","",(Acc!$H874*$C874))</f>
        <v/>
      </c>
      <c r="E874" s="24">
        <f>IF(C874&lt;=CommissionDD!$E$3,CommissionDD!$C$3,IF(C874&lt;=CommissionDD!$E$4,CommissionDD!$C$4,IF(C874&lt;=CommissionDD!$E$5,CommissionDD!$C$5,IF(C874&lt;=CommissionDD!$E$6,CommissionDD!$C$6,IF(C874&lt;=CommissionDD!$E$7,CommissionDD!$C$7,IF(C874&lt;=CommissionDD!$E$8,CommissionDD!$C$8,CommissionDD!$C$9))))))</f>
        <v>0.03</v>
      </c>
      <c r="F874" s="23" t="str">
        <f t="shared" si="41"/>
        <v/>
      </c>
      <c r="G874" s="23" t="str">
        <f>IF($B874="","",(Acc!$F874*CommissionDD!$C$30))</f>
        <v/>
      </c>
      <c r="H874" s="23" t="str">
        <f t="shared" si="39"/>
        <v/>
      </c>
    </row>
    <row r="875" spans="1:8">
      <c r="A875" s="21" t="str">
        <f t="shared" si="40"/>
        <v/>
      </c>
      <c r="B875" s="1" t="str">
        <f>IF(Cus!$B875&lt;&gt;"",Cus!$A875,"")</f>
        <v/>
      </c>
      <c r="C875" s="22" t="str">
        <f>IF($B875="","",Cus!$AA875)</f>
        <v/>
      </c>
      <c r="D875" s="23" t="str">
        <f>IF($B875="","",(Acc!$H875*$C875))</f>
        <v/>
      </c>
      <c r="E875" s="24">
        <f>IF(C875&lt;=CommissionDD!$E$3,CommissionDD!$C$3,IF(C875&lt;=CommissionDD!$E$4,CommissionDD!$C$4,IF(C875&lt;=CommissionDD!$E$5,CommissionDD!$C$5,IF(C875&lt;=CommissionDD!$E$6,CommissionDD!$C$6,IF(C875&lt;=CommissionDD!$E$7,CommissionDD!$C$7,IF(C875&lt;=CommissionDD!$E$8,CommissionDD!$C$8,CommissionDD!$C$9))))))</f>
        <v>0.03</v>
      </c>
      <c r="F875" s="23" t="str">
        <f t="shared" si="41"/>
        <v/>
      </c>
      <c r="G875" s="23" t="str">
        <f>IF($B875="","",(Acc!$F875*CommissionDD!$C$30))</f>
        <v/>
      </c>
      <c r="H875" s="23" t="str">
        <f t="shared" si="39"/>
        <v/>
      </c>
    </row>
    <row r="876" spans="1:8">
      <c r="A876" s="21" t="str">
        <f t="shared" si="40"/>
        <v/>
      </c>
      <c r="B876" s="1" t="str">
        <f>IF(Cus!$B876&lt;&gt;"",Cus!$A876,"")</f>
        <v/>
      </c>
      <c r="C876" s="22" t="str">
        <f>IF($B876="","",Cus!$AA876)</f>
        <v/>
      </c>
      <c r="D876" s="23" t="str">
        <f>IF($B876="","",(Acc!$H876*$C876))</f>
        <v/>
      </c>
      <c r="E876" s="24">
        <f>IF(C876&lt;=CommissionDD!$E$3,CommissionDD!$C$3,IF(C876&lt;=CommissionDD!$E$4,CommissionDD!$C$4,IF(C876&lt;=CommissionDD!$E$5,CommissionDD!$C$5,IF(C876&lt;=CommissionDD!$E$6,CommissionDD!$C$6,IF(C876&lt;=CommissionDD!$E$7,CommissionDD!$C$7,IF(C876&lt;=CommissionDD!$E$8,CommissionDD!$C$8,CommissionDD!$C$9))))))</f>
        <v>0.03</v>
      </c>
      <c r="F876" s="23" t="str">
        <f t="shared" si="41"/>
        <v/>
      </c>
      <c r="G876" s="23" t="str">
        <f>IF($B876="","",(Acc!$F876*CommissionDD!$C$30))</f>
        <v/>
      </c>
      <c r="H876" s="23" t="str">
        <f t="shared" si="39"/>
        <v/>
      </c>
    </row>
    <row r="877" spans="1:8">
      <c r="A877" s="21" t="str">
        <f t="shared" si="40"/>
        <v/>
      </c>
      <c r="B877" s="1" t="str">
        <f>IF(Cus!$B877&lt;&gt;"",Cus!$A877,"")</f>
        <v/>
      </c>
      <c r="C877" s="22" t="str">
        <f>IF($B877="","",Cus!$AA877)</f>
        <v/>
      </c>
      <c r="D877" s="23" t="str">
        <f>IF($B877="","",(Acc!$H877*$C877))</f>
        <v/>
      </c>
      <c r="E877" s="24">
        <f>IF(C877&lt;=CommissionDD!$E$3,CommissionDD!$C$3,IF(C877&lt;=CommissionDD!$E$4,CommissionDD!$C$4,IF(C877&lt;=CommissionDD!$E$5,CommissionDD!$C$5,IF(C877&lt;=CommissionDD!$E$6,CommissionDD!$C$6,IF(C877&lt;=CommissionDD!$E$7,CommissionDD!$C$7,IF(C877&lt;=CommissionDD!$E$8,CommissionDD!$C$8,CommissionDD!$C$9))))))</f>
        <v>0.03</v>
      </c>
      <c r="F877" s="23" t="str">
        <f t="shared" si="41"/>
        <v/>
      </c>
      <c r="G877" s="23" t="str">
        <f>IF($B877="","",(Acc!$F877*CommissionDD!$C$30))</f>
        <v/>
      </c>
      <c r="H877" s="23" t="str">
        <f t="shared" si="39"/>
        <v/>
      </c>
    </row>
    <row r="878" spans="1:8">
      <c r="A878" s="21" t="str">
        <f t="shared" si="40"/>
        <v/>
      </c>
      <c r="B878" s="1" t="str">
        <f>IF(Cus!$B878&lt;&gt;"",Cus!$A878,"")</f>
        <v/>
      </c>
      <c r="C878" s="22" t="str">
        <f>IF($B878="","",Cus!$AA878)</f>
        <v/>
      </c>
      <c r="D878" s="23" t="str">
        <f>IF($B878="","",(Acc!$H878*$C878))</f>
        <v/>
      </c>
      <c r="E878" s="24">
        <f>IF(C878&lt;=CommissionDD!$E$3,CommissionDD!$C$3,IF(C878&lt;=CommissionDD!$E$4,CommissionDD!$C$4,IF(C878&lt;=CommissionDD!$E$5,CommissionDD!$C$5,IF(C878&lt;=CommissionDD!$E$6,CommissionDD!$C$6,IF(C878&lt;=CommissionDD!$E$7,CommissionDD!$C$7,IF(C878&lt;=CommissionDD!$E$8,CommissionDD!$C$8,CommissionDD!$C$9))))))</f>
        <v>0.03</v>
      </c>
      <c r="F878" s="23" t="str">
        <f t="shared" si="41"/>
        <v/>
      </c>
      <c r="G878" s="23" t="str">
        <f>IF($B878="","",(Acc!$F878*CommissionDD!$C$30))</f>
        <v/>
      </c>
      <c r="H878" s="23" t="str">
        <f t="shared" si="39"/>
        <v/>
      </c>
    </row>
    <row r="879" spans="1:8">
      <c r="A879" s="21" t="str">
        <f t="shared" si="40"/>
        <v/>
      </c>
      <c r="B879" s="1" t="str">
        <f>IF(Cus!$B879&lt;&gt;"",Cus!$A879,"")</f>
        <v/>
      </c>
      <c r="C879" s="22" t="str">
        <f>IF($B879="","",Cus!$AA879)</f>
        <v/>
      </c>
      <c r="D879" s="23" t="str">
        <f>IF($B879="","",(Acc!$H879*$C879))</f>
        <v/>
      </c>
      <c r="E879" s="24">
        <f>IF(C879&lt;=CommissionDD!$E$3,CommissionDD!$C$3,IF(C879&lt;=CommissionDD!$E$4,CommissionDD!$C$4,IF(C879&lt;=CommissionDD!$E$5,CommissionDD!$C$5,IF(C879&lt;=CommissionDD!$E$6,CommissionDD!$C$6,IF(C879&lt;=CommissionDD!$E$7,CommissionDD!$C$7,IF(C879&lt;=CommissionDD!$E$8,CommissionDD!$C$8,CommissionDD!$C$9))))))</f>
        <v>0.03</v>
      </c>
      <c r="F879" s="23" t="str">
        <f t="shared" si="41"/>
        <v/>
      </c>
      <c r="G879" s="23" t="str">
        <f>IF($B879="","",(Acc!$F879*CommissionDD!$C$30))</f>
        <v/>
      </c>
      <c r="H879" s="23" t="str">
        <f t="shared" si="39"/>
        <v/>
      </c>
    </row>
    <row r="880" spans="1:8">
      <c r="A880" s="21" t="str">
        <f t="shared" si="40"/>
        <v/>
      </c>
      <c r="B880" s="1" t="str">
        <f>IF(Cus!$B880&lt;&gt;"",Cus!$A880,"")</f>
        <v/>
      </c>
      <c r="C880" s="22" t="str">
        <f>IF($B880="","",Cus!$AA880)</f>
        <v/>
      </c>
      <c r="D880" s="23" t="str">
        <f>IF($B880="","",(Acc!$H880*$C880))</f>
        <v/>
      </c>
      <c r="E880" s="24">
        <f>IF(C880&lt;=CommissionDD!$E$3,CommissionDD!$C$3,IF(C880&lt;=CommissionDD!$E$4,CommissionDD!$C$4,IF(C880&lt;=CommissionDD!$E$5,CommissionDD!$C$5,IF(C880&lt;=CommissionDD!$E$6,CommissionDD!$C$6,IF(C880&lt;=CommissionDD!$E$7,CommissionDD!$C$7,IF(C880&lt;=CommissionDD!$E$8,CommissionDD!$C$8,CommissionDD!$C$9))))))</f>
        <v>0.03</v>
      </c>
      <c r="F880" s="23" t="str">
        <f t="shared" si="41"/>
        <v/>
      </c>
      <c r="G880" s="23" t="str">
        <f>IF($B880="","",(Acc!$F880*CommissionDD!$C$30))</f>
        <v/>
      </c>
      <c r="H880" s="23" t="str">
        <f t="shared" si="39"/>
        <v/>
      </c>
    </row>
    <row r="881" spans="1:8">
      <c r="A881" s="21" t="str">
        <f t="shared" si="40"/>
        <v/>
      </c>
      <c r="B881" s="1" t="str">
        <f>IF(Cus!$B881&lt;&gt;"",Cus!$A881,"")</f>
        <v/>
      </c>
      <c r="C881" s="22" t="str">
        <f>IF($B881="","",Cus!$AA881)</f>
        <v/>
      </c>
      <c r="D881" s="23" t="str">
        <f>IF($B881="","",(Acc!$H881*$C881))</f>
        <v/>
      </c>
      <c r="E881" s="24">
        <f>IF(C881&lt;=CommissionDD!$E$3,CommissionDD!$C$3,IF(C881&lt;=CommissionDD!$E$4,CommissionDD!$C$4,IF(C881&lt;=CommissionDD!$E$5,CommissionDD!$C$5,IF(C881&lt;=CommissionDD!$E$6,CommissionDD!$C$6,IF(C881&lt;=CommissionDD!$E$7,CommissionDD!$C$7,IF(C881&lt;=CommissionDD!$E$8,CommissionDD!$C$8,CommissionDD!$C$9))))))</f>
        <v>0.03</v>
      </c>
      <c r="F881" s="23" t="str">
        <f t="shared" si="41"/>
        <v/>
      </c>
      <c r="G881" s="23" t="str">
        <f>IF($B881="","",(Acc!$F881*CommissionDD!$C$30))</f>
        <v/>
      </c>
      <c r="H881" s="23" t="str">
        <f t="shared" si="39"/>
        <v/>
      </c>
    </row>
    <row r="882" spans="1:8">
      <c r="A882" s="21" t="str">
        <f t="shared" si="40"/>
        <v/>
      </c>
      <c r="B882" s="1" t="str">
        <f>IF(Cus!$B882&lt;&gt;"",Cus!$A882,"")</f>
        <v/>
      </c>
      <c r="C882" s="22" t="str">
        <f>IF($B882="","",Cus!$AA882)</f>
        <v/>
      </c>
      <c r="D882" s="23" t="str">
        <f>IF($B882="","",(Acc!$H882*$C882))</f>
        <v/>
      </c>
      <c r="E882" s="24">
        <f>IF(C882&lt;=CommissionDD!$E$3,CommissionDD!$C$3,IF(C882&lt;=CommissionDD!$E$4,CommissionDD!$C$4,IF(C882&lt;=CommissionDD!$E$5,CommissionDD!$C$5,IF(C882&lt;=CommissionDD!$E$6,CommissionDD!$C$6,IF(C882&lt;=CommissionDD!$E$7,CommissionDD!$C$7,IF(C882&lt;=CommissionDD!$E$8,CommissionDD!$C$8,CommissionDD!$C$9))))))</f>
        <v>0.03</v>
      </c>
      <c r="F882" s="23" t="str">
        <f t="shared" si="41"/>
        <v/>
      </c>
      <c r="G882" s="23" t="str">
        <f>IF($B882="","",(Acc!$F882*CommissionDD!$C$30))</f>
        <v/>
      </c>
      <c r="H882" s="23" t="str">
        <f t="shared" si="39"/>
        <v/>
      </c>
    </row>
    <row r="883" spans="1:8">
      <c r="A883" s="21" t="str">
        <f t="shared" si="40"/>
        <v/>
      </c>
      <c r="B883" s="1" t="str">
        <f>IF(Cus!$B883&lt;&gt;"",Cus!$A883,"")</f>
        <v/>
      </c>
      <c r="C883" s="22" t="str">
        <f>IF($B883="","",Cus!$AA883)</f>
        <v/>
      </c>
      <c r="D883" s="23" t="str">
        <f>IF($B883="","",(Acc!$H883*$C883))</f>
        <v/>
      </c>
      <c r="E883" s="24">
        <f>IF(C883&lt;=CommissionDD!$E$3,CommissionDD!$C$3,IF(C883&lt;=CommissionDD!$E$4,CommissionDD!$C$4,IF(C883&lt;=CommissionDD!$E$5,CommissionDD!$C$5,IF(C883&lt;=CommissionDD!$E$6,CommissionDD!$C$6,IF(C883&lt;=CommissionDD!$E$7,CommissionDD!$C$7,IF(C883&lt;=CommissionDD!$E$8,CommissionDD!$C$8,CommissionDD!$C$9))))))</f>
        <v>0.03</v>
      </c>
      <c r="F883" s="23" t="str">
        <f t="shared" si="41"/>
        <v/>
      </c>
      <c r="G883" s="23" t="str">
        <f>IF($B883="","",(Acc!$F883*CommissionDD!$C$30))</f>
        <v/>
      </c>
      <c r="H883" s="23" t="str">
        <f t="shared" si="39"/>
        <v/>
      </c>
    </row>
    <row r="884" spans="1:8">
      <c r="A884" s="21" t="str">
        <f t="shared" si="40"/>
        <v/>
      </c>
      <c r="B884" s="1" t="str">
        <f>IF(Cus!$B884&lt;&gt;"",Cus!$A884,"")</f>
        <v/>
      </c>
      <c r="C884" s="22" t="str">
        <f>IF($B884="","",Cus!$AA884)</f>
        <v/>
      </c>
      <c r="D884" s="23" t="str">
        <f>IF($B884="","",(Acc!$H884*$C884))</f>
        <v/>
      </c>
      <c r="E884" s="24">
        <f>IF(C884&lt;=CommissionDD!$E$3,CommissionDD!$C$3,IF(C884&lt;=CommissionDD!$E$4,CommissionDD!$C$4,IF(C884&lt;=CommissionDD!$E$5,CommissionDD!$C$5,IF(C884&lt;=CommissionDD!$E$6,CommissionDD!$C$6,IF(C884&lt;=CommissionDD!$E$7,CommissionDD!$C$7,IF(C884&lt;=CommissionDD!$E$8,CommissionDD!$C$8,CommissionDD!$C$9))))))</f>
        <v>0.03</v>
      </c>
      <c r="F884" s="23" t="str">
        <f t="shared" si="41"/>
        <v/>
      </c>
      <c r="G884" s="23" t="str">
        <f>IF($B884="","",(Acc!$F884*CommissionDD!$C$30))</f>
        <v/>
      </c>
      <c r="H884" s="23" t="str">
        <f t="shared" si="39"/>
        <v/>
      </c>
    </row>
    <row r="885" spans="1:8">
      <c r="A885" s="21" t="str">
        <f t="shared" si="40"/>
        <v/>
      </c>
      <c r="B885" s="1" t="str">
        <f>IF(Cus!$B885&lt;&gt;"",Cus!$A885,"")</f>
        <v/>
      </c>
      <c r="C885" s="22" t="str">
        <f>IF($B885="","",Cus!$AA885)</f>
        <v/>
      </c>
      <c r="D885" s="23" t="str">
        <f>IF($B885="","",(Acc!$H885*$C885))</f>
        <v/>
      </c>
      <c r="E885" s="24">
        <f>IF(C885&lt;=CommissionDD!$E$3,CommissionDD!$C$3,IF(C885&lt;=CommissionDD!$E$4,CommissionDD!$C$4,IF(C885&lt;=CommissionDD!$E$5,CommissionDD!$C$5,IF(C885&lt;=CommissionDD!$E$6,CommissionDD!$C$6,IF(C885&lt;=CommissionDD!$E$7,CommissionDD!$C$7,IF(C885&lt;=CommissionDD!$E$8,CommissionDD!$C$8,CommissionDD!$C$9))))))</f>
        <v>0.03</v>
      </c>
      <c r="F885" s="23" t="str">
        <f t="shared" si="41"/>
        <v/>
      </c>
      <c r="G885" s="23" t="str">
        <f>IF($B885="","",(Acc!$F885*CommissionDD!$C$30))</f>
        <v/>
      </c>
      <c r="H885" s="23" t="str">
        <f t="shared" si="39"/>
        <v/>
      </c>
    </row>
    <row r="886" spans="1:8">
      <c r="A886" s="21" t="str">
        <f t="shared" si="40"/>
        <v/>
      </c>
      <c r="B886" s="1" t="str">
        <f>IF(Cus!$B886&lt;&gt;"",Cus!$A886,"")</f>
        <v/>
      </c>
      <c r="C886" s="22" t="str">
        <f>IF($B886="","",Cus!$AA886)</f>
        <v/>
      </c>
      <c r="D886" s="23" t="str">
        <f>IF($B886="","",(Acc!$H886*$C886))</f>
        <v/>
      </c>
      <c r="E886" s="24">
        <f>IF(C886&lt;=CommissionDD!$E$3,CommissionDD!$C$3,IF(C886&lt;=CommissionDD!$E$4,CommissionDD!$C$4,IF(C886&lt;=CommissionDD!$E$5,CommissionDD!$C$5,IF(C886&lt;=CommissionDD!$E$6,CommissionDD!$C$6,IF(C886&lt;=CommissionDD!$E$7,CommissionDD!$C$7,IF(C886&lt;=CommissionDD!$E$8,CommissionDD!$C$8,CommissionDD!$C$9))))))</f>
        <v>0.03</v>
      </c>
      <c r="F886" s="23" t="str">
        <f t="shared" si="41"/>
        <v/>
      </c>
      <c r="G886" s="23" t="str">
        <f>IF($B886="","",(Acc!$F886*CommissionDD!$C$30))</f>
        <v/>
      </c>
      <c r="H886" s="23" t="str">
        <f t="shared" si="39"/>
        <v/>
      </c>
    </row>
    <row r="887" spans="1:8">
      <c r="A887" s="21" t="str">
        <f t="shared" si="40"/>
        <v/>
      </c>
      <c r="B887" s="1" t="str">
        <f>IF(Cus!$B887&lt;&gt;"",Cus!$A887,"")</f>
        <v/>
      </c>
      <c r="C887" s="22" t="str">
        <f>IF($B887="","",Cus!$AA887)</f>
        <v/>
      </c>
      <c r="D887" s="23" t="str">
        <f>IF($B887="","",(Acc!$H887*$C887))</f>
        <v/>
      </c>
      <c r="E887" s="24">
        <f>IF(C887&lt;=CommissionDD!$E$3,CommissionDD!$C$3,IF(C887&lt;=CommissionDD!$E$4,CommissionDD!$C$4,IF(C887&lt;=CommissionDD!$E$5,CommissionDD!$C$5,IF(C887&lt;=CommissionDD!$E$6,CommissionDD!$C$6,IF(C887&lt;=CommissionDD!$E$7,CommissionDD!$C$7,IF(C887&lt;=CommissionDD!$E$8,CommissionDD!$C$8,CommissionDD!$C$9))))))</f>
        <v>0.03</v>
      </c>
      <c r="F887" s="23" t="str">
        <f t="shared" si="41"/>
        <v/>
      </c>
      <c r="G887" s="23" t="str">
        <f>IF($B887="","",(Acc!$F887*CommissionDD!$C$30))</f>
        <v/>
      </c>
      <c r="H887" s="23" t="str">
        <f t="shared" si="39"/>
        <v/>
      </c>
    </row>
    <row r="888" spans="1:8">
      <c r="A888" s="21" t="str">
        <f t="shared" si="40"/>
        <v/>
      </c>
      <c r="B888" s="1" t="str">
        <f>IF(Cus!$B888&lt;&gt;"",Cus!$A888,"")</f>
        <v/>
      </c>
      <c r="C888" s="22" t="str">
        <f>IF($B888="","",Cus!$AA888)</f>
        <v/>
      </c>
      <c r="D888" s="23" t="str">
        <f>IF($B888="","",(Acc!$H888*$C888))</f>
        <v/>
      </c>
      <c r="E888" s="24">
        <f>IF(C888&lt;=CommissionDD!$E$3,CommissionDD!$C$3,IF(C888&lt;=CommissionDD!$E$4,CommissionDD!$C$4,IF(C888&lt;=CommissionDD!$E$5,CommissionDD!$C$5,IF(C888&lt;=CommissionDD!$E$6,CommissionDD!$C$6,IF(C888&lt;=CommissionDD!$E$7,CommissionDD!$C$7,IF(C888&lt;=CommissionDD!$E$8,CommissionDD!$C$8,CommissionDD!$C$9))))))</f>
        <v>0.03</v>
      </c>
      <c r="F888" s="23" t="str">
        <f t="shared" si="41"/>
        <v/>
      </c>
      <c r="G888" s="23" t="str">
        <f>IF($B888="","",(Acc!$F888*CommissionDD!$C$30))</f>
        <v/>
      </c>
      <c r="H888" s="23" t="str">
        <f t="shared" si="39"/>
        <v/>
      </c>
    </row>
    <row r="889" spans="1:8">
      <c r="A889" s="21" t="str">
        <f t="shared" si="40"/>
        <v/>
      </c>
      <c r="B889" s="1" t="str">
        <f>IF(Cus!$B889&lt;&gt;"",Cus!$A889,"")</f>
        <v/>
      </c>
      <c r="C889" s="22" t="str">
        <f>IF($B889="","",Cus!$AA889)</f>
        <v/>
      </c>
      <c r="D889" s="23" t="str">
        <f>IF($B889="","",(Acc!$H889*$C889))</f>
        <v/>
      </c>
      <c r="E889" s="24">
        <f>IF(C889&lt;=CommissionDD!$E$3,CommissionDD!$C$3,IF(C889&lt;=CommissionDD!$E$4,CommissionDD!$C$4,IF(C889&lt;=CommissionDD!$E$5,CommissionDD!$C$5,IF(C889&lt;=CommissionDD!$E$6,CommissionDD!$C$6,IF(C889&lt;=CommissionDD!$E$7,CommissionDD!$C$7,IF(C889&lt;=CommissionDD!$E$8,CommissionDD!$C$8,CommissionDD!$C$9))))))</f>
        <v>0.03</v>
      </c>
      <c r="F889" s="23" t="str">
        <f t="shared" si="41"/>
        <v/>
      </c>
      <c r="G889" s="23" t="str">
        <f>IF($B889="","",(Acc!$F889*CommissionDD!$C$30))</f>
        <v/>
      </c>
      <c r="H889" s="23" t="str">
        <f t="shared" si="39"/>
        <v/>
      </c>
    </row>
    <row r="890" spans="1:8">
      <c r="A890" s="21" t="str">
        <f t="shared" si="40"/>
        <v/>
      </c>
      <c r="B890" s="1" t="str">
        <f>IF(Cus!$B890&lt;&gt;"",Cus!$A890,"")</f>
        <v/>
      </c>
      <c r="C890" s="22" t="str">
        <f>IF($B890="","",Cus!$AA890)</f>
        <v/>
      </c>
      <c r="D890" s="23" t="str">
        <f>IF($B890="","",(Acc!$H890*$C890))</f>
        <v/>
      </c>
      <c r="E890" s="24">
        <f>IF(C890&lt;=CommissionDD!$E$3,CommissionDD!$C$3,IF(C890&lt;=CommissionDD!$E$4,CommissionDD!$C$4,IF(C890&lt;=CommissionDD!$E$5,CommissionDD!$C$5,IF(C890&lt;=CommissionDD!$E$6,CommissionDD!$C$6,IF(C890&lt;=CommissionDD!$E$7,CommissionDD!$C$7,IF(C890&lt;=CommissionDD!$E$8,CommissionDD!$C$8,CommissionDD!$C$9))))))</f>
        <v>0.03</v>
      </c>
      <c r="F890" s="23" t="str">
        <f t="shared" si="41"/>
        <v/>
      </c>
      <c r="G890" s="23" t="str">
        <f>IF($B890="","",(Acc!$F890*CommissionDD!$C$30))</f>
        <v/>
      </c>
      <c r="H890" s="23" t="str">
        <f t="shared" si="39"/>
        <v/>
      </c>
    </row>
    <row r="891" spans="1:8">
      <c r="A891" s="21" t="str">
        <f t="shared" si="40"/>
        <v/>
      </c>
      <c r="B891" s="1" t="str">
        <f>IF(Cus!$B891&lt;&gt;"",Cus!$A891,"")</f>
        <v/>
      </c>
      <c r="C891" s="22" t="str">
        <f>IF($B891="","",Cus!$AA891)</f>
        <v/>
      </c>
      <c r="D891" s="23" t="str">
        <f>IF($B891="","",(Acc!$H891*$C891))</f>
        <v/>
      </c>
      <c r="E891" s="24">
        <f>IF(C891&lt;=CommissionDD!$E$3,CommissionDD!$C$3,IF(C891&lt;=CommissionDD!$E$4,CommissionDD!$C$4,IF(C891&lt;=CommissionDD!$E$5,CommissionDD!$C$5,IF(C891&lt;=CommissionDD!$E$6,CommissionDD!$C$6,IF(C891&lt;=CommissionDD!$E$7,CommissionDD!$C$7,IF(C891&lt;=CommissionDD!$E$8,CommissionDD!$C$8,CommissionDD!$C$9))))))</f>
        <v>0.03</v>
      </c>
      <c r="F891" s="23" t="str">
        <f t="shared" si="41"/>
        <v/>
      </c>
      <c r="G891" s="23" t="str">
        <f>IF($B891="","",(Acc!$F891*CommissionDD!$C$30))</f>
        <v/>
      </c>
      <c r="H891" s="23" t="str">
        <f t="shared" si="39"/>
        <v/>
      </c>
    </row>
    <row r="892" spans="1:8">
      <c r="A892" s="21" t="str">
        <f t="shared" si="40"/>
        <v/>
      </c>
      <c r="B892" s="1" t="str">
        <f>IF(Cus!$B892&lt;&gt;"",Cus!$A892,"")</f>
        <v/>
      </c>
      <c r="C892" s="22" t="str">
        <f>IF($B892="","",Cus!$AA892)</f>
        <v/>
      </c>
      <c r="D892" s="23" t="str">
        <f>IF($B892="","",(Acc!$H892*$C892))</f>
        <v/>
      </c>
      <c r="E892" s="24">
        <f>IF(C892&lt;=CommissionDD!$E$3,CommissionDD!$C$3,IF(C892&lt;=CommissionDD!$E$4,CommissionDD!$C$4,IF(C892&lt;=CommissionDD!$E$5,CommissionDD!$C$5,IF(C892&lt;=CommissionDD!$E$6,CommissionDD!$C$6,IF(C892&lt;=CommissionDD!$E$7,CommissionDD!$C$7,IF(C892&lt;=CommissionDD!$E$8,CommissionDD!$C$8,CommissionDD!$C$9))))))</f>
        <v>0.03</v>
      </c>
      <c r="F892" s="23" t="str">
        <f t="shared" si="41"/>
        <v/>
      </c>
      <c r="G892" s="23" t="str">
        <f>IF($B892="","",(Acc!$F892*CommissionDD!$C$30))</f>
        <v/>
      </c>
      <c r="H892" s="23" t="str">
        <f t="shared" si="39"/>
        <v/>
      </c>
    </row>
    <row r="893" spans="1:8">
      <c r="A893" s="21" t="str">
        <f t="shared" si="40"/>
        <v/>
      </c>
      <c r="B893" s="1" t="str">
        <f>IF(Cus!$B893&lt;&gt;"",Cus!$A893,"")</f>
        <v/>
      </c>
      <c r="C893" s="22" t="str">
        <f>IF($B893="","",Cus!$AA893)</f>
        <v/>
      </c>
      <c r="D893" s="23" t="str">
        <f>IF($B893="","",(Acc!$H893*$C893))</f>
        <v/>
      </c>
      <c r="E893" s="24">
        <f>IF(C893&lt;=CommissionDD!$E$3,CommissionDD!$C$3,IF(C893&lt;=CommissionDD!$E$4,CommissionDD!$C$4,IF(C893&lt;=CommissionDD!$E$5,CommissionDD!$C$5,IF(C893&lt;=CommissionDD!$E$6,CommissionDD!$C$6,IF(C893&lt;=CommissionDD!$E$7,CommissionDD!$C$7,IF(C893&lt;=CommissionDD!$E$8,CommissionDD!$C$8,CommissionDD!$C$9))))))</f>
        <v>0.03</v>
      </c>
      <c r="F893" s="23" t="str">
        <f t="shared" si="41"/>
        <v/>
      </c>
      <c r="G893" s="23" t="str">
        <f>IF($B893="","",(Acc!$F893*CommissionDD!$C$30))</f>
        <v/>
      </c>
      <c r="H893" s="23" t="str">
        <f t="shared" si="39"/>
        <v/>
      </c>
    </row>
    <row r="894" spans="1:8">
      <c r="A894" s="21" t="str">
        <f t="shared" si="40"/>
        <v/>
      </c>
      <c r="B894" s="1" t="str">
        <f>IF(Cus!$B894&lt;&gt;"",Cus!$A894,"")</f>
        <v/>
      </c>
      <c r="C894" s="22" t="str">
        <f>IF($B894="","",Cus!$AA894)</f>
        <v/>
      </c>
      <c r="D894" s="23" t="str">
        <f>IF($B894="","",(Acc!$H894*$C894))</f>
        <v/>
      </c>
      <c r="E894" s="24">
        <f>IF(C894&lt;=CommissionDD!$E$3,CommissionDD!$C$3,IF(C894&lt;=CommissionDD!$E$4,CommissionDD!$C$4,IF(C894&lt;=CommissionDD!$E$5,CommissionDD!$C$5,IF(C894&lt;=CommissionDD!$E$6,CommissionDD!$C$6,IF(C894&lt;=CommissionDD!$E$7,CommissionDD!$C$7,IF(C894&lt;=CommissionDD!$E$8,CommissionDD!$C$8,CommissionDD!$C$9))))))</f>
        <v>0.03</v>
      </c>
      <c r="F894" s="23" t="str">
        <f t="shared" si="41"/>
        <v/>
      </c>
      <c r="G894" s="23" t="str">
        <f>IF($B894="","",(Acc!$F894*CommissionDD!$C$30))</f>
        <v/>
      </c>
      <c r="H894" s="23" t="str">
        <f t="shared" si="39"/>
        <v/>
      </c>
    </row>
    <row r="895" spans="1:8">
      <c r="A895" s="21" t="str">
        <f t="shared" si="40"/>
        <v/>
      </c>
      <c r="B895" s="1" t="str">
        <f>IF(Cus!$B895&lt;&gt;"",Cus!$A895,"")</f>
        <v/>
      </c>
      <c r="C895" s="22" t="str">
        <f>IF($B895="","",Cus!$AA895)</f>
        <v/>
      </c>
      <c r="D895" s="23" t="str">
        <f>IF($B895="","",(Acc!$H895*$C895))</f>
        <v/>
      </c>
      <c r="E895" s="24">
        <f>IF(C895&lt;=CommissionDD!$E$3,CommissionDD!$C$3,IF(C895&lt;=CommissionDD!$E$4,CommissionDD!$C$4,IF(C895&lt;=CommissionDD!$E$5,CommissionDD!$C$5,IF(C895&lt;=CommissionDD!$E$6,CommissionDD!$C$6,IF(C895&lt;=CommissionDD!$E$7,CommissionDD!$C$7,IF(C895&lt;=CommissionDD!$E$8,CommissionDD!$C$8,CommissionDD!$C$9))))))</f>
        <v>0.03</v>
      </c>
      <c r="F895" s="23" t="str">
        <f t="shared" si="41"/>
        <v/>
      </c>
      <c r="G895" s="23" t="str">
        <f>IF($B895="","",(Acc!$F895*CommissionDD!$C$30))</f>
        <v/>
      </c>
      <c r="H895" s="23" t="str">
        <f t="shared" si="39"/>
        <v/>
      </c>
    </row>
    <row r="896" spans="1:8">
      <c r="A896" s="21" t="str">
        <f t="shared" si="40"/>
        <v/>
      </c>
      <c r="B896" s="1" t="str">
        <f>IF(Cus!$B896&lt;&gt;"",Cus!$A896,"")</f>
        <v/>
      </c>
      <c r="C896" s="22" t="str">
        <f>IF($B896="","",Cus!$AA896)</f>
        <v/>
      </c>
      <c r="D896" s="23" t="str">
        <f>IF($B896="","",(Acc!$H896*$C896))</f>
        <v/>
      </c>
      <c r="E896" s="24">
        <f>IF(C896&lt;=CommissionDD!$E$3,CommissionDD!$C$3,IF(C896&lt;=CommissionDD!$E$4,CommissionDD!$C$4,IF(C896&lt;=CommissionDD!$E$5,CommissionDD!$C$5,IF(C896&lt;=CommissionDD!$E$6,CommissionDD!$C$6,IF(C896&lt;=CommissionDD!$E$7,CommissionDD!$C$7,IF(C896&lt;=CommissionDD!$E$8,CommissionDD!$C$8,CommissionDD!$C$9))))))</f>
        <v>0.03</v>
      </c>
      <c r="F896" s="23" t="str">
        <f t="shared" si="41"/>
        <v/>
      </c>
      <c r="G896" s="23" t="str">
        <f>IF($B896="","",(Acc!$F896*CommissionDD!$C$30))</f>
        <v/>
      </c>
      <c r="H896" s="23" t="str">
        <f t="shared" si="39"/>
        <v/>
      </c>
    </row>
    <row r="897" spans="1:8">
      <c r="A897" s="21" t="str">
        <f t="shared" si="40"/>
        <v/>
      </c>
      <c r="B897" s="1" t="str">
        <f>IF(Cus!$B897&lt;&gt;"",Cus!$A897,"")</f>
        <v/>
      </c>
      <c r="C897" s="22" t="str">
        <f>IF($B897="","",Cus!$AA897)</f>
        <v/>
      </c>
      <c r="D897" s="23" t="str">
        <f>IF($B897="","",(Acc!$H897*$C897))</f>
        <v/>
      </c>
      <c r="E897" s="24">
        <f>IF(C897&lt;=CommissionDD!$E$3,CommissionDD!$C$3,IF(C897&lt;=CommissionDD!$E$4,CommissionDD!$C$4,IF(C897&lt;=CommissionDD!$E$5,CommissionDD!$C$5,IF(C897&lt;=CommissionDD!$E$6,CommissionDD!$C$6,IF(C897&lt;=CommissionDD!$E$7,CommissionDD!$C$7,IF(C897&lt;=CommissionDD!$E$8,CommissionDD!$C$8,CommissionDD!$C$9))))))</f>
        <v>0.03</v>
      </c>
      <c r="F897" s="23" t="str">
        <f t="shared" si="41"/>
        <v/>
      </c>
      <c r="G897" s="23" t="str">
        <f>IF($B897="","",(Acc!$F897*CommissionDD!$C$30))</f>
        <v/>
      </c>
      <c r="H897" s="23" t="str">
        <f t="shared" si="39"/>
        <v/>
      </c>
    </row>
    <row r="898" spans="1:8">
      <c r="A898" s="21" t="str">
        <f t="shared" si="40"/>
        <v/>
      </c>
      <c r="B898" s="1" t="str">
        <f>IF(Cus!$B898&lt;&gt;"",Cus!$A898,"")</f>
        <v/>
      </c>
      <c r="C898" s="22" t="str">
        <f>IF($B898="","",Cus!$AA898)</f>
        <v/>
      </c>
      <c r="D898" s="23" t="str">
        <f>IF($B898="","",(Acc!$H898*$C898))</f>
        <v/>
      </c>
      <c r="E898" s="24">
        <f>IF(C898&lt;=CommissionDD!$E$3,CommissionDD!$C$3,IF(C898&lt;=CommissionDD!$E$4,CommissionDD!$C$4,IF(C898&lt;=CommissionDD!$E$5,CommissionDD!$C$5,IF(C898&lt;=CommissionDD!$E$6,CommissionDD!$C$6,IF(C898&lt;=CommissionDD!$E$7,CommissionDD!$C$7,IF(C898&lt;=CommissionDD!$E$8,CommissionDD!$C$8,CommissionDD!$C$9))))))</f>
        <v>0.03</v>
      </c>
      <c r="F898" s="23" t="str">
        <f t="shared" si="41"/>
        <v/>
      </c>
      <c r="G898" s="23" t="str">
        <f>IF($B898="","",(Acc!$F898*CommissionDD!$C$30))</f>
        <v/>
      </c>
      <c r="H898" s="23" t="str">
        <f t="shared" ref="H898:H961" si="42">IF($B898="","",F898+G898)</f>
        <v/>
      </c>
    </row>
    <row r="899" spans="1:8">
      <c r="A899" s="21" t="str">
        <f t="shared" ref="A899:A962" si="43">IF($B899="","",(ROW($A898)))</f>
        <v/>
      </c>
      <c r="B899" s="1" t="str">
        <f>IF(Cus!$B899&lt;&gt;"",Cus!$A899,"")</f>
        <v/>
      </c>
      <c r="C899" s="22" t="str">
        <f>IF($B899="","",Cus!$AA899)</f>
        <v/>
      </c>
      <c r="D899" s="23" t="str">
        <f>IF($B899="","",(Acc!$H899*$C899))</f>
        <v/>
      </c>
      <c r="E899" s="24">
        <f>IF(C899&lt;=CommissionDD!$E$3,CommissionDD!$C$3,IF(C899&lt;=CommissionDD!$E$4,CommissionDD!$C$4,IF(C899&lt;=CommissionDD!$E$5,CommissionDD!$C$5,IF(C899&lt;=CommissionDD!$E$6,CommissionDD!$C$6,IF(C899&lt;=CommissionDD!$E$7,CommissionDD!$C$7,IF(C899&lt;=CommissionDD!$E$8,CommissionDD!$C$8,CommissionDD!$C$9))))))</f>
        <v>0.03</v>
      </c>
      <c r="F899" s="23" t="str">
        <f t="shared" si="41"/>
        <v/>
      </c>
      <c r="G899" s="23" t="str">
        <f>IF($B899="","",(Acc!$F899*CommissionDD!$C$30))</f>
        <v/>
      </c>
      <c r="H899" s="23" t="str">
        <f t="shared" si="42"/>
        <v/>
      </c>
    </row>
    <row r="900" spans="1:8">
      <c r="A900" s="21" t="str">
        <f t="shared" si="43"/>
        <v/>
      </c>
      <c r="B900" s="1" t="str">
        <f>IF(Cus!$B900&lt;&gt;"",Cus!$A900,"")</f>
        <v/>
      </c>
      <c r="C900" s="22" t="str">
        <f>IF($B900="","",Cus!$AA900)</f>
        <v/>
      </c>
      <c r="D900" s="23" t="str">
        <f>IF($B900="","",(Acc!$H900*$C900))</f>
        <v/>
      </c>
      <c r="E900" s="24">
        <f>IF(C900&lt;=CommissionDD!$E$3,CommissionDD!$C$3,IF(C900&lt;=CommissionDD!$E$4,CommissionDD!$C$4,IF(C900&lt;=CommissionDD!$E$5,CommissionDD!$C$5,IF(C900&lt;=CommissionDD!$E$6,CommissionDD!$C$6,IF(C900&lt;=CommissionDD!$E$7,CommissionDD!$C$7,IF(C900&lt;=CommissionDD!$E$8,CommissionDD!$C$8,CommissionDD!$C$9))))))</f>
        <v>0.03</v>
      </c>
      <c r="F900" s="23" t="str">
        <f t="shared" si="41"/>
        <v/>
      </c>
      <c r="G900" s="23" t="str">
        <f>IF($B900="","",(Acc!$F900*CommissionDD!$C$30))</f>
        <v/>
      </c>
      <c r="H900" s="23" t="str">
        <f t="shared" si="42"/>
        <v/>
      </c>
    </row>
    <row r="901" spans="1:8">
      <c r="A901" s="21" t="str">
        <f t="shared" si="43"/>
        <v/>
      </c>
      <c r="B901" s="1" t="str">
        <f>IF(Cus!$B901&lt;&gt;"",Cus!$A901,"")</f>
        <v/>
      </c>
      <c r="C901" s="22" t="str">
        <f>IF($B901="","",Cus!$AA901)</f>
        <v/>
      </c>
      <c r="D901" s="23" t="str">
        <f>IF($B901="","",(Acc!$H901*$C901))</f>
        <v/>
      </c>
      <c r="E901" s="24">
        <f>IF(C901&lt;=CommissionDD!$E$3,CommissionDD!$C$3,IF(C901&lt;=CommissionDD!$E$4,CommissionDD!$C$4,IF(C901&lt;=CommissionDD!$E$5,CommissionDD!$C$5,IF(C901&lt;=CommissionDD!$E$6,CommissionDD!$C$6,IF(C901&lt;=CommissionDD!$E$7,CommissionDD!$C$7,IF(C901&lt;=CommissionDD!$E$8,CommissionDD!$C$8,CommissionDD!$C$9))))))</f>
        <v>0.03</v>
      </c>
      <c r="F901" s="23" t="str">
        <f t="shared" ref="F901:F964" si="44">IF($B901="","",D901*E901)</f>
        <v/>
      </c>
      <c r="G901" s="23" t="str">
        <f>IF($B901="","",(Acc!$F901*CommissionDD!$C$30))</f>
        <v/>
      </c>
      <c r="H901" s="23" t="str">
        <f t="shared" si="42"/>
        <v/>
      </c>
    </row>
    <row r="902" spans="1:8">
      <c r="A902" s="21" t="str">
        <f t="shared" si="43"/>
        <v/>
      </c>
      <c r="B902" s="1" t="str">
        <f>IF(Cus!$B902&lt;&gt;"",Cus!$A902,"")</f>
        <v/>
      </c>
      <c r="C902" s="22" t="str">
        <f>IF($B902="","",Cus!$AA902)</f>
        <v/>
      </c>
      <c r="D902" s="23" t="str">
        <f>IF($B902="","",(Acc!$H902*$C902))</f>
        <v/>
      </c>
      <c r="E902" s="24">
        <f>IF(C902&lt;=CommissionDD!$E$3,CommissionDD!$C$3,IF(C902&lt;=CommissionDD!$E$4,CommissionDD!$C$4,IF(C902&lt;=CommissionDD!$E$5,CommissionDD!$C$5,IF(C902&lt;=CommissionDD!$E$6,CommissionDD!$C$6,IF(C902&lt;=CommissionDD!$E$7,CommissionDD!$C$7,IF(C902&lt;=CommissionDD!$E$8,CommissionDD!$C$8,CommissionDD!$C$9))))))</f>
        <v>0.03</v>
      </c>
      <c r="F902" s="23" t="str">
        <f t="shared" si="44"/>
        <v/>
      </c>
      <c r="G902" s="23" t="str">
        <f>IF($B902="","",(Acc!$F902*CommissionDD!$C$30))</f>
        <v/>
      </c>
      <c r="H902" s="23" t="str">
        <f t="shared" si="42"/>
        <v/>
      </c>
    </row>
    <row r="903" spans="1:8">
      <c r="A903" s="21" t="str">
        <f t="shared" si="43"/>
        <v/>
      </c>
      <c r="B903" s="1" t="str">
        <f>IF(Cus!$B903&lt;&gt;"",Cus!$A903,"")</f>
        <v/>
      </c>
      <c r="C903" s="22" t="str">
        <f>IF($B903="","",Cus!$AA903)</f>
        <v/>
      </c>
      <c r="D903" s="23" t="str">
        <f>IF($B903="","",(Acc!$H903*$C903))</f>
        <v/>
      </c>
      <c r="E903" s="24">
        <f>IF(C903&lt;=CommissionDD!$E$3,CommissionDD!$C$3,IF(C903&lt;=CommissionDD!$E$4,CommissionDD!$C$4,IF(C903&lt;=CommissionDD!$E$5,CommissionDD!$C$5,IF(C903&lt;=CommissionDD!$E$6,CommissionDD!$C$6,IF(C903&lt;=CommissionDD!$E$7,CommissionDD!$C$7,IF(C903&lt;=CommissionDD!$E$8,CommissionDD!$C$8,CommissionDD!$C$9))))))</f>
        <v>0.03</v>
      </c>
      <c r="F903" s="23" t="str">
        <f t="shared" si="44"/>
        <v/>
      </c>
      <c r="G903" s="23" t="str">
        <f>IF($B903="","",(Acc!$F903*CommissionDD!$C$30))</f>
        <v/>
      </c>
      <c r="H903" s="23" t="str">
        <f t="shared" si="42"/>
        <v/>
      </c>
    </row>
    <row r="904" spans="1:8">
      <c r="A904" s="21" t="str">
        <f t="shared" si="43"/>
        <v/>
      </c>
      <c r="B904" s="1" t="str">
        <f>IF(Cus!$B904&lt;&gt;"",Cus!$A904,"")</f>
        <v/>
      </c>
      <c r="C904" s="22" t="str">
        <f>IF($B904="","",Cus!$AA904)</f>
        <v/>
      </c>
      <c r="D904" s="23" t="str">
        <f>IF($B904="","",(Acc!$H904*$C904))</f>
        <v/>
      </c>
      <c r="E904" s="24">
        <f>IF(C904&lt;=CommissionDD!$E$3,CommissionDD!$C$3,IF(C904&lt;=CommissionDD!$E$4,CommissionDD!$C$4,IF(C904&lt;=CommissionDD!$E$5,CommissionDD!$C$5,IF(C904&lt;=CommissionDD!$E$6,CommissionDD!$C$6,IF(C904&lt;=CommissionDD!$E$7,CommissionDD!$C$7,IF(C904&lt;=CommissionDD!$E$8,CommissionDD!$C$8,CommissionDD!$C$9))))))</f>
        <v>0.03</v>
      </c>
      <c r="F904" s="23" t="str">
        <f t="shared" si="44"/>
        <v/>
      </c>
      <c r="G904" s="23" t="str">
        <f>IF($B904="","",(Acc!$F904*CommissionDD!$C$30))</f>
        <v/>
      </c>
      <c r="H904" s="23" t="str">
        <f t="shared" si="42"/>
        <v/>
      </c>
    </row>
    <row r="905" spans="1:8">
      <c r="A905" s="21" t="str">
        <f t="shared" si="43"/>
        <v/>
      </c>
      <c r="B905" s="1" t="str">
        <f>IF(Cus!$B905&lt;&gt;"",Cus!$A905,"")</f>
        <v/>
      </c>
      <c r="C905" s="22" t="str">
        <f>IF($B905="","",Cus!$AA905)</f>
        <v/>
      </c>
      <c r="D905" s="23" t="str">
        <f>IF($B905="","",(Acc!$H905*$C905))</f>
        <v/>
      </c>
      <c r="E905" s="24">
        <f>IF(C905&lt;=CommissionDD!$E$3,CommissionDD!$C$3,IF(C905&lt;=CommissionDD!$E$4,CommissionDD!$C$4,IF(C905&lt;=CommissionDD!$E$5,CommissionDD!$C$5,IF(C905&lt;=CommissionDD!$E$6,CommissionDD!$C$6,IF(C905&lt;=CommissionDD!$E$7,CommissionDD!$C$7,IF(C905&lt;=CommissionDD!$E$8,CommissionDD!$C$8,CommissionDD!$C$9))))))</f>
        <v>0.03</v>
      </c>
      <c r="F905" s="23" t="str">
        <f t="shared" si="44"/>
        <v/>
      </c>
      <c r="G905" s="23" t="str">
        <f>IF($B905="","",(Acc!$F905*CommissionDD!$C$30))</f>
        <v/>
      </c>
      <c r="H905" s="23" t="str">
        <f t="shared" si="42"/>
        <v/>
      </c>
    </row>
    <row r="906" spans="1:8">
      <c r="A906" s="21" t="str">
        <f t="shared" si="43"/>
        <v/>
      </c>
      <c r="B906" s="1" t="str">
        <f>IF(Cus!$B906&lt;&gt;"",Cus!$A906,"")</f>
        <v/>
      </c>
      <c r="C906" s="22" t="str">
        <f>IF($B906="","",Cus!$AA906)</f>
        <v/>
      </c>
      <c r="D906" s="23" t="str">
        <f>IF($B906="","",(Acc!$H906*$C906))</f>
        <v/>
      </c>
      <c r="E906" s="24">
        <f>IF(C906&lt;=CommissionDD!$E$3,CommissionDD!$C$3,IF(C906&lt;=CommissionDD!$E$4,CommissionDD!$C$4,IF(C906&lt;=CommissionDD!$E$5,CommissionDD!$C$5,IF(C906&lt;=CommissionDD!$E$6,CommissionDD!$C$6,IF(C906&lt;=CommissionDD!$E$7,CommissionDD!$C$7,IF(C906&lt;=CommissionDD!$E$8,CommissionDD!$C$8,CommissionDD!$C$9))))))</f>
        <v>0.03</v>
      </c>
      <c r="F906" s="23" t="str">
        <f t="shared" si="44"/>
        <v/>
      </c>
      <c r="G906" s="23" t="str">
        <f>IF($B906="","",(Acc!$F906*CommissionDD!$C$30))</f>
        <v/>
      </c>
      <c r="H906" s="23" t="str">
        <f t="shared" si="42"/>
        <v/>
      </c>
    </row>
    <row r="907" spans="1:8">
      <c r="A907" s="21" t="str">
        <f t="shared" si="43"/>
        <v/>
      </c>
      <c r="B907" s="1" t="str">
        <f>IF(Cus!$B907&lt;&gt;"",Cus!$A907,"")</f>
        <v/>
      </c>
      <c r="C907" s="22" t="str">
        <f>IF($B907="","",Cus!$AA907)</f>
        <v/>
      </c>
      <c r="D907" s="23" t="str">
        <f>IF($B907="","",(Acc!$H907*$C907))</f>
        <v/>
      </c>
      <c r="E907" s="24">
        <f>IF(C907&lt;=CommissionDD!$E$3,CommissionDD!$C$3,IF(C907&lt;=CommissionDD!$E$4,CommissionDD!$C$4,IF(C907&lt;=CommissionDD!$E$5,CommissionDD!$C$5,IF(C907&lt;=CommissionDD!$E$6,CommissionDD!$C$6,IF(C907&lt;=CommissionDD!$E$7,CommissionDD!$C$7,IF(C907&lt;=CommissionDD!$E$8,CommissionDD!$C$8,CommissionDD!$C$9))))))</f>
        <v>0.03</v>
      </c>
      <c r="F907" s="23" t="str">
        <f t="shared" si="44"/>
        <v/>
      </c>
      <c r="G907" s="23" t="str">
        <f>IF($B907="","",(Acc!$F907*CommissionDD!$C$30))</f>
        <v/>
      </c>
      <c r="H907" s="23" t="str">
        <f t="shared" si="42"/>
        <v/>
      </c>
    </row>
    <row r="908" spans="1:8">
      <c r="A908" s="21" t="str">
        <f t="shared" si="43"/>
        <v/>
      </c>
      <c r="B908" s="1" t="str">
        <f>IF(Cus!$B908&lt;&gt;"",Cus!$A908,"")</f>
        <v/>
      </c>
      <c r="C908" s="22" t="str">
        <f>IF($B908="","",Cus!$AA908)</f>
        <v/>
      </c>
      <c r="D908" s="23" t="str">
        <f>IF($B908="","",(Acc!$H908*$C908))</f>
        <v/>
      </c>
      <c r="E908" s="24">
        <f>IF(C908&lt;=CommissionDD!$E$3,CommissionDD!$C$3,IF(C908&lt;=CommissionDD!$E$4,CommissionDD!$C$4,IF(C908&lt;=CommissionDD!$E$5,CommissionDD!$C$5,IF(C908&lt;=CommissionDD!$E$6,CommissionDD!$C$6,IF(C908&lt;=CommissionDD!$E$7,CommissionDD!$C$7,IF(C908&lt;=CommissionDD!$E$8,CommissionDD!$C$8,CommissionDD!$C$9))))))</f>
        <v>0.03</v>
      </c>
      <c r="F908" s="23" t="str">
        <f t="shared" si="44"/>
        <v/>
      </c>
      <c r="G908" s="23" t="str">
        <f>IF($B908="","",(Acc!$F908*CommissionDD!$C$30))</f>
        <v/>
      </c>
      <c r="H908" s="23" t="str">
        <f t="shared" si="42"/>
        <v/>
      </c>
    </row>
    <row r="909" spans="1:8">
      <c r="A909" s="21" t="str">
        <f t="shared" si="43"/>
        <v/>
      </c>
      <c r="B909" s="1" t="str">
        <f>IF(Cus!$B909&lt;&gt;"",Cus!$A909,"")</f>
        <v/>
      </c>
      <c r="C909" s="22" t="str">
        <f>IF($B909="","",Cus!$AA909)</f>
        <v/>
      </c>
      <c r="D909" s="23" t="str">
        <f>IF($B909="","",(Acc!$H909*$C909))</f>
        <v/>
      </c>
      <c r="E909" s="24">
        <f>IF(C909&lt;=CommissionDD!$E$3,CommissionDD!$C$3,IF(C909&lt;=CommissionDD!$E$4,CommissionDD!$C$4,IF(C909&lt;=CommissionDD!$E$5,CommissionDD!$C$5,IF(C909&lt;=CommissionDD!$E$6,CommissionDD!$C$6,IF(C909&lt;=CommissionDD!$E$7,CommissionDD!$C$7,IF(C909&lt;=CommissionDD!$E$8,CommissionDD!$C$8,CommissionDD!$C$9))))))</f>
        <v>0.03</v>
      </c>
      <c r="F909" s="23" t="str">
        <f t="shared" si="44"/>
        <v/>
      </c>
      <c r="G909" s="23" t="str">
        <f>IF($B909="","",(Acc!$F909*CommissionDD!$C$30))</f>
        <v/>
      </c>
      <c r="H909" s="23" t="str">
        <f t="shared" si="42"/>
        <v/>
      </c>
    </row>
    <row r="910" spans="1:8">
      <c r="A910" s="21" t="str">
        <f t="shared" si="43"/>
        <v/>
      </c>
      <c r="B910" s="1" t="str">
        <f>IF(Cus!$B910&lt;&gt;"",Cus!$A910,"")</f>
        <v/>
      </c>
      <c r="C910" s="22" t="str">
        <f>IF($B910="","",Cus!$AA910)</f>
        <v/>
      </c>
      <c r="D910" s="23" t="str">
        <f>IF($B910="","",(Acc!$H910*$C910))</f>
        <v/>
      </c>
      <c r="E910" s="24">
        <f>IF(C910&lt;=CommissionDD!$E$3,CommissionDD!$C$3,IF(C910&lt;=CommissionDD!$E$4,CommissionDD!$C$4,IF(C910&lt;=CommissionDD!$E$5,CommissionDD!$C$5,IF(C910&lt;=CommissionDD!$E$6,CommissionDD!$C$6,IF(C910&lt;=CommissionDD!$E$7,CommissionDD!$C$7,IF(C910&lt;=CommissionDD!$E$8,CommissionDD!$C$8,CommissionDD!$C$9))))))</f>
        <v>0.03</v>
      </c>
      <c r="F910" s="23" t="str">
        <f t="shared" si="44"/>
        <v/>
      </c>
      <c r="G910" s="23" t="str">
        <f>IF($B910="","",(Acc!$F910*CommissionDD!$C$30))</f>
        <v/>
      </c>
      <c r="H910" s="23" t="str">
        <f t="shared" si="42"/>
        <v/>
      </c>
    </row>
    <row r="911" spans="1:8">
      <c r="A911" s="21" t="str">
        <f t="shared" si="43"/>
        <v/>
      </c>
      <c r="B911" s="1" t="str">
        <f>IF(Cus!$B911&lt;&gt;"",Cus!$A911,"")</f>
        <v/>
      </c>
      <c r="C911" s="22" t="str">
        <f>IF($B911="","",Cus!$AA911)</f>
        <v/>
      </c>
      <c r="D911" s="23" t="str">
        <f>IF($B911="","",(Acc!$H911*$C911))</f>
        <v/>
      </c>
      <c r="E911" s="24">
        <f>IF(C911&lt;=CommissionDD!$E$3,CommissionDD!$C$3,IF(C911&lt;=CommissionDD!$E$4,CommissionDD!$C$4,IF(C911&lt;=CommissionDD!$E$5,CommissionDD!$C$5,IF(C911&lt;=CommissionDD!$E$6,CommissionDD!$C$6,IF(C911&lt;=CommissionDD!$E$7,CommissionDD!$C$7,IF(C911&lt;=CommissionDD!$E$8,CommissionDD!$C$8,CommissionDD!$C$9))))))</f>
        <v>0.03</v>
      </c>
      <c r="F911" s="23" t="str">
        <f t="shared" si="44"/>
        <v/>
      </c>
      <c r="G911" s="23" t="str">
        <f>IF($B911="","",(Acc!$F911*CommissionDD!$C$30))</f>
        <v/>
      </c>
      <c r="H911" s="23" t="str">
        <f t="shared" si="42"/>
        <v/>
      </c>
    </row>
    <row r="912" spans="1:8">
      <c r="A912" s="21" t="str">
        <f t="shared" si="43"/>
        <v/>
      </c>
      <c r="B912" s="1" t="str">
        <f>IF(Cus!$B912&lt;&gt;"",Cus!$A912,"")</f>
        <v/>
      </c>
      <c r="C912" s="22" t="str">
        <f>IF($B912="","",Cus!$AA912)</f>
        <v/>
      </c>
      <c r="D912" s="23" t="str">
        <f>IF($B912="","",(Acc!$H912*$C912))</f>
        <v/>
      </c>
      <c r="E912" s="24">
        <f>IF(C912&lt;=CommissionDD!$E$3,CommissionDD!$C$3,IF(C912&lt;=CommissionDD!$E$4,CommissionDD!$C$4,IF(C912&lt;=CommissionDD!$E$5,CommissionDD!$C$5,IF(C912&lt;=CommissionDD!$E$6,CommissionDD!$C$6,IF(C912&lt;=CommissionDD!$E$7,CommissionDD!$C$7,IF(C912&lt;=CommissionDD!$E$8,CommissionDD!$C$8,CommissionDD!$C$9))))))</f>
        <v>0.03</v>
      </c>
      <c r="F912" s="23" t="str">
        <f t="shared" si="44"/>
        <v/>
      </c>
      <c r="G912" s="23" t="str">
        <f>IF($B912="","",(Acc!$F912*CommissionDD!$C$30))</f>
        <v/>
      </c>
      <c r="H912" s="23" t="str">
        <f t="shared" si="42"/>
        <v/>
      </c>
    </row>
    <row r="913" spans="1:8">
      <c r="A913" s="21" t="str">
        <f t="shared" si="43"/>
        <v/>
      </c>
      <c r="B913" s="1" t="str">
        <f>IF(Cus!$B913&lt;&gt;"",Cus!$A913,"")</f>
        <v/>
      </c>
      <c r="C913" s="22" t="str">
        <f>IF($B913="","",Cus!$AA913)</f>
        <v/>
      </c>
      <c r="D913" s="23" t="str">
        <f>IF($B913="","",(Acc!$H913*$C913))</f>
        <v/>
      </c>
      <c r="E913" s="24">
        <f>IF(C913&lt;=CommissionDD!$E$3,CommissionDD!$C$3,IF(C913&lt;=CommissionDD!$E$4,CommissionDD!$C$4,IF(C913&lt;=CommissionDD!$E$5,CommissionDD!$C$5,IF(C913&lt;=CommissionDD!$E$6,CommissionDD!$C$6,IF(C913&lt;=CommissionDD!$E$7,CommissionDD!$C$7,IF(C913&lt;=CommissionDD!$E$8,CommissionDD!$C$8,CommissionDD!$C$9))))))</f>
        <v>0.03</v>
      </c>
      <c r="F913" s="23" t="str">
        <f t="shared" si="44"/>
        <v/>
      </c>
      <c r="G913" s="23" t="str">
        <f>IF($B913="","",(Acc!$F913*CommissionDD!$C$30))</f>
        <v/>
      </c>
      <c r="H913" s="23" t="str">
        <f t="shared" si="42"/>
        <v/>
      </c>
    </row>
    <row r="914" spans="1:8">
      <c r="A914" s="21" t="str">
        <f t="shared" si="43"/>
        <v/>
      </c>
      <c r="B914" s="1" t="str">
        <f>IF(Cus!$B914&lt;&gt;"",Cus!$A914,"")</f>
        <v/>
      </c>
      <c r="C914" s="22" t="str">
        <f>IF($B914="","",Cus!$AA914)</f>
        <v/>
      </c>
      <c r="D914" s="23" t="str">
        <f>IF($B914="","",(Acc!$H914*$C914))</f>
        <v/>
      </c>
      <c r="E914" s="24">
        <f>IF(C914&lt;=CommissionDD!$E$3,CommissionDD!$C$3,IF(C914&lt;=CommissionDD!$E$4,CommissionDD!$C$4,IF(C914&lt;=CommissionDD!$E$5,CommissionDD!$C$5,IF(C914&lt;=CommissionDD!$E$6,CommissionDD!$C$6,IF(C914&lt;=CommissionDD!$E$7,CommissionDD!$C$7,IF(C914&lt;=CommissionDD!$E$8,CommissionDD!$C$8,CommissionDD!$C$9))))))</f>
        <v>0.03</v>
      </c>
      <c r="F914" s="23" t="str">
        <f t="shared" si="44"/>
        <v/>
      </c>
      <c r="G914" s="23" t="str">
        <f>IF($B914="","",(Acc!$F914*CommissionDD!$C$30))</f>
        <v/>
      </c>
      <c r="H914" s="23" t="str">
        <f t="shared" si="42"/>
        <v/>
      </c>
    </row>
    <row r="915" spans="1:8">
      <c r="A915" s="21" t="str">
        <f t="shared" si="43"/>
        <v/>
      </c>
      <c r="B915" s="1" t="str">
        <f>IF(Cus!$B915&lt;&gt;"",Cus!$A915,"")</f>
        <v/>
      </c>
      <c r="C915" s="22" t="str">
        <f>IF($B915="","",Cus!$AA915)</f>
        <v/>
      </c>
      <c r="D915" s="23" t="str">
        <f>IF($B915="","",(Acc!$H915*$C915))</f>
        <v/>
      </c>
      <c r="E915" s="24">
        <f>IF(C915&lt;=CommissionDD!$E$3,CommissionDD!$C$3,IF(C915&lt;=CommissionDD!$E$4,CommissionDD!$C$4,IF(C915&lt;=CommissionDD!$E$5,CommissionDD!$C$5,IF(C915&lt;=CommissionDD!$E$6,CommissionDD!$C$6,IF(C915&lt;=CommissionDD!$E$7,CommissionDD!$C$7,IF(C915&lt;=CommissionDD!$E$8,CommissionDD!$C$8,CommissionDD!$C$9))))))</f>
        <v>0.03</v>
      </c>
      <c r="F915" s="23" t="str">
        <f t="shared" si="44"/>
        <v/>
      </c>
      <c r="G915" s="23" t="str">
        <f>IF($B915="","",(Acc!$F915*CommissionDD!$C$30))</f>
        <v/>
      </c>
      <c r="H915" s="23" t="str">
        <f t="shared" si="42"/>
        <v/>
      </c>
    </row>
    <row r="916" spans="1:8">
      <c r="A916" s="21" t="str">
        <f t="shared" si="43"/>
        <v/>
      </c>
      <c r="B916" s="1" t="str">
        <f>IF(Cus!$B916&lt;&gt;"",Cus!$A916,"")</f>
        <v/>
      </c>
      <c r="C916" s="22" t="str">
        <f>IF($B916="","",Cus!$AA916)</f>
        <v/>
      </c>
      <c r="D916" s="23" t="str">
        <f>IF($B916="","",(Acc!$H916*$C916))</f>
        <v/>
      </c>
      <c r="E916" s="24">
        <f>IF(C916&lt;=CommissionDD!$E$3,CommissionDD!$C$3,IF(C916&lt;=CommissionDD!$E$4,CommissionDD!$C$4,IF(C916&lt;=CommissionDD!$E$5,CommissionDD!$C$5,IF(C916&lt;=CommissionDD!$E$6,CommissionDD!$C$6,IF(C916&lt;=CommissionDD!$E$7,CommissionDD!$C$7,IF(C916&lt;=CommissionDD!$E$8,CommissionDD!$C$8,CommissionDD!$C$9))))))</f>
        <v>0.03</v>
      </c>
      <c r="F916" s="23" t="str">
        <f t="shared" si="44"/>
        <v/>
      </c>
      <c r="G916" s="23" t="str">
        <f>IF($B916="","",(Acc!$F916*CommissionDD!$C$30))</f>
        <v/>
      </c>
      <c r="H916" s="23" t="str">
        <f t="shared" si="42"/>
        <v/>
      </c>
    </row>
    <row r="917" spans="1:8">
      <c r="A917" s="21" t="str">
        <f t="shared" si="43"/>
        <v/>
      </c>
      <c r="B917" s="1" t="str">
        <f>IF(Cus!$B917&lt;&gt;"",Cus!$A917,"")</f>
        <v/>
      </c>
      <c r="C917" s="22" t="str">
        <f>IF($B917="","",Cus!$AA917)</f>
        <v/>
      </c>
      <c r="D917" s="23" t="str">
        <f>IF($B917="","",(Acc!$H917*$C917))</f>
        <v/>
      </c>
      <c r="E917" s="24">
        <f>IF(C917&lt;=CommissionDD!$E$3,CommissionDD!$C$3,IF(C917&lt;=CommissionDD!$E$4,CommissionDD!$C$4,IF(C917&lt;=CommissionDD!$E$5,CommissionDD!$C$5,IF(C917&lt;=CommissionDD!$E$6,CommissionDD!$C$6,IF(C917&lt;=CommissionDD!$E$7,CommissionDD!$C$7,IF(C917&lt;=CommissionDD!$E$8,CommissionDD!$C$8,CommissionDD!$C$9))))))</f>
        <v>0.03</v>
      </c>
      <c r="F917" s="23" t="str">
        <f t="shared" si="44"/>
        <v/>
      </c>
      <c r="G917" s="23" t="str">
        <f>IF($B917="","",(Acc!$F917*CommissionDD!$C$30))</f>
        <v/>
      </c>
      <c r="H917" s="23" t="str">
        <f t="shared" si="42"/>
        <v/>
      </c>
    </row>
    <row r="918" spans="1:8">
      <c r="A918" s="21" t="str">
        <f t="shared" si="43"/>
        <v/>
      </c>
      <c r="B918" s="1" t="str">
        <f>IF(Cus!$B918&lt;&gt;"",Cus!$A918,"")</f>
        <v/>
      </c>
      <c r="C918" s="22" t="str">
        <f>IF($B918="","",Cus!$AA918)</f>
        <v/>
      </c>
      <c r="D918" s="23" t="str">
        <f>IF($B918="","",(Acc!$H918*$C918))</f>
        <v/>
      </c>
      <c r="E918" s="24">
        <f>IF(C918&lt;=CommissionDD!$E$3,CommissionDD!$C$3,IF(C918&lt;=CommissionDD!$E$4,CommissionDD!$C$4,IF(C918&lt;=CommissionDD!$E$5,CommissionDD!$C$5,IF(C918&lt;=CommissionDD!$E$6,CommissionDD!$C$6,IF(C918&lt;=CommissionDD!$E$7,CommissionDD!$C$7,IF(C918&lt;=CommissionDD!$E$8,CommissionDD!$C$8,CommissionDD!$C$9))))))</f>
        <v>0.03</v>
      </c>
      <c r="F918" s="23" t="str">
        <f t="shared" si="44"/>
        <v/>
      </c>
      <c r="G918" s="23" t="str">
        <f>IF($B918="","",(Acc!$F918*CommissionDD!$C$30))</f>
        <v/>
      </c>
      <c r="H918" s="23" t="str">
        <f t="shared" si="42"/>
        <v/>
      </c>
    </row>
    <row r="919" spans="1:8">
      <c r="A919" s="21" t="str">
        <f t="shared" si="43"/>
        <v/>
      </c>
      <c r="B919" s="1" t="str">
        <f>IF(Cus!$B919&lt;&gt;"",Cus!$A919,"")</f>
        <v/>
      </c>
      <c r="C919" s="22" t="str">
        <f>IF($B919="","",Cus!$AA919)</f>
        <v/>
      </c>
      <c r="D919" s="23" t="str">
        <f>IF($B919="","",(Acc!$H919*$C919))</f>
        <v/>
      </c>
      <c r="E919" s="24">
        <f>IF(C919&lt;=CommissionDD!$E$3,CommissionDD!$C$3,IF(C919&lt;=CommissionDD!$E$4,CommissionDD!$C$4,IF(C919&lt;=CommissionDD!$E$5,CommissionDD!$C$5,IF(C919&lt;=CommissionDD!$E$6,CommissionDD!$C$6,IF(C919&lt;=CommissionDD!$E$7,CommissionDD!$C$7,IF(C919&lt;=CommissionDD!$E$8,CommissionDD!$C$8,CommissionDD!$C$9))))))</f>
        <v>0.03</v>
      </c>
      <c r="F919" s="23" t="str">
        <f t="shared" si="44"/>
        <v/>
      </c>
      <c r="G919" s="23" t="str">
        <f>IF($B919="","",(Acc!$F919*CommissionDD!$C$30))</f>
        <v/>
      </c>
      <c r="H919" s="23" t="str">
        <f t="shared" si="42"/>
        <v/>
      </c>
    </row>
    <row r="920" spans="1:8">
      <c r="A920" s="21" t="str">
        <f t="shared" si="43"/>
        <v/>
      </c>
      <c r="B920" s="1" t="str">
        <f>IF(Cus!$B920&lt;&gt;"",Cus!$A920,"")</f>
        <v/>
      </c>
      <c r="C920" s="22" t="str">
        <f>IF($B920="","",Cus!$AA920)</f>
        <v/>
      </c>
      <c r="D920" s="23" t="str">
        <f>IF($B920="","",(Acc!$H920*$C920))</f>
        <v/>
      </c>
      <c r="E920" s="24">
        <f>IF(C920&lt;=CommissionDD!$E$3,CommissionDD!$C$3,IF(C920&lt;=CommissionDD!$E$4,CommissionDD!$C$4,IF(C920&lt;=CommissionDD!$E$5,CommissionDD!$C$5,IF(C920&lt;=CommissionDD!$E$6,CommissionDD!$C$6,IF(C920&lt;=CommissionDD!$E$7,CommissionDD!$C$7,IF(C920&lt;=CommissionDD!$E$8,CommissionDD!$C$8,CommissionDD!$C$9))))))</f>
        <v>0.03</v>
      </c>
      <c r="F920" s="23" t="str">
        <f t="shared" si="44"/>
        <v/>
      </c>
      <c r="G920" s="23" t="str">
        <f>IF($B920="","",(Acc!$F920*CommissionDD!$C$30))</f>
        <v/>
      </c>
      <c r="H920" s="23" t="str">
        <f t="shared" si="42"/>
        <v/>
      </c>
    </row>
    <row r="921" spans="1:8">
      <c r="A921" s="21" t="str">
        <f t="shared" si="43"/>
        <v/>
      </c>
      <c r="B921" s="1" t="str">
        <f>IF(Cus!$B921&lt;&gt;"",Cus!$A921,"")</f>
        <v/>
      </c>
      <c r="C921" s="22" t="str">
        <f>IF($B921="","",Cus!$AA921)</f>
        <v/>
      </c>
      <c r="D921" s="23" t="str">
        <f>IF($B921="","",(Acc!$H921*$C921))</f>
        <v/>
      </c>
      <c r="E921" s="24">
        <f>IF(C921&lt;=CommissionDD!$E$3,CommissionDD!$C$3,IF(C921&lt;=CommissionDD!$E$4,CommissionDD!$C$4,IF(C921&lt;=CommissionDD!$E$5,CommissionDD!$C$5,IF(C921&lt;=CommissionDD!$E$6,CommissionDD!$C$6,IF(C921&lt;=CommissionDD!$E$7,CommissionDD!$C$7,IF(C921&lt;=CommissionDD!$E$8,CommissionDD!$C$8,CommissionDD!$C$9))))))</f>
        <v>0.03</v>
      </c>
      <c r="F921" s="23" t="str">
        <f t="shared" si="44"/>
        <v/>
      </c>
      <c r="G921" s="23" t="str">
        <f>IF($B921="","",(Acc!$F921*CommissionDD!$C$30))</f>
        <v/>
      </c>
      <c r="H921" s="23" t="str">
        <f t="shared" si="42"/>
        <v/>
      </c>
    </row>
    <row r="922" spans="1:8">
      <c r="A922" s="21" t="str">
        <f t="shared" si="43"/>
        <v/>
      </c>
      <c r="B922" s="1" t="str">
        <f>IF(Cus!$B922&lt;&gt;"",Cus!$A922,"")</f>
        <v/>
      </c>
      <c r="C922" s="22" t="str">
        <f>IF($B922="","",Cus!$AA922)</f>
        <v/>
      </c>
      <c r="D922" s="23" t="str">
        <f>IF($B922="","",(Acc!$H922*$C922))</f>
        <v/>
      </c>
      <c r="E922" s="24">
        <f>IF(C922&lt;=CommissionDD!$E$3,CommissionDD!$C$3,IF(C922&lt;=CommissionDD!$E$4,CommissionDD!$C$4,IF(C922&lt;=CommissionDD!$E$5,CommissionDD!$C$5,IF(C922&lt;=CommissionDD!$E$6,CommissionDD!$C$6,IF(C922&lt;=CommissionDD!$E$7,CommissionDD!$C$7,IF(C922&lt;=CommissionDD!$E$8,CommissionDD!$C$8,CommissionDD!$C$9))))))</f>
        <v>0.03</v>
      </c>
      <c r="F922" s="23" t="str">
        <f t="shared" si="44"/>
        <v/>
      </c>
      <c r="G922" s="23" t="str">
        <f>IF($B922="","",(Acc!$F922*CommissionDD!$C$30))</f>
        <v/>
      </c>
      <c r="H922" s="23" t="str">
        <f t="shared" si="42"/>
        <v/>
      </c>
    </row>
    <row r="923" spans="1:8">
      <c r="A923" s="21" t="str">
        <f t="shared" si="43"/>
        <v/>
      </c>
      <c r="B923" s="1" t="str">
        <f>IF(Cus!$B923&lt;&gt;"",Cus!$A923,"")</f>
        <v/>
      </c>
      <c r="C923" s="22" t="str">
        <f>IF($B923="","",Cus!$AA923)</f>
        <v/>
      </c>
      <c r="D923" s="23" t="str">
        <f>IF($B923="","",(Acc!$H923*$C923))</f>
        <v/>
      </c>
      <c r="E923" s="24">
        <f>IF(C923&lt;=CommissionDD!$E$3,CommissionDD!$C$3,IF(C923&lt;=CommissionDD!$E$4,CommissionDD!$C$4,IF(C923&lt;=CommissionDD!$E$5,CommissionDD!$C$5,IF(C923&lt;=CommissionDD!$E$6,CommissionDD!$C$6,IF(C923&lt;=CommissionDD!$E$7,CommissionDD!$C$7,IF(C923&lt;=CommissionDD!$E$8,CommissionDD!$C$8,CommissionDD!$C$9))))))</f>
        <v>0.03</v>
      </c>
      <c r="F923" s="23" t="str">
        <f t="shared" si="44"/>
        <v/>
      </c>
      <c r="G923" s="23" t="str">
        <f>IF($B923="","",(Acc!$F923*CommissionDD!$C$30))</f>
        <v/>
      </c>
      <c r="H923" s="23" t="str">
        <f t="shared" si="42"/>
        <v/>
      </c>
    </row>
    <row r="924" spans="1:8">
      <c r="A924" s="21" t="str">
        <f t="shared" si="43"/>
        <v/>
      </c>
      <c r="B924" s="1" t="str">
        <f>IF(Cus!$B924&lt;&gt;"",Cus!$A924,"")</f>
        <v/>
      </c>
      <c r="C924" s="22" t="str">
        <f>IF($B924="","",Cus!$AA924)</f>
        <v/>
      </c>
      <c r="D924" s="23" t="str">
        <f>IF($B924="","",(Acc!$H924*$C924))</f>
        <v/>
      </c>
      <c r="E924" s="24">
        <f>IF(C924&lt;=CommissionDD!$E$3,CommissionDD!$C$3,IF(C924&lt;=CommissionDD!$E$4,CommissionDD!$C$4,IF(C924&lt;=CommissionDD!$E$5,CommissionDD!$C$5,IF(C924&lt;=CommissionDD!$E$6,CommissionDD!$C$6,IF(C924&lt;=CommissionDD!$E$7,CommissionDD!$C$7,IF(C924&lt;=CommissionDD!$E$8,CommissionDD!$C$8,CommissionDD!$C$9))))))</f>
        <v>0.03</v>
      </c>
      <c r="F924" s="23" t="str">
        <f t="shared" si="44"/>
        <v/>
      </c>
      <c r="G924" s="23" t="str">
        <f>IF($B924="","",(Acc!$F924*CommissionDD!$C$30))</f>
        <v/>
      </c>
      <c r="H924" s="23" t="str">
        <f t="shared" si="42"/>
        <v/>
      </c>
    </row>
    <row r="925" spans="1:8">
      <c r="A925" s="21" t="str">
        <f t="shared" si="43"/>
        <v/>
      </c>
      <c r="B925" s="1" t="str">
        <f>IF(Cus!$B925&lt;&gt;"",Cus!$A925,"")</f>
        <v/>
      </c>
      <c r="C925" s="22" t="str">
        <f>IF($B925="","",Cus!$AA925)</f>
        <v/>
      </c>
      <c r="D925" s="23" t="str">
        <f>IF($B925="","",(Acc!$H925*$C925))</f>
        <v/>
      </c>
      <c r="E925" s="24">
        <f>IF(C925&lt;=CommissionDD!$E$3,CommissionDD!$C$3,IF(C925&lt;=CommissionDD!$E$4,CommissionDD!$C$4,IF(C925&lt;=CommissionDD!$E$5,CommissionDD!$C$5,IF(C925&lt;=CommissionDD!$E$6,CommissionDD!$C$6,IF(C925&lt;=CommissionDD!$E$7,CommissionDD!$C$7,IF(C925&lt;=CommissionDD!$E$8,CommissionDD!$C$8,CommissionDD!$C$9))))))</f>
        <v>0.03</v>
      </c>
      <c r="F925" s="23" t="str">
        <f t="shared" si="44"/>
        <v/>
      </c>
      <c r="G925" s="23" t="str">
        <f>IF($B925="","",(Acc!$F925*CommissionDD!$C$30))</f>
        <v/>
      </c>
      <c r="H925" s="23" t="str">
        <f t="shared" si="42"/>
        <v/>
      </c>
    </row>
    <row r="926" spans="1:8">
      <c r="A926" s="21" t="str">
        <f t="shared" si="43"/>
        <v/>
      </c>
      <c r="B926" s="1" t="str">
        <f>IF(Cus!$B926&lt;&gt;"",Cus!$A926,"")</f>
        <v/>
      </c>
      <c r="C926" s="22" t="str">
        <f>IF($B926="","",Cus!$AA926)</f>
        <v/>
      </c>
      <c r="D926" s="23" t="str">
        <f>IF($B926="","",(Acc!$H926*$C926))</f>
        <v/>
      </c>
      <c r="E926" s="24">
        <f>IF(C926&lt;=CommissionDD!$E$3,CommissionDD!$C$3,IF(C926&lt;=CommissionDD!$E$4,CommissionDD!$C$4,IF(C926&lt;=CommissionDD!$E$5,CommissionDD!$C$5,IF(C926&lt;=CommissionDD!$E$6,CommissionDD!$C$6,IF(C926&lt;=CommissionDD!$E$7,CommissionDD!$C$7,IF(C926&lt;=CommissionDD!$E$8,CommissionDD!$C$8,CommissionDD!$C$9))))))</f>
        <v>0.03</v>
      </c>
      <c r="F926" s="23" t="str">
        <f t="shared" si="44"/>
        <v/>
      </c>
      <c r="G926" s="23" t="str">
        <f>IF($B926="","",(Acc!$F926*CommissionDD!$C$30))</f>
        <v/>
      </c>
      <c r="H926" s="23" t="str">
        <f t="shared" si="42"/>
        <v/>
      </c>
    </row>
    <row r="927" spans="1:8">
      <c r="A927" s="21" t="str">
        <f t="shared" si="43"/>
        <v/>
      </c>
      <c r="B927" s="1" t="str">
        <f>IF(Cus!$B927&lt;&gt;"",Cus!$A927,"")</f>
        <v/>
      </c>
      <c r="C927" s="22" t="str">
        <f>IF($B927="","",Cus!$AA927)</f>
        <v/>
      </c>
      <c r="D927" s="23" t="str">
        <f>IF($B927="","",(Acc!$H927*$C927))</f>
        <v/>
      </c>
      <c r="E927" s="24">
        <f>IF(C927&lt;=CommissionDD!$E$3,CommissionDD!$C$3,IF(C927&lt;=CommissionDD!$E$4,CommissionDD!$C$4,IF(C927&lt;=CommissionDD!$E$5,CommissionDD!$C$5,IF(C927&lt;=CommissionDD!$E$6,CommissionDD!$C$6,IF(C927&lt;=CommissionDD!$E$7,CommissionDD!$C$7,IF(C927&lt;=CommissionDD!$E$8,CommissionDD!$C$8,CommissionDD!$C$9))))))</f>
        <v>0.03</v>
      </c>
      <c r="F927" s="23" t="str">
        <f t="shared" si="44"/>
        <v/>
      </c>
      <c r="G927" s="23" t="str">
        <f>IF($B927="","",(Acc!$F927*CommissionDD!$C$30))</f>
        <v/>
      </c>
      <c r="H927" s="23" t="str">
        <f t="shared" si="42"/>
        <v/>
      </c>
    </row>
    <row r="928" spans="1:8">
      <c r="A928" s="21" t="str">
        <f t="shared" si="43"/>
        <v/>
      </c>
      <c r="B928" s="1" t="str">
        <f>IF(Cus!$B928&lt;&gt;"",Cus!$A928,"")</f>
        <v/>
      </c>
      <c r="C928" s="22" t="str">
        <f>IF($B928="","",Cus!$AA928)</f>
        <v/>
      </c>
      <c r="D928" s="23" t="str">
        <f>IF($B928="","",(Acc!$H928*$C928))</f>
        <v/>
      </c>
      <c r="E928" s="24">
        <f>IF(C928&lt;=CommissionDD!$E$3,CommissionDD!$C$3,IF(C928&lt;=CommissionDD!$E$4,CommissionDD!$C$4,IF(C928&lt;=CommissionDD!$E$5,CommissionDD!$C$5,IF(C928&lt;=CommissionDD!$E$6,CommissionDD!$C$6,IF(C928&lt;=CommissionDD!$E$7,CommissionDD!$C$7,IF(C928&lt;=CommissionDD!$E$8,CommissionDD!$C$8,CommissionDD!$C$9))))))</f>
        <v>0.03</v>
      </c>
      <c r="F928" s="23" t="str">
        <f t="shared" si="44"/>
        <v/>
      </c>
      <c r="G928" s="23" t="str">
        <f>IF($B928="","",(Acc!$F928*CommissionDD!$C$30))</f>
        <v/>
      </c>
      <c r="H928" s="23" t="str">
        <f t="shared" si="42"/>
        <v/>
      </c>
    </row>
    <row r="929" spans="1:8">
      <c r="A929" s="21" t="str">
        <f t="shared" si="43"/>
        <v/>
      </c>
      <c r="B929" s="1" t="str">
        <f>IF(Cus!$B929&lt;&gt;"",Cus!$A929,"")</f>
        <v/>
      </c>
      <c r="C929" s="22" t="str">
        <f>IF($B929="","",Cus!$AA929)</f>
        <v/>
      </c>
      <c r="D929" s="23" t="str">
        <f>IF($B929="","",(Acc!$H929*$C929))</f>
        <v/>
      </c>
      <c r="E929" s="24">
        <f>IF(C929&lt;=CommissionDD!$E$3,CommissionDD!$C$3,IF(C929&lt;=CommissionDD!$E$4,CommissionDD!$C$4,IF(C929&lt;=CommissionDD!$E$5,CommissionDD!$C$5,IF(C929&lt;=CommissionDD!$E$6,CommissionDD!$C$6,IF(C929&lt;=CommissionDD!$E$7,CommissionDD!$C$7,IF(C929&lt;=CommissionDD!$E$8,CommissionDD!$C$8,CommissionDD!$C$9))))))</f>
        <v>0.03</v>
      </c>
      <c r="F929" s="23" t="str">
        <f t="shared" si="44"/>
        <v/>
      </c>
      <c r="G929" s="23" t="str">
        <f>IF($B929="","",(Acc!$F929*CommissionDD!$C$30))</f>
        <v/>
      </c>
      <c r="H929" s="23" t="str">
        <f t="shared" si="42"/>
        <v/>
      </c>
    </row>
    <row r="930" spans="1:8">
      <c r="A930" s="21" t="str">
        <f t="shared" si="43"/>
        <v/>
      </c>
      <c r="B930" s="1" t="str">
        <f>IF(Cus!$B930&lt;&gt;"",Cus!$A930,"")</f>
        <v/>
      </c>
      <c r="C930" s="22" t="str">
        <f>IF($B930="","",Cus!$AA930)</f>
        <v/>
      </c>
      <c r="D930" s="23" t="str">
        <f>IF($B930="","",(Acc!$H930*$C930))</f>
        <v/>
      </c>
      <c r="E930" s="24">
        <f>IF(C930&lt;=CommissionDD!$E$3,CommissionDD!$C$3,IF(C930&lt;=CommissionDD!$E$4,CommissionDD!$C$4,IF(C930&lt;=CommissionDD!$E$5,CommissionDD!$C$5,IF(C930&lt;=CommissionDD!$E$6,CommissionDD!$C$6,IF(C930&lt;=CommissionDD!$E$7,CommissionDD!$C$7,IF(C930&lt;=CommissionDD!$E$8,CommissionDD!$C$8,CommissionDD!$C$9))))))</f>
        <v>0.03</v>
      </c>
      <c r="F930" s="23" t="str">
        <f t="shared" si="44"/>
        <v/>
      </c>
      <c r="G930" s="23" t="str">
        <f>IF($B930="","",(Acc!$F930*CommissionDD!$C$30))</f>
        <v/>
      </c>
      <c r="H930" s="23" t="str">
        <f t="shared" si="42"/>
        <v/>
      </c>
    </row>
    <row r="931" spans="1:8">
      <c r="A931" s="21" t="str">
        <f t="shared" si="43"/>
        <v/>
      </c>
      <c r="B931" s="1" t="str">
        <f>IF(Cus!$B931&lt;&gt;"",Cus!$A931,"")</f>
        <v/>
      </c>
      <c r="C931" s="22" t="str">
        <f>IF($B931="","",Cus!$AA931)</f>
        <v/>
      </c>
      <c r="D931" s="23" t="str">
        <f>IF($B931="","",(Acc!$H931*$C931))</f>
        <v/>
      </c>
      <c r="E931" s="24">
        <f>IF(C931&lt;=CommissionDD!$E$3,CommissionDD!$C$3,IF(C931&lt;=CommissionDD!$E$4,CommissionDD!$C$4,IF(C931&lt;=CommissionDD!$E$5,CommissionDD!$C$5,IF(C931&lt;=CommissionDD!$E$6,CommissionDD!$C$6,IF(C931&lt;=CommissionDD!$E$7,CommissionDD!$C$7,IF(C931&lt;=CommissionDD!$E$8,CommissionDD!$C$8,CommissionDD!$C$9))))))</f>
        <v>0.03</v>
      </c>
      <c r="F931" s="23" t="str">
        <f t="shared" si="44"/>
        <v/>
      </c>
      <c r="G931" s="23" t="str">
        <f>IF($B931="","",(Acc!$F931*CommissionDD!$C$30))</f>
        <v/>
      </c>
      <c r="H931" s="23" t="str">
        <f t="shared" si="42"/>
        <v/>
      </c>
    </row>
    <row r="932" spans="1:8">
      <c r="A932" s="21" t="str">
        <f t="shared" si="43"/>
        <v/>
      </c>
      <c r="B932" s="1" t="str">
        <f>IF(Cus!$B932&lt;&gt;"",Cus!$A932,"")</f>
        <v/>
      </c>
      <c r="C932" s="22" t="str">
        <f>IF($B932="","",Cus!$AA932)</f>
        <v/>
      </c>
      <c r="D932" s="23" t="str">
        <f>IF($B932="","",(Acc!$H932*$C932))</f>
        <v/>
      </c>
      <c r="E932" s="24">
        <f>IF(C932&lt;=CommissionDD!$E$3,CommissionDD!$C$3,IF(C932&lt;=CommissionDD!$E$4,CommissionDD!$C$4,IF(C932&lt;=CommissionDD!$E$5,CommissionDD!$C$5,IF(C932&lt;=CommissionDD!$E$6,CommissionDD!$C$6,IF(C932&lt;=CommissionDD!$E$7,CommissionDD!$C$7,IF(C932&lt;=CommissionDD!$E$8,CommissionDD!$C$8,CommissionDD!$C$9))))))</f>
        <v>0.03</v>
      </c>
      <c r="F932" s="23" t="str">
        <f t="shared" si="44"/>
        <v/>
      </c>
      <c r="G932" s="23" t="str">
        <f>IF($B932="","",(Acc!$F932*CommissionDD!$C$30))</f>
        <v/>
      </c>
      <c r="H932" s="23" t="str">
        <f t="shared" si="42"/>
        <v/>
      </c>
    </row>
    <row r="933" spans="1:8">
      <c r="A933" s="21" t="str">
        <f t="shared" si="43"/>
        <v/>
      </c>
      <c r="B933" s="1" t="str">
        <f>IF(Cus!$B933&lt;&gt;"",Cus!$A933,"")</f>
        <v/>
      </c>
      <c r="C933" s="22" t="str">
        <f>IF($B933="","",Cus!$AA933)</f>
        <v/>
      </c>
      <c r="D933" s="23" t="str">
        <f>IF($B933="","",(Acc!$H933*$C933))</f>
        <v/>
      </c>
      <c r="E933" s="24">
        <f>IF(C933&lt;=CommissionDD!$E$3,CommissionDD!$C$3,IF(C933&lt;=CommissionDD!$E$4,CommissionDD!$C$4,IF(C933&lt;=CommissionDD!$E$5,CommissionDD!$C$5,IF(C933&lt;=CommissionDD!$E$6,CommissionDD!$C$6,IF(C933&lt;=CommissionDD!$E$7,CommissionDD!$C$7,IF(C933&lt;=CommissionDD!$E$8,CommissionDD!$C$8,CommissionDD!$C$9))))))</f>
        <v>0.03</v>
      </c>
      <c r="F933" s="23" t="str">
        <f t="shared" si="44"/>
        <v/>
      </c>
      <c r="G933" s="23" t="str">
        <f>IF($B933="","",(Acc!$F933*CommissionDD!$C$30))</f>
        <v/>
      </c>
      <c r="H933" s="23" t="str">
        <f t="shared" si="42"/>
        <v/>
      </c>
    </row>
    <row r="934" spans="1:8">
      <c r="A934" s="21" t="str">
        <f t="shared" si="43"/>
        <v/>
      </c>
      <c r="B934" s="1" t="str">
        <f>IF(Cus!$B934&lt;&gt;"",Cus!$A934,"")</f>
        <v/>
      </c>
      <c r="C934" s="22" t="str">
        <f>IF($B934="","",Cus!$AA934)</f>
        <v/>
      </c>
      <c r="D934" s="23" t="str">
        <f>IF($B934="","",(Acc!$H934*$C934))</f>
        <v/>
      </c>
      <c r="E934" s="24">
        <f>IF(C934&lt;=CommissionDD!$E$3,CommissionDD!$C$3,IF(C934&lt;=CommissionDD!$E$4,CommissionDD!$C$4,IF(C934&lt;=CommissionDD!$E$5,CommissionDD!$C$5,IF(C934&lt;=CommissionDD!$E$6,CommissionDD!$C$6,IF(C934&lt;=CommissionDD!$E$7,CommissionDD!$C$7,IF(C934&lt;=CommissionDD!$E$8,CommissionDD!$C$8,CommissionDD!$C$9))))))</f>
        <v>0.03</v>
      </c>
      <c r="F934" s="23" t="str">
        <f t="shared" si="44"/>
        <v/>
      </c>
      <c r="G934" s="23" t="str">
        <f>IF($B934="","",(Acc!$F934*CommissionDD!$C$30))</f>
        <v/>
      </c>
      <c r="H934" s="23" t="str">
        <f t="shared" si="42"/>
        <v/>
      </c>
    </row>
    <row r="935" spans="1:8">
      <c r="A935" s="21" t="str">
        <f t="shared" si="43"/>
        <v/>
      </c>
      <c r="B935" s="1" t="str">
        <f>IF(Cus!$B935&lt;&gt;"",Cus!$A935,"")</f>
        <v/>
      </c>
      <c r="C935" s="22" t="str">
        <f>IF($B935="","",Cus!$AA935)</f>
        <v/>
      </c>
      <c r="D935" s="23" t="str">
        <f>IF($B935="","",(Acc!$H935*$C935))</f>
        <v/>
      </c>
      <c r="E935" s="24">
        <f>IF(C935&lt;=CommissionDD!$E$3,CommissionDD!$C$3,IF(C935&lt;=CommissionDD!$E$4,CommissionDD!$C$4,IF(C935&lt;=CommissionDD!$E$5,CommissionDD!$C$5,IF(C935&lt;=CommissionDD!$E$6,CommissionDD!$C$6,IF(C935&lt;=CommissionDD!$E$7,CommissionDD!$C$7,IF(C935&lt;=CommissionDD!$E$8,CommissionDD!$C$8,CommissionDD!$C$9))))))</f>
        <v>0.03</v>
      </c>
      <c r="F935" s="23" t="str">
        <f t="shared" si="44"/>
        <v/>
      </c>
      <c r="G935" s="23" t="str">
        <f>IF($B935="","",(Acc!$F935*CommissionDD!$C$30))</f>
        <v/>
      </c>
      <c r="H935" s="23" t="str">
        <f t="shared" si="42"/>
        <v/>
      </c>
    </row>
    <row r="936" spans="1:8">
      <c r="A936" s="21" t="str">
        <f t="shared" si="43"/>
        <v/>
      </c>
      <c r="B936" s="1" t="str">
        <f>IF(Cus!$B936&lt;&gt;"",Cus!$A936,"")</f>
        <v/>
      </c>
      <c r="C936" s="22" t="str">
        <f>IF($B936="","",Cus!$AA936)</f>
        <v/>
      </c>
      <c r="D936" s="23" t="str">
        <f>IF($B936="","",(Acc!$H936*$C936))</f>
        <v/>
      </c>
      <c r="E936" s="24">
        <f>IF(C936&lt;=CommissionDD!$E$3,CommissionDD!$C$3,IF(C936&lt;=CommissionDD!$E$4,CommissionDD!$C$4,IF(C936&lt;=CommissionDD!$E$5,CommissionDD!$C$5,IF(C936&lt;=CommissionDD!$E$6,CommissionDD!$C$6,IF(C936&lt;=CommissionDD!$E$7,CommissionDD!$C$7,IF(C936&lt;=CommissionDD!$E$8,CommissionDD!$C$8,CommissionDD!$C$9))))))</f>
        <v>0.03</v>
      </c>
      <c r="F936" s="23" t="str">
        <f t="shared" si="44"/>
        <v/>
      </c>
      <c r="G936" s="23" t="str">
        <f>IF($B936="","",(Acc!$F936*CommissionDD!$C$30))</f>
        <v/>
      </c>
      <c r="H936" s="23" t="str">
        <f t="shared" si="42"/>
        <v/>
      </c>
    </row>
    <row r="937" spans="1:8">
      <c r="A937" s="21" t="str">
        <f t="shared" si="43"/>
        <v/>
      </c>
      <c r="B937" s="1" t="str">
        <f>IF(Cus!$B937&lt;&gt;"",Cus!$A937,"")</f>
        <v/>
      </c>
      <c r="C937" s="22" t="str">
        <f>IF($B937="","",Cus!$AA937)</f>
        <v/>
      </c>
      <c r="D937" s="23" t="str">
        <f>IF($B937="","",(Acc!$H937*$C937))</f>
        <v/>
      </c>
      <c r="E937" s="24">
        <f>IF(C937&lt;=CommissionDD!$E$3,CommissionDD!$C$3,IF(C937&lt;=CommissionDD!$E$4,CommissionDD!$C$4,IF(C937&lt;=CommissionDD!$E$5,CommissionDD!$C$5,IF(C937&lt;=CommissionDD!$E$6,CommissionDD!$C$6,IF(C937&lt;=CommissionDD!$E$7,CommissionDD!$C$7,IF(C937&lt;=CommissionDD!$E$8,CommissionDD!$C$8,CommissionDD!$C$9))))))</f>
        <v>0.03</v>
      </c>
      <c r="F937" s="23" t="str">
        <f t="shared" si="44"/>
        <v/>
      </c>
      <c r="G937" s="23" t="str">
        <f>IF($B937="","",(Acc!$F937*CommissionDD!$C$30))</f>
        <v/>
      </c>
      <c r="H937" s="23" t="str">
        <f t="shared" si="42"/>
        <v/>
      </c>
    </row>
    <row r="938" spans="1:8">
      <c r="A938" s="21" t="str">
        <f t="shared" si="43"/>
        <v/>
      </c>
      <c r="B938" s="1" t="str">
        <f>IF(Cus!$B938&lt;&gt;"",Cus!$A938,"")</f>
        <v/>
      </c>
      <c r="C938" s="22" t="str">
        <f>IF($B938="","",Cus!$AA938)</f>
        <v/>
      </c>
      <c r="D938" s="23" t="str">
        <f>IF($B938="","",(Acc!$H938*$C938))</f>
        <v/>
      </c>
      <c r="E938" s="24">
        <f>IF(C938&lt;=CommissionDD!$E$3,CommissionDD!$C$3,IF(C938&lt;=CommissionDD!$E$4,CommissionDD!$C$4,IF(C938&lt;=CommissionDD!$E$5,CommissionDD!$C$5,IF(C938&lt;=CommissionDD!$E$6,CommissionDD!$C$6,IF(C938&lt;=CommissionDD!$E$7,CommissionDD!$C$7,IF(C938&lt;=CommissionDD!$E$8,CommissionDD!$C$8,CommissionDD!$C$9))))))</f>
        <v>0.03</v>
      </c>
      <c r="F938" s="23" t="str">
        <f t="shared" si="44"/>
        <v/>
      </c>
      <c r="G938" s="23" t="str">
        <f>IF($B938="","",(Acc!$F938*CommissionDD!$C$30))</f>
        <v/>
      </c>
      <c r="H938" s="23" t="str">
        <f t="shared" si="42"/>
        <v/>
      </c>
    </row>
    <row r="939" spans="1:8">
      <c r="A939" s="21" t="str">
        <f t="shared" si="43"/>
        <v/>
      </c>
      <c r="B939" s="1" t="str">
        <f>IF(Cus!$B939&lt;&gt;"",Cus!$A939,"")</f>
        <v/>
      </c>
      <c r="C939" s="22" t="str">
        <f>IF($B939="","",Cus!$AA939)</f>
        <v/>
      </c>
      <c r="D939" s="23" t="str">
        <f>IF($B939="","",(Acc!$H939*$C939))</f>
        <v/>
      </c>
      <c r="E939" s="24">
        <f>IF(C939&lt;=CommissionDD!$E$3,CommissionDD!$C$3,IF(C939&lt;=CommissionDD!$E$4,CommissionDD!$C$4,IF(C939&lt;=CommissionDD!$E$5,CommissionDD!$C$5,IF(C939&lt;=CommissionDD!$E$6,CommissionDD!$C$6,IF(C939&lt;=CommissionDD!$E$7,CommissionDD!$C$7,IF(C939&lt;=CommissionDD!$E$8,CommissionDD!$C$8,CommissionDD!$C$9))))))</f>
        <v>0.03</v>
      </c>
      <c r="F939" s="23" t="str">
        <f t="shared" si="44"/>
        <v/>
      </c>
      <c r="G939" s="23" t="str">
        <f>IF($B939="","",(Acc!$F939*CommissionDD!$C$30))</f>
        <v/>
      </c>
      <c r="H939" s="23" t="str">
        <f t="shared" si="42"/>
        <v/>
      </c>
    </row>
    <row r="940" spans="1:8">
      <c r="A940" s="21" t="str">
        <f t="shared" si="43"/>
        <v/>
      </c>
      <c r="B940" s="1" t="str">
        <f>IF(Cus!$B940&lt;&gt;"",Cus!$A940,"")</f>
        <v/>
      </c>
      <c r="C940" s="22" t="str">
        <f>IF($B940="","",Cus!$AA940)</f>
        <v/>
      </c>
      <c r="D940" s="23" t="str">
        <f>IF($B940="","",(Acc!$H940*$C940))</f>
        <v/>
      </c>
      <c r="E940" s="24">
        <f>IF(C940&lt;=CommissionDD!$E$3,CommissionDD!$C$3,IF(C940&lt;=CommissionDD!$E$4,CommissionDD!$C$4,IF(C940&lt;=CommissionDD!$E$5,CommissionDD!$C$5,IF(C940&lt;=CommissionDD!$E$6,CommissionDD!$C$6,IF(C940&lt;=CommissionDD!$E$7,CommissionDD!$C$7,IF(C940&lt;=CommissionDD!$E$8,CommissionDD!$C$8,CommissionDD!$C$9))))))</f>
        <v>0.03</v>
      </c>
      <c r="F940" s="23" t="str">
        <f t="shared" si="44"/>
        <v/>
      </c>
      <c r="G940" s="23" t="str">
        <f>IF($B940="","",(Acc!$F940*CommissionDD!$C$30))</f>
        <v/>
      </c>
      <c r="H940" s="23" t="str">
        <f t="shared" si="42"/>
        <v/>
      </c>
    </row>
    <row r="941" spans="1:8">
      <c r="A941" s="21" t="str">
        <f t="shared" si="43"/>
        <v/>
      </c>
      <c r="B941" s="1" t="str">
        <f>IF(Cus!$B941&lt;&gt;"",Cus!$A941,"")</f>
        <v/>
      </c>
      <c r="C941" s="22" t="str">
        <f>IF($B941="","",Cus!$AA941)</f>
        <v/>
      </c>
      <c r="D941" s="23" t="str">
        <f>IF($B941="","",(Acc!$H941*$C941))</f>
        <v/>
      </c>
      <c r="E941" s="24">
        <f>IF(C941&lt;=CommissionDD!$E$3,CommissionDD!$C$3,IF(C941&lt;=CommissionDD!$E$4,CommissionDD!$C$4,IF(C941&lt;=CommissionDD!$E$5,CommissionDD!$C$5,IF(C941&lt;=CommissionDD!$E$6,CommissionDD!$C$6,IF(C941&lt;=CommissionDD!$E$7,CommissionDD!$C$7,IF(C941&lt;=CommissionDD!$E$8,CommissionDD!$C$8,CommissionDD!$C$9))))))</f>
        <v>0.03</v>
      </c>
      <c r="F941" s="23" t="str">
        <f t="shared" si="44"/>
        <v/>
      </c>
      <c r="G941" s="23" t="str">
        <f>IF($B941="","",(Acc!$F941*CommissionDD!$C$30))</f>
        <v/>
      </c>
      <c r="H941" s="23" t="str">
        <f t="shared" si="42"/>
        <v/>
      </c>
    </row>
    <row r="942" spans="1:8">
      <c r="A942" s="21" t="str">
        <f t="shared" si="43"/>
        <v/>
      </c>
      <c r="B942" s="1" t="str">
        <f>IF(Cus!$B942&lt;&gt;"",Cus!$A942,"")</f>
        <v/>
      </c>
      <c r="C942" s="22" t="str">
        <f>IF($B942="","",Cus!$AA942)</f>
        <v/>
      </c>
      <c r="D942" s="23" t="str">
        <f>IF($B942="","",(Acc!$H942*$C942))</f>
        <v/>
      </c>
      <c r="E942" s="24">
        <f>IF(C942&lt;=CommissionDD!$E$3,CommissionDD!$C$3,IF(C942&lt;=CommissionDD!$E$4,CommissionDD!$C$4,IF(C942&lt;=CommissionDD!$E$5,CommissionDD!$C$5,IF(C942&lt;=CommissionDD!$E$6,CommissionDD!$C$6,IF(C942&lt;=CommissionDD!$E$7,CommissionDD!$C$7,IF(C942&lt;=CommissionDD!$E$8,CommissionDD!$C$8,CommissionDD!$C$9))))))</f>
        <v>0.03</v>
      </c>
      <c r="F942" s="23" t="str">
        <f t="shared" si="44"/>
        <v/>
      </c>
      <c r="G942" s="23" t="str">
        <f>IF($B942="","",(Acc!$F942*CommissionDD!$C$30))</f>
        <v/>
      </c>
      <c r="H942" s="23" t="str">
        <f t="shared" si="42"/>
        <v/>
      </c>
    </row>
    <row r="943" spans="1:8">
      <c r="A943" s="21" t="str">
        <f t="shared" si="43"/>
        <v/>
      </c>
      <c r="B943" s="1" t="str">
        <f>IF(Cus!$B943&lt;&gt;"",Cus!$A943,"")</f>
        <v/>
      </c>
      <c r="C943" s="22" t="str">
        <f>IF($B943="","",Cus!$AA943)</f>
        <v/>
      </c>
      <c r="D943" s="23" t="str">
        <f>IF($B943="","",(Acc!$H943*$C943))</f>
        <v/>
      </c>
      <c r="E943" s="24">
        <f>IF(C943&lt;=CommissionDD!$E$3,CommissionDD!$C$3,IF(C943&lt;=CommissionDD!$E$4,CommissionDD!$C$4,IF(C943&lt;=CommissionDD!$E$5,CommissionDD!$C$5,IF(C943&lt;=CommissionDD!$E$6,CommissionDD!$C$6,IF(C943&lt;=CommissionDD!$E$7,CommissionDD!$C$7,IF(C943&lt;=CommissionDD!$E$8,CommissionDD!$C$8,CommissionDD!$C$9))))))</f>
        <v>0.03</v>
      </c>
      <c r="F943" s="23" t="str">
        <f t="shared" si="44"/>
        <v/>
      </c>
      <c r="G943" s="23" t="str">
        <f>IF($B943="","",(Acc!$F943*CommissionDD!$C$30))</f>
        <v/>
      </c>
      <c r="H943" s="23" t="str">
        <f t="shared" si="42"/>
        <v/>
      </c>
    </row>
    <row r="944" spans="1:8">
      <c r="A944" s="21" t="str">
        <f t="shared" si="43"/>
        <v/>
      </c>
      <c r="B944" s="1" t="str">
        <f>IF(Cus!$B944&lt;&gt;"",Cus!$A944,"")</f>
        <v/>
      </c>
      <c r="C944" s="22" t="str">
        <f>IF($B944="","",Cus!$AA944)</f>
        <v/>
      </c>
      <c r="D944" s="23" t="str">
        <f>IF($B944="","",(Acc!$H944*$C944))</f>
        <v/>
      </c>
      <c r="E944" s="24">
        <f>IF(C944&lt;=CommissionDD!$E$3,CommissionDD!$C$3,IF(C944&lt;=CommissionDD!$E$4,CommissionDD!$C$4,IF(C944&lt;=CommissionDD!$E$5,CommissionDD!$C$5,IF(C944&lt;=CommissionDD!$E$6,CommissionDD!$C$6,IF(C944&lt;=CommissionDD!$E$7,CommissionDD!$C$7,IF(C944&lt;=CommissionDD!$E$8,CommissionDD!$C$8,CommissionDD!$C$9))))))</f>
        <v>0.03</v>
      </c>
      <c r="F944" s="23" t="str">
        <f t="shared" si="44"/>
        <v/>
      </c>
      <c r="G944" s="23" t="str">
        <f>IF($B944="","",(Acc!$F944*CommissionDD!$C$30))</f>
        <v/>
      </c>
      <c r="H944" s="23" t="str">
        <f t="shared" si="42"/>
        <v/>
      </c>
    </row>
    <row r="945" spans="1:8">
      <c r="A945" s="21" t="str">
        <f t="shared" si="43"/>
        <v/>
      </c>
      <c r="B945" s="1" t="str">
        <f>IF(Cus!$B945&lt;&gt;"",Cus!$A945,"")</f>
        <v/>
      </c>
      <c r="C945" s="22" t="str">
        <f>IF($B945="","",Cus!$AA945)</f>
        <v/>
      </c>
      <c r="D945" s="23" t="str">
        <f>IF($B945="","",(Acc!$H945*$C945))</f>
        <v/>
      </c>
      <c r="E945" s="24">
        <f>IF(C945&lt;=CommissionDD!$E$3,CommissionDD!$C$3,IF(C945&lt;=CommissionDD!$E$4,CommissionDD!$C$4,IF(C945&lt;=CommissionDD!$E$5,CommissionDD!$C$5,IF(C945&lt;=CommissionDD!$E$6,CommissionDD!$C$6,IF(C945&lt;=CommissionDD!$E$7,CommissionDD!$C$7,IF(C945&lt;=CommissionDD!$E$8,CommissionDD!$C$8,CommissionDD!$C$9))))))</f>
        <v>0.03</v>
      </c>
      <c r="F945" s="23" t="str">
        <f t="shared" si="44"/>
        <v/>
      </c>
      <c r="G945" s="23" t="str">
        <f>IF($B945="","",(Acc!$F945*CommissionDD!$C$30))</f>
        <v/>
      </c>
      <c r="H945" s="23" t="str">
        <f t="shared" si="42"/>
        <v/>
      </c>
    </row>
    <row r="946" spans="1:8">
      <c r="A946" s="21" t="str">
        <f t="shared" si="43"/>
        <v/>
      </c>
      <c r="B946" s="1" t="str">
        <f>IF(Cus!$B946&lt;&gt;"",Cus!$A946,"")</f>
        <v/>
      </c>
      <c r="C946" s="22" t="str">
        <f>IF($B946="","",Cus!$AA946)</f>
        <v/>
      </c>
      <c r="D946" s="23" t="str">
        <f>IF($B946="","",(Acc!$H946*$C946))</f>
        <v/>
      </c>
      <c r="E946" s="24">
        <f>IF(C946&lt;=CommissionDD!$E$3,CommissionDD!$C$3,IF(C946&lt;=CommissionDD!$E$4,CommissionDD!$C$4,IF(C946&lt;=CommissionDD!$E$5,CommissionDD!$C$5,IF(C946&lt;=CommissionDD!$E$6,CommissionDD!$C$6,IF(C946&lt;=CommissionDD!$E$7,CommissionDD!$C$7,IF(C946&lt;=CommissionDD!$E$8,CommissionDD!$C$8,CommissionDD!$C$9))))))</f>
        <v>0.03</v>
      </c>
      <c r="F946" s="23" t="str">
        <f t="shared" si="44"/>
        <v/>
      </c>
      <c r="G946" s="23" t="str">
        <f>IF($B946="","",(Acc!$F946*CommissionDD!$C$30))</f>
        <v/>
      </c>
      <c r="H946" s="23" t="str">
        <f t="shared" si="42"/>
        <v/>
      </c>
    </row>
    <row r="947" spans="1:8">
      <c r="A947" s="21" t="str">
        <f t="shared" si="43"/>
        <v/>
      </c>
      <c r="B947" s="1" t="str">
        <f>IF(Cus!$B947&lt;&gt;"",Cus!$A947,"")</f>
        <v/>
      </c>
      <c r="C947" s="22" t="str">
        <f>IF($B947="","",Cus!$AA947)</f>
        <v/>
      </c>
      <c r="D947" s="23" t="str">
        <f>IF($B947="","",(Acc!$H947*$C947))</f>
        <v/>
      </c>
      <c r="E947" s="24">
        <f>IF(C947&lt;=CommissionDD!$E$3,CommissionDD!$C$3,IF(C947&lt;=CommissionDD!$E$4,CommissionDD!$C$4,IF(C947&lt;=CommissionDD!$E$5,CommissionDD!$C$5,IF(C947&lt;=CommissionDD!$E$6,CommissionDD!$C$6,IF(C947&lt;=CommissionDD!$E$7,CommissionDD!$C$7,IF(C947&lt;=CommissionDD!$E$8,CommissionDD!$C$8,CommissionDD!$C$9))))))</f>
        <v>0.03</v>
      </c>
      <c r="F947" s="23" t="str">
        <f t="shared" si="44"/>
        <v/>
      </c>
      <c r="G947" s="23" t="str">
        <f>IF($B947="","",(Acc!$F947*CommissionDD!$C$30))</f>
        <v/>
      </c>
      <c r="H947" s="23" t="str">
        <f t="shared" si="42"/>
        <v/>
      </c>
    </row>
    <row r="948" spans="1:8">
      <c r="A948" s="21" t="str">
        <f t="shared" si="43"/>
        <v/>
      </c>
      <c r="B948" s="1" t="str">
        <f>IF(Cus!$B948&lt;&gt;"",Cus!$A948,"")</f>
        <v/>
      </c>
      <c r="C948" s="22" t="str">
        <f>IF($B948="","",Cus!$AA948)</f>
        <v/>
      </c>
      <c r="D948" s="23" t="str">
        <f>IF($B948="","",(Acc!$H948*$C948))</f>
        <v/>
      </c>
      <c r="E948" s="24">
        <f>IF(C948&lt;=CommissionDD!$E$3,CommissionDD!$C$3,IF(C948&lt;=CommissionDD!$E$4,CommissionDD!$C$4,IF(C948&lt;=CommissionDD!$E$5,CommissionDD!$C$5,IF(C948&lt;=CommissionDD!$E$6,CommissionDD!$C$6,IF(C948&lt;=CommissionDD!$E$7,CommissionDD!$C$7,IF(C948&lt;=CommissionDD!$E$8,CommissionDD!$C$8,CommissionDD!$C$9))))))</f>
        <v>0.03</v>
      </c>
      <c r="F948" s="23" t="str">
        <f t="shared" si="44"/>
        <v/>
      </c>
      <c r="G948" s="23" t="str">
        <f>IF($B948="","",(Acc!$F948*CommissionDD!$C$30))</f>
        <v/>
      </c>
      <c r="H948" s="23" t="str">
        <f t="shared" si="42"/>
        <v/>
      </c>
    </row>
    <row r="949" spans="1:8">
      <c r="A949" s="21" t="str">
        <f t="shared" si="43"/>
        <v/>
      </c>
      <c r="B949" s="1" t="str">
        <f>IF(Cus!$B949&lt;&gt;"",Cus!$A949,"")</f>
        <v/>
      </c>
      <c r="C949" s="22" t="str">
        <f>IF($B949="","",Cus!$AA949)</f>
        <v/>
      </c>
      <c r="D949" s="23" t="str">
        <f>IF($B949="","",(Acc!$H949*$C949))</f>
        <v/>
      </c>
      <c r="E949" s="24">
        <f>IF(C949&lt;=CommissionDD!$E$3,CommissionDD!$C$3,IF(C949&lt;=CommissionDD!$E$4,CommissionDD!$C$4,IF(C949&lt;=CommissionDD!$E$5,CommissionDD!$C$5,IF(C949&lt;=CommissionDD!$E$6,CommissionDD!$C$6,IF(C949&lt;=CommissionDD!$E$7,CommissionDD!$C$7,IF(C949&lt;=CommissionDD!$E$8,CommissionDD!$C$8,CommissionDD!$C$9))))))</f>
        <v>0.03</v>
      </c>
      <c r="F949" s="23" t="str">
        <f t="shared" si="44"/>
        <v/>
      </c>
      <c r="G949" s="23" t="str">
        <f>IF($B949="","",(Acc!$F949*CommissionDD!$C$30))</f>
        <v/>
      </c>
      <c r="H949" s="23" t="str">
        <f t="shared" si="42"/>
        <v/>
      </c>
    </row>
    <row r="950" spans="1:8">
      <c r="A950" s="21" t="str">
        <f t="shared" si="43"/>
        <v/>
      </c>
      <c r="B950" s="1" t="str">
        <f>IF(Cus!$B950&lt;&gt;"",Cus!$A950,"")</f>
        <v/>
      </c>
      <c r="C950" s="22" t="str">
        <f>IF($B950="","",Cus!$AA950)</f>
        <v/>
      </c>
      <c r="D950" s="23" t="str">
        <f>IF($B950="","",(Acc!$H950*$C950))</f>
        <v/>
      </c>
      <c r="E950" s="24">
        <f>IF(C950&lt;=CommissionDD!$E$3,CommissionDD!$C$3,IF(C950&lt;=CommissionDD!$E$4,CommissionDD!$C$4,IF(C950&lt;=CommissionDD!$E$5,CommissionDD!$C$5,IF(C950&lt;=CommissionDD!$E$6,CommissionDD!$C$6,IF(C950&lt;=CommissionDD!$E$7,CommissionDD!$C$7,IF(C950&lt;=CommissionDD!$E$8,CommissionDD!$C$8,CommissionDD!$C$9))))))</f>
        <v>0.03</v>
      </c>
      <c r="F950" s="23" t="str">
        <f t="shared" si="44"/>
        <v/>
      </c>
      <c r="G950" s="23" t="str">
        <f>IF($B950="","",(Acc!$F950*CommissionDD!$C$30))</f>
        <v/>
      </c>
      <c r="H950" s="23" t="str">
        <f t="shared" si="42"/>
        <v/>
      </c>
    </row>
    <row r="951" spans="1:8">
      <c r="A951" s="21" t="str">
        <f t="shared" si="43"/>
        <v/>
      </c>
      <c r="B951" s="1" t="str">
        <f>IF(Cus!$B951&lt;&gt;"",Cus!$A951,"")</f>
        <v/>
      </c>
      <c r="C951" s="22" t="str">
        <f>IF($B951="","",Cus!$AA951)</f>
        <v/>
      </c>
      <c r="D951" s="23" t="str">
        <f>IF($B951="","",(Acc!$H951*$C951))</f>
        <v/>
      </c>
      <c r="E951" s="24">
        <f>IF(C951&lt;=CommissionDD!$E$3,CommissionDD!$C$3,IF(C951&lt;=CommissionDD!$E$4,CommissionDD!$C$4,IF(C951&lt;=CommissionDD!$E$5,CommissionDD!$C$5,IF(C951&lt;=CommissionDD!$E$6,CommissionDD!$C$6,IF(C951&lt;=CommissionDD!$E$7,CommissionDD!$C$7,IF(C951&lt;=CommissionDD!$E$8,CommissionDD!$C$8,CommissionDD!$C$9))))))</f>
        <v>0.03</v>
      </c>
      <c r="F951" s="23" t="str">
        <f t="shared" si="44"/>
        <v/>
      </c>
      <c r="G951" s="23" t="str">
        <f>IF($B951="","",(Acc!$F951*CommissionDD!$C$30))</f>
        <v/>
      </c>
      <c r="H951" s="23" t="str">
        <f t="shared" si="42"/>
        <v/>
      </c>
    </row>
    <row r="952" spans="1:8">
      <c r="A952" s="21" t="str">
        <f t="shared" si="43"/>
        <v/>
      </c>
      <c r="B952" s="1" t="str">
        <f>IF(Cus!$B952&lt;&gt;"",Cus!$A952,"")</f>
        <v/>
      </c>
      <c r="C952" s="22" t="str">
        <f>IF($B952="","",Cus!$AA952)</f>
        <v/>
      </c>
      <c r="D952" s="23" t="str">
        <f>IF($B952="","",(Acc!$H952*$C952))</f>
        <v/>
      </c>
      <c r="E952" s="24">
        <f>IF(C952&lt;=CommissionDD!$E$3,CommissionDD!$C$3,IF(C952&lt;=CommissionDD!$E$4,CommissionDD!$C$4,IF(C952&lt;=CommissionDD!$E$5,CommissionDD!$C$5,IF(C952&lt;=CommissionDD!$E$6,CommissionDD!$C$6,IF(C952&lt;=CommissionDD!$E$7,CommissionDD!$C$7,IF(C952&lt;=CommissionDD!$E$8,CommissionDD!$C$8,CommissionDD!$C$9))))))</f>
        <v>0.03</v>
      </c>
      <c r="F952" s="23" t="str">
        <f t="shared" si="44"/>
        <v/>
      </c>
      <c r="G952" s="23" t="str">
        <f>IF($B952="","",(Acc!$F952*CommissionDD!$C$30))</f>
        <v/>
      </c>
      <c r="H952" s="23" t="str">
        <f t="shared" si="42"/>
        <v/>
      </c>
    </row>
    <row r="953" spans="1:8">
      <c r="A953" s="21" t="str">
        <f t="shared" si="43"/>
        <v/>
      </c>
      <c r="B953" s="1" t="str">
        <f>IF(Cus!$B953&lt;&gt;"",Cus!$A953,"")</f>
        <v/>
      </c>
      <c r="C953" s="22" t="str">
        <f>IF($B953="","",Cus!$AA953)</f>
        <v/>
      </c>
      <c r="D953" s="23" t="str">
        <f>IF($B953="","",(Acc!$H953*$C953))</f>
        <v/>
      </c>
      <c r="E953" s="24">
        <f>IF(C953&lt;=CommissionDD!$E$3,CommissionDD!$C$3,IF(C953&lt;=CommissionDD!$E$4,CommissionDD!$C$4,IF(C953&lt;=CommissionDD!$E$5,CommissionDD!$C$5,IF(C953&lt;=CommissionDD!$E$6,CommissionDD!$C$6,IF(C953&lt;=CommissionDD!$E$7,CommissionDD!$C$7,IF(C953&lt;=CommissionDD!$E$8,CommissionDD!$C$8,CommissionDD!$C$9))))))</f>
        <v>0.03</v>
      </c>
      <c r="F953" s="23" t="str">
        <f t="shared" si="44"/>
        <v/>
      </c>
      <c r="G953" s="23" t="str">
        <f>IF($B953="","",(Acc!$F953*CommissionDD!$C$30))</f>
        <v/>
      </c>
      <c r="H953" s="23" t="str">
        <f t="shared" si="42"/>
        <v/>
      </c>
    </row>
    <row r="954" spans="1:8">
      <c r="A954" s="21" t="str">
        <f t="shared" si="43"/>
        <v/>
      </c>
      <c r="B954" s="1" t="str">
        <f>IF(Cus!$B954&lt;&gt;"",Cus!$A954,"")</f>
        <v/>
      </c>
      <c r="C954" s="22" t="str">
        <f>IF($B954="","",Cus!$AA954)</f>
        <v/>
      </c>
      <c r="D954" s="23" t="str">
        <f>IF($B954="","",(Acc!$H954*$C954))</f>
        <v/>
      </c>
      <c r="E954" s="24">
        <f>IF(C954&lt;=CommissionDD!$E$3,CommissionDD!$C$3,IF(C954&lt;=CommissionDD!$E$4,CommissionDD!$C$4,IF(C954&lt;=CommissionDD!$E$5,CommissionDD!$C$5,IF(C954&lt;=CommissionDD!$E$6,CommissionDD!$C$6,IF(C954&lt;=CommissionDD!$E$7,CommissionDD!$C$7,IF(C954&lt;=CommissionDD!$E$8,CommissionDD!$C$8,CommissionDD!$C$9))))))</f>
        <v>0.03</v>
      </c>
      <c r="F954" s="23" t="str">
        <f t="shared" si="44"/>
        <v/>
      </c>
      <c r="G954" s="23" t="str">
        <f>IF($B954="","",(Acc!$F954*CommissionDD!$C$30))</f>
        <v/>
      </c>
      <c r="H954" s="23" t="str">
        <f t="shared" si="42"/>
        <v/>
      </c>
    </row>
    <row r="955" spans="1:8">
      <c r="A955" s="21" t="str">
        <f t="shared" si="43"/>
        <v/>
      </c>
      <c r="B955" s="1" t="str">
        <f>IF(Cus!$B955&lt;&gt;"",Cus!$A955,"")</f>
        <v/>
      </c>
      <c r="C955" s="22" t="str">
        <f>IF($B955="","",Cus!$AA955)</f>
        <v/>
      </c>
      <c r="D955" s="23" t="str">
        <f>IF($B955="","",(Acc!$H955*$C955))</f>
        <v/>
      </c>
      <c r="E955" s="24">
        <f>IF(C955&lt;=CommissionDD!$E$3,CommissionDD!$C$3,IF(C955&lt;=CommissionDD!$E$4,CommissionDD!$C$4,IF(C955&lt;=CommissionDD!$E$5,CommissionDD!$C$5,IF(C955&lt;=CommissionDD!$E$6,CommissionDD!$C$6,IF(C955&lt;=CommissionDD!$E$7,CommissionDD!$C$7,IF(C955&lt;=CommissionDD!$E$8,CommissionDD!$C$8,CommissionDD!$C$9))))))</f>
        <v>0.03</v>
      </c>
      <c r="F955" s="23" t="str">
        <f t="shared" si="44"/>
        <v/>
      </c>
      <c r="G955" s="23" t="str">
        <f>IF($B955="","",(Acc!$F955*CommissionDD!$C$30))</f>
        <v/>
      </c>
      <c r="H955" s="23" t="str">
        <f t="shared" si="42"/>
        <v/>
      </c>
    </row>
    <row r="956" spans="1:8">
      <c r="A956" s="21" t="str">
        <f t="shared" si="43"/>
        <v/>
      </c>
      <c r="B956" s="1" t="str">
        <f>IF(Cus!$B956&lt;&gt;"",Cus!$A956,"")</f>
        <v/>
      </c>
      <c r="C956" s="22" t="str">
        <f>IF($B956="","",Cus!$AA956)</f>
        <v/>
      </c>
      <c r="D956" s="23" t="str">
        <f>IF($B956="","",(Acc!$H956*$C956))</f>
        <v/>
      </c>
      <c r="E956" s="24">
        <f>IF(C956&lt;=CommissionDD!$E$3,CommissionDD!$C$3,IF(C956&lt;=CommissionDD!$E$4,CommissionDD!$C$4,IF(C956&lt;=CommissionDD!$E$5,CommissionDD!$C$5,IF(C956&lt;=CommissionDD!$E$6,CommissionDD!$C$6,IF(C956&lt;=CommissionDD!$E$7,CommissionDD!$C$7,IF(C956&lt;=CommissionDD!$E$8,CommissionDD!$C$8,CommissionDD!$C$9))))))</f>
        <v>0.03</v>
      </c>
      <c r="F956" s="23" t="str">
        <f t="shared" si="44"/>
        <v/>
      </c>
      <c r="G956" s="23" t="str">
        <f>IF($B956="","",(Acc!$F956*CommissionDD!$C$30))</f>
        <v/>
      </c>
      <c r="H956" s="23" t="str">
        <f t="shared" si="42"/>
        <v/>
      </c>
    </row>
    <row r="957" spans="1:8">
      <c r="A957" s="21" t="str">
        <f t="shared" si="43"/>
        <v/>
      </c>
      <c r="B957" s="1" t="str">
        <f>IF(Cus!$B957&lt;&gt;"",Cus!$A957,"")</f>
        <v/>
      </c>
      <c r="C957" s="22" t="str">
        <f>IF($B957="","",Cus!$AA957)</f>
        <v/>
      </c>
      <c r="D957" s="23" t="str">
        <f>IF($B957="","",(Acc!$H957*$C957))</f>
        <v/>
      </c>
      <c r="E957" s="24">
        <f>IF(C957&lt;=CommissionDD!$E$3,CommissionDD!$C$3,IF(C957&lt;=CommissionDD!$E$4,CommissionDD!$C$4,IF(C957&lt;=CommissionDD!$E$5,CommissionDD!$C$5,IF(C957&lt;=CommissionDD!$E$6,CommissionDD!$C$6,IF(C957&lt;=CommissionDD!$E$7,CommissionDD!$C$7,IF(C957&lt;=CommissionDD!$E$8,CommissionDD!$C$8,CommissionDD!$C$9))))))</f>
        <v>0.03</v>
      </c>
      <c r="F957" s="23" t="str">
        <f t="shared" si="44"/>
        <v/>
      </c>
      <c r="G957" s="23" t="str">
        <f>IF($B957="","",(Acc!$F957*CommissionDD!$C$30))</f>
        <v/>
      </c>
      <c r="H957" s="23" t="str">
        <f t="shared" si="42"/>
        <v/>
      </c>
    </row>
    <row r="958" spans="1:8">
      <c r="A958" s="21" t="str">
        <f t="shared" si="43"/>
        <v/>
      </c>
      <c r="B958" s="1" t="str">
        <f>IF(Cus!$B958&lt;&gt;"",Cus!$A958,"")</f>
        <v/>
      </c>
      <c r="C958" s="22" t="str">
        <f>IF($B958="","",Cus!$AA958)</f>
        <v/>
      </c>
      <c r="D958" s="23" t="str">
        <f>IF($B958="","",(Acc!$H958*$C958))</f>
        <v/>
      </c>
      <c r="E958" s="24">
        <f>IF(C958&lt;=CommissionDD!$E$3,CommissionDD!$C$3,IF(C958&lt;=CommissionDD!$E$4,CommissionDD!$C$4,IF(C958&lt;=CommissionDD!$E$5,CommissionDD!$C$5,IF(C958&lt;=CommissionDD!$E$6,CommissionDD!$C$6,IF(C958&lt;=CommissionDD!$E$7,CommissionDD!$C$7,IF(C958&lt;=CommissionDD!$E$8,CommissionDD!$C$8,CommissionDD!$C$9))))))</f>
        <v>0.03</v>
      </c>
      <c r="F958" s="23" t="str">
        <f t="shared" si="44"/>
        <v/>
      </c>
      <c r="G958" s="23" t="str">
        <f>IF($B958="","",(Acc!$F958*CommissionDD!$C$30))</f>
        <v/>
      </c>
      <c r="H958" s="23" t="str">
        <f t="shared" si="42"/>
        <v/>
      </c>
    </row>
    <row r="959" spans="1:8">
      <c r="A959" s="21" t="str">
        <f t="shared" si="43"/>
        <v/>
      </c>
      <c r="B959" s="1" t="str">
        <f>IF(Cus!$B959&lt;&gt;"",Cus!$A959,"")</f>
        <v/>
      </c>
      <c r="C959" s="22" t="str">
        <f>IF($B959="","",Cus!$AA959)</f>
        <v/>
      </c>
      <c r="D959" s="23" t="str">
        <f>IF($B959="","",(Acc!$H959*$C959))</f>
        <v/>
      </c>
      <c r="E959" s="24">
        <f>IF(C959&lt;=CommissionDD!$E$3,CommissionDD!$C$3,IF(C959&lt;=CommissionDD!$E$4,CommissionDD!$C$4,IF(C959&lt;=CommissionDD!$E$5,CommissionDD!$C$5,IF(C959&lt;=CommissionDD!$E$6,CommissionDD!$C$6,IF(C959&lt;=CommissionDD!$E$7,CommissionDD!$C$7,IF(C959&lt;=CommissionDD!$E$8,CommissionDD!$C$8,CommissionDD!$C$9))))))</f>
        <v>0.03</v>
      </c>
      <c r="F959" s="23" t="str">
        <f t="shared" si="44"/>
        <v/>
      </c>
      <c r="G959" s="23" t="str">
        <f>IF($B959="","",(Acc!$F959*CommissionDD!$C$30))</f>
        <v/>
      </c>
      <c r="H959" s="23" t="str">
        <f t="shared" si="42"/>
        <v/>
      </c>
    </row>
    <row r="960" spans="1:8">
      <c r="A960" s="21" t="str">
        <f t="shared" si="43"/>
        <v/>
      </c>
      <c r="B960" s="1" t="str">
        <f>IF(Cus!$B960&lt;&gt;"",Cus!$A960,"")</f>
        <v/>
      </c>
      <c r="C960" s="22" t="str">
        <f>IF($B960="","",Cus!$AA960)</f>
        <v/>
      </c>
      <c r="D960" s="23" t="str">
        <f>IF($B960="","",(Acc!$H960*$C960))</f>
        <v/>
      </c>
      <c r="E960" s="24">
        <f>IF(C960&lt;=CommissionDD!$E$3,CommissionDD!$C$3,IF(C960&lt;=CommissionDD!$E$4,CommissionDD!$C$4,IF(C960&lt;=CommissionDD!$E$5,CommissionDD!$C$5,IF(C960&lt;=CommissionDD!$E$6,CommissionDD!$C$6,IF(C960&lt;=CommissionDD!$E$7,CommissionDD!$C$7,IF(C960&lt;=CommissionDD!$E$8,CommissionDD!$C$8,CommissionDD!$C$9))))))</f>
        <v>0.03</v>
      </c>
      <c r="F960" s="23" t="str">
        <f t="shared" si="44"/>
        <v/>
      </c>
      <c r="G960" s="23" t="str">
        <f>IF($B960="","",(Acc!$F960*CommissionDD!$C$30))</f>
        <v/>
      </c>
      <c r="H960" s="23" t="str">
        <f t="shared" si="42"/>
        <v/>
      </c>
    </row>
    <row r="961" spans="1:8">
      <c r="A961" s="21" t="str">
        <f t="shared" si="43"/>
        <v/>
      </c>
      <c r="B961" s="1" t="str">
        <f>IF(Cus!$B961&lt;&gt;"",Cus!$A961,"")</f>
        <v/>
      </c>
      <c r="C961" s="22" t="str">
        <f>IF($B961="","",Cus!$AA961)</f>
        <v/>
      </c>
      <c r="D961" s="23" t="str">
        <f>IF($B961="","",(Acc!$H961*$C961))</f>
        <v/>
      </c>
      <c r="E961" s="24">
        <f>IF(C961&lt;=CommissionDD!$E$3,CommissionDD!$C$3,IF(C961&lt;=CommissionDD!$E$4,CommissionDD!$C$4,IF(C961&lt;=CommissionDD!$E$5,CommissionDD!$C$5,IF(C961&lt;=CommissionDD!$E$6,CommissionDD!$C$6,IF(C961&lt;=CommissionDD!$E$7,CommissionDD!$C$7,IF(C961&lt;=CommissionDD!$E$8,CommissionDD!$C$8,CommissionDD!$C$9))))))</f>
        <v>0.03</v>
      </c>
      <c r="F961" s="23" t="str">
        <f t="shared" si="44"/>
        <v/>
      </c>
      <c r="G961" s="23" t="str">
        <f>IF($B961="","",(Acc!$F961*CommissionDD!$C$30))</f>
        <v/>
      </c>
      <c r="H961" s="23" t="str">
        <f t="shared" si="42"/>
        <v/>
      </c>
    </row>
    <row r="962" spans="1:8">
      <c r="A962" s="21" t="str">
        <f t="shared" si="43"/>
        <v/>
      </c>
      <c r="B962" s="1" t="str">
        <f>IF(Cus!$B962&lt;&gt;"",Cus!$A962,"")</f>
        <v/>
      </c>
      <c r="C962" s="22" t="str">
        <f>IF($B962="","",Cus!$AA962)</f>
        <v/>
      </c>
      <c r="D962" s="23" t="str">
        <f>IF($B962="","",(Acc!$H962*$C962))</f>
        <v/>
      </c>
      <c r="E962" s="24">
        <f>IF(C962&lt;=CommissionDD!$E$3,CommissionDD!$C$3,IF(C962&lt;=CommissionDD!$E$4,CommissionDD!$C$4,IF(C962&lt;=CommissionDD!$E$5,CommissionDD!$C$5,IF(C962&lt;=CommissionDD!$E$6,CommissionDD!$C$6,IF(C962&lt;=CommissionDD!$E$7,CommissionDD!$C$7,IF(C962&lt;=CommissionDD!$E$8,CommissionDD!$C$8,CommissionDD!$C$9))))))</f>
        <v>0.03</v>
      </c>
      <c r="F962" s="23" t="str">
        <f t="shared" si="44"/>
        <v/>
      </c>
      <c r="G962" s="23" t="str">
        <f>IF($B962="","",(Acc!$F962*CommissionDD!$C$30))</f>
        <v/>
      </c>
      <c r="H962" s="23" t="str">
        <f t="shared" ref="H962:H1001" si="45">IF($B962="","",F962+G962)</f>
        <v/>
      </c>
    </row>
    <row r="963" spans="1:8">
      <c r="A963" s="21" t="str">
        <f t="shared" ref="A963:A1001" si="46">IF($B963="","",(ROW($A962)))</f>
        <v/>
      </c>
      <c r="B963" s="1" t="str">
        <f>IF(Cus!$B963&lt;&gt;"",Cus!$A963,"")</f>
        <v/>
      </c>
      <c r="C963" s="22" t="str">
        <f>IF($B963="","",Cus!$AA963)</f>
        <v/>
      </c>
      <c r="D963" s="23" t="str">
        <f>IF($B963="","",(Acc!$H963*$C963))</f>
        <v/>
      </c>
      <c r="E963" s="24">
        <f>IF(C963&lt;=CommissionDD!$E$3,CommissionDD!$C$3,IF(C963&lt;=CommissionDD!$E$4,CommissionDD!$C$4,IF(C963&lt;=CommissionDD!$E$5,CommissionDD!$C$5,IF(C963&lt;=CommissionDD!$E$6,CommissionDD!$C$6,IF(C963&lt;=CommissionDD!$E$7,CommissionDD!$C$7,IF(C963&lt;=CommissionDD!$E$8,CommissionDD!$C$8,CommissionDD!$C$9))))))</f>
        <v>0.03</v>
      </c>
      <c r="F963" s="23" t="str">
        <f t="shared" si="44"/>
        <v/>
      </c>
      <c r="G963" s="23" t="str">
        <f>IF($B963="","",(Acc!$F963*CommissionDD!$C$30))</f>
        <v/>
      </c>
      <c r="H963" s="23" t="str">
        <f t="shared" si="45"/>
        <v/>
      </c>
    </row>
    <row r="964" spans="1:8">
      <c r="A964" s="21" t="str">
        <f t="shared" si="46"/>
        <v/>
      </c>
      <c r="B964" s="1" t="str">
        <f>IF(Cus!$B964&lt;&gt;"",Cus!$A964,"")</f>
        <v/>
      </c>
      <c r="C964" s="22" t="str">
        <f>IF($B964="","",Cus!$AA964)</f>
        <v/>
      </c>
      <c r="D964" s="23" t="str">
        <f>IF($B964="","",(Acc!$H964*$C964))</f>
        <v/>
      </c>
      <c r="E964" s="24">
        <f>IF(C964&lt;=CommissionDD!$E$3,CommissionDD!$C$3,IF(C964&lt;=CommissionDD!$E$4,CommissionDD!$C$4,IF(C964&lt;=CommissionDD!$E$5,CommissionDD!$C$5,IF(C964&lt;=CommissionDD!$E$6,CommissionDD!$C$6,IF(C964&lt;=CommissionDD!$E$7,CommissionDD!$C$7,IF(C964&lt;=CommissionDD!$E$8,CommissionDD!$C$8,CommissionDD!$C$9))))))</f>
        <v>0.03</v>
      </c>
      <c r="F964" s="23" t="str">
        <f t="shared" si="44"/>
        <v/>
      </c>
      <c r="G964" s="23" t="str">
        <f>IF($B964="","",(Acc!$F964*CommissionDD!$C$30))</f>
        <v/>
      </c>
      <c r="H964" s="23" t="str">
        <f t="shared" si="45"/>
        <v/>
      </c>
    </row>
    <row r="965" spans="1:8">
      <c r="A965" s="21" t="str">
        <f t="shared" si="46"/>
        <v/>
      </c>
      <c r="B965" s="1" t="str">
        <f>IF(Cus!$B965&lt;&gt;"",Cus!$A965,"")</f>
        <v/>
      </c>
      <c r="C965" s="22" t="str">
        <f>IF($B965="","",Cus!$AA965)</f>
        <v/>
      </c>
      <c r="D965" s="23" t="str">
        <f>IF($B965="","",(Acc!$H965*$C965))</f>
        <v/>
      </c>
      <c r="E965" s="24">
        <f>IF(C965&lt;=CommissionDD!$E$3,CommissionDD!$C$3,IF(C965&lt;=CommissionDD!$E$4,CommissionDD!$C$4,IF(C965&lt;=CommissionDD!$E$5,CommissionDD!$C$5,IF(C965&lt;=CommissionDD!$E$6,CommissionDD!$C$6,IF(C965&lt;=CommissionDD!$E$7,CommissionDD!$C$7,IF(C965&lt;=CommissionDD!$E$8,CommissionDD!$C$8,CommissionDD!$C$9))))))</f>
        <v>0.03</v>
      </c>
      <c r="F965" s="23" t="str">
        <f t="shared" ref="F965:F1001" si="47">IF($B965="","",D965*E965)</f>
        <v/>
      </c>
      <c r="G965" s="23" t="str">
        <f>IF($B965="","",(Acc!$F965*CommissionDD!$C$30))</f>
        <v/>
      </c>
      <c r="H965" s="23" t="str">
        <f t="shared" si="45"/>
        <v/>
      </c>
    </row>
    <row r="966" spans="1:8">
      <c r="A966" s="21" t="str">
        <f t="shared" si="46"/>
        <v/>
      </c>
      <c r="B966" s="1" t="str">
        <f>IF(Cus!$B966&lt;&gt;"",Cus!$A966,"")</f>
        <v/>
      </c>
      <c r="C966" s="22" t="str">
        <f>IF($B966="","",Cus!$AA966)</f>
        <v/>
      </c>
      <c r="D966" s="23" t="str">
        <f>IF($B966="","",(Acc!$H966*$C966))</f>
        <v/>
      </c>
      <c r="E966" s="24">
        <f>IF(C966&lt;=CommissionDD!$E$3,CommissionDD!$C$3,IF(C966&lt;=CommissionDD!$E$4,CommissionDD!$C$4,IF(C966&lt;=CommissionDD!$E$5,CommissionDD!$C$5,IF(C966&lt;=CommissionDD!$E$6,CommissionDD!$C$6,IF(C966&lt;=CommissionDD!$E$7,CommissionDD!$C$7,IF(C966&lt;=CommissionDD!$E$8,CommissionDD!$C$8,CommissionDD!$C$9))))))</f>
        <v>0.03</v>
      </c>
      <c r="F966" s="23" t="str">
        <f t="shared" si="47"/>
        <v/>
      </c>
      <c r="G966" s="23" t="str">
        <f>IF($B966="","",(Acc!$F966*CommissionDD!$C$30))</f>
        <v/>
      </c>
      <c r="H966" s="23" t="str">
        <f t="shared" si="45"/>
        <v/>
      </c>
    </row>
    <row r="967" spans="1:8">
      <c r="A967" s="21" t="str">
        <f t="shared" si="46"/>
        <v/>
      </c>
      <c r="B967" s="1" t="str">
        <f>IF(Cus!$B967&lt;&gt;"",Cus!$A967,"")</f>
        <v/>
      </c>
      <c r="C967" s="22" t="str">
        <f>IF($B967="","",Cus!$AA967)</f>
        <v/>
      </c>
      <c r="D967" s="23" t="str">
        <f>IF($B967="","",(Acc!$H967*$C967))</f>
        <v/>
      </c>
      <c r="E967" s="24">
        <f>IF(C967&lt;=CommissionDD!$E$3,CommissionDD!$C$3,IF(C967&lt;=CommissionDD!$E$4,CommissionDD!$C$4,IF(C967&lt;=CommissionDD!$E$5,CommissionDD!$C$5,IF(C967&lt;=CommissionDD!$E$6,CommissionDD!$C$6,IF(C967&lt;=CommissionDD!$E$7,CommissionDD!$C$7,IF(C967&lt;=CommissionDD!$E$8,CommissionDD!$C$8,CommissionDD!$C$9))))))</f>
        <v>0.03</v>
      </c>
      <c r="F967" s="23" t="str">
        <f t="shared" si="47"/>
        <v/>
      </c>
      <c r="G967" s="23" t="str">
        <f>IF($B967="","",(Acc!$F967*CommissionDD!$C$30))</f>
        <v/>
      </c>
      <c r="H967" s="23" t="str">
        <f t="shared" si="45"/>
        <v/>
      </c>
    </row>
    <row r="968" spans="1:8">
      <c r="A968" s="21" t="str">
        <f t="shared" si="46"/>
        <v/>
      </c>
      <c r="B968" s="1" t="str">
        <f>IF(Cus!$B968&lt;&gt;"",Cus!$A968,"")</f>
        <v/>
      </c>
      <c r="C968" s="22" t="str">
        <f>IF($B968="","",Cus!$AA968)</f>
        <v/>
      </c>
      <c r="D968" s="23" t="str">
        <f>IF($B968="","",(Acc!$H968*$C968))</f>
        <v/>
      </c>
      <c r="E968" s="24">
        <f>IF(C968&lt;=CommissionDD!$E$3,CommissionDD!$C$3,IF(C968&lt;=CommissionDD!$E$4,CommissionDD!$C$4,IF(C968&lt;=CommissionDD!$E$5,CommissionDD!$C$5,IF(C968&lt;=CommissionDD!$E$6,CommissionDD!$C$6,IF(C968&lt;=CommissionDD!$E$7,CommissionDD!$C$7,IF(C968&lt;=CommissionDD!$E$8,CommissionDD!$C$8,CommissionDD!$C$9))))))</f>
        <v>0.03</v>
      </c>
      <c r="F968" s="23" t="str">
        <f t="shared" si="47"/>
        <v/>
      </c>
      <c r="G968" s="23" t="str">
        <f>IF($B968="","",(Acc!$F968*CommissionDD!$C$30))</f>
        <v/>
      </c>
      <c r="H968" s="23" t="str">
        <f t="shared" si="45"/>
        <v/>
      </c>
    </row>
    <row r="969" spans="1:8">
      <c r="A969" s="21" t="str">
        <f t="shared" si="46"/>
        <v/>
      </c>
      <c r="B969" s="1" t="str">
        <f>IF(Cus!$B969&lt;&gt;"",Cus!$A969,"")</f>
        <v/>
      </c>
      <c r="C969" s="22" t="str">
        <f>IF($B969="","",Cus!$AA969)</f>
        <v/>
      </c>
      <c r="D969" s="23" t="str">
        <f>IF($B969="","",(Acc!$H969*$C969))</f>
        <v/>
      </c>
      <c r="E969" s="24">
        <f>IF(C969&lt;=CommissionDD!$E$3,CommissionDD!$C$3,IF(C969&lt;=CommissionDD!$E$4,CommissionDD!$C$4,IF(C969&lt;=CommissionDD!$E$5,CommissionDD!$C$5,IF(C969&lt;=CommissionDD!$E$6,CommissionDD!$C$6,IF(C969&lt;=CommissionDD!$E$7,CommissionDD!$C$7,IF(C969&lt;=CommissionDD!$E$8,CommissionDD!$C$8,CommissionDD!$C$9))))))</f>
        <v>0.03</v>
      </c>
      <c r="F969" s="23" t="str">
        <f t="shared" si="47"/>
        <v/>
      </c>
      <c r="G969" s="23" t="str">
        <f>IF($B969="","",(Acc!$F969*CommissionDD!$C$30))</f>
        <v/>
      </c>
      <c r="H969" s="23" t="str">
        <f t="shared" si="45"/>
        <v/>
      </c>
    </row>
    <row r="970" spans="1:8">
      <c r="A970" s="21" t="str">
        <f t="shared" si="46"/>
        <v/>
      </c>
      <c r="B970" s="1" t="str">
        <f>IF(Cus!$B970&lt;&gt;"",Cus!$A970,"")</f>
        <v/>
      </c>
      <c r="C970" s="22" t="str">
        <f>IF($B970="","",Cus!$AA970)</f>
        <v/>
      </c>
      <c r="D970" s="23" t="str">
        <f>IF($B970="","",(Acc!$H970*$C970))</f>
        <v/>
      </c>
      <c r="E970" s="24">
        <f>IF(C970&lt;=CommissionDD!$E$3,CommissionDD!$C$3,IF(C970&lt;=CommissionDD!$E$4,CommissionDD!$C$4,IF(C970&lt;=CommissionDD!$E$5,CommissionDD!$C$5,IF(C970&lt;=CommissionDD!$E$6,CommissionDD!$C$6,IF(C970&lt;=CommissionDD!$E$7,CommissionDD!$C$7,IF(C970&lt;=CommissionDD!$E$8,CommissionDD!$C$8,CommissionDD!$C$9))))))</f>
        <v>0.03</v>
      </c>
      <c r="F970" s="23" t="str">
        <f t="shared" si="47"/>
        <v/>
      </c>
      <c r="G970" s="23" t="str">
        <f>IF($B970="","",(Acc!$F970*CommissionDD!$C$30))</f>
        <v/>
      </c>
      <c r="H970" s="23" t="str">
        <f t="shared" si="45"/>
        <v/>
      </c>
    </row>
    <row r="971" spans="1:8">
      <c r="A971" s="21" t="str">
        <f t="shared" si="46"/>
        <v/>
      </c>
      <c r="B971" s="1" t="str">
        <f>IF(Cus!$B971&lt;&gt;"",Cus!$A971,"")</f>
        <v/>
      </c>
      <c r="C971" s="22" t="str">
        <f>IF($B971="","",Cus!$AA971)</f>
        <v/>
      </c>
      <c r="D971" s="23" t="str">
        <f>IF($B971="","",(Acc!$H971*$C971))</f>
        <v/>
      </c>
      <c r="E971" s="24">
        <f>IF(C971&lt;=CommissionDD!$E$3,CommissionDD!$C$3,IF(C971&lt;=CommissionDD!$E$4,CommissionDD!$C$4,IF(C971&lt;=CommissionDD!$E$5,CommissionDD!$C$5,IF(C971&lt;=CommissionDD!$E$6,CommissionDD!$C$6,IF(C971&lt;=CommissionDD!$E$7,CommissionDD!$C$7,IF(C971&lt;=CommissionDD!$E$8,CommissionDD!$C$8,CommissionDD!$C$9))))))</f>
        <v>0.03</v>
      </c>
      <c r="F971" s="23" t="str">
        <f t="shared" si="47"/>
        <v/>
      </c>
      <c r="G971" s="23" t="str">
        <f>IF($B971="","",(Acc!$F971*CommissionDD!$C$30))</f>
        <v/>
      </c>
      <c r="H971" s="23" t="str">
        <f t="shared" si="45"/>
        <v/>
      </c>
    </row>
    <row r="972" spans="1:8">
      <c r="A972" s="21" t="str">
        <f t="shared" si="46"/>
        <v/>
      </c>
      <c r="B972" s="1" t="str">
        <f>IF(Cus!$B972&lt;&gt;"",Cus!$A972,"")</f>
        <v/>
      </c>
      <c r="C972" s="22" t="str">
        <f>IF($B972="","",Cus!$AA972)</f>
        <v/>
      </c>
      <c r="D972" s="23" t="str">
        <f>IF($B972="","",(Acc!$H972*$C972))</f>
        <v/>
      </c>
      <c r="E972" s="24">
        <f>IF(C972&lt;=CommissionDD!$E$3,CommissionDD!$C$3,IF(C972&lt;=CommissionDD!$E$4,CommissionDD!$C$4,IF(C972&lt;=CommissionDD!$E$5,CommissionDD!$C$5,IF(C972&lt;=CommissionDD!$E$6,CommissionDD!$C$6,IF(C972&lt;=CommissionDD!$E$7,CommissionDD!$C$7,IF(C972&lt;=CommissionDD!$E$8,CommissionDD!$C$8,CommissionDD!$C$9))))))</f>
        <v>0.03</v>
      </c>
      <c r="F972" s="23" t="str">
        <f t="shared" si="47"/>
        <v/>
      </c>
      <c r="G972" s="23" t="str">
        <f>IF($B972="","",(Acc!$F972*CommissionDD!$C$30))</f>
        <v/>
      </c>
      <c r="H972" s="23" t="str">
        <f t="shared" si="45"/>
        <v/>
      </c>
    </row>
    <row r="973" spans="1:8">
      <c r="A973" s="21" t="str">
        <f t="shared" si="46"/>
        <v/>
      </c>
      <c r="B973" s="1" t="str">
        <f>IF(Cus!$B973&lt;&gt;"",Cus!$A973,"")</f>
        <v/>
      </c>
      <c r="C973" s="22" t="str">
        <f>IF($B973="","",Cus!$AA973)</f>
        <v/>
      </c>
      <c r="D973" s="23" t="str">
        <f>IF($B973="","",(Acc!$H973*$C973))</f>
        <v/>
      </c>
      <c r="E973" s="24">
        <f>IF(C973&lt;=CommissionDD!$E$3,CommissionDD!$C$3,IF(C973&lt;=CommissionDD!$E$4,CommissionDD!$C$4,IF(C973&lt;=CommissionDD!$E$5,CommissionDD!$C$5,IF(C973&lt;=CommissionDD!$E$6,CommissionDD!$C$6,IF(C973&lt;=CommissionDD!$E$7,CommissionDD!$C$7,IF(C973&lt;=CommissionDD!$E$8,CommissionDD!$C$8,CommissionDD!$C$9))))))</f>
        <v>0.03</v>
      </c>
      <c r="F973" s="23" t="str">
        <f t="shared" si="47"/>
        <v/>
      </c>
      <c r="G973" s="23" t="str">
        <f>IF($B973="","",(Acc!$F973*CommissionDD!$C$30))</f>
        <v/>
      </c>
      <c r="H973" s="23" t="str">
        <f t="shared" si="45"/>
        <v/>
      </c>
    </row>
    <row r="974" spans="1:8">
      <c r="A974" s="21" t="str">
        <f t="shared" si="46"/>
        <v/>
      </c>
      <c r="B974" s="1" t="str">
        <f>IF(Cus!$B974&lt;&gt;"",Cus!$A974,"")</f>
        <v/>
      </c>
      <c r="C974" s="22" t="str">
        <f>IF($B974="","",Cus!$AA974)</f>
        <v/>
      </c>
      <c r="D974" s="23" t="str">
        <f>IF($B974="","",(Acc!$H974*$C974))</f>
        <v/>
      </c>
      <c r="E974" s="24">
        <f>IF(C974&lt;=CommissionDD!$E$3,CommissionDD!$C$3,IF(C974&lt;=CommissionDD!$E$4,CommissionDD!$C$4,IF(C974&lt;=CommissionDD!$E$5,CommissionDD!$C$5,IF(C974&lt;=CommissionDD!$E$6,CommissionDD!$C$6,IF(C974&lt;=CommissionDD!$E$7,CommissionDD!$C$7,IF(C974&lt;=CommissionDD!$E$8,CommissionDD!$C$8,CommissionDD!$C$9))))))</f>
        <v>0.03</v>
      </c>
      <c r="F974" s="23" t="str">
        <f t="shared" si="47"/>
        <v/>
      </c>
      <c r="G974" s="23" t="str">
        <f>IF($B974="","",(Acc!$F974*CommissionDD!$C$30))</f>
        <v/>
      </c>
      <c r="H974" s="23" t="str">
        <f t="shared" si="45"/>
        <v/>
      </c>
    </row>
    <row r="975" spans="1:8">
      <c r="A975" s="21" t="str">
        <f t="shared" si="46"/>
        <v/>
      </c>
      <c r="B975" s="1" t="str">
        <f>IF(Cus!$B975&lt;&gt;"",Cus!$A975,"")</f>
        <v/>
      </c>
      <c r="C975" s="22" t="str">
        <f>IF($B975="","",Cus!$AA975)</f>
        <v/>
      </c>
      <c r="D975" s="23" t="str">
        <f>IF($B975="","",(Acc!$H975*$C975))</f>
        <v/>
      </c>
      <c r="E975" s="24">
        <f>IF(C975&lt;=CommissionDD!$E$3,CommissionDD!$C$3,IF(C975&lt;=CommissionDD!$E$4,CommissionDD!$C$4,IF(C975&lt;=CommissionDD!$E$5,CommissionDD!$C$5,IF(C975&lt;=CommissionDD!$E$6,CommissionDD!$C$6,IF(C975&lt;=CommissionDD!$E$7,CommissionDD!$C$7,IF(C975&lt;=CommissionDD!$E$8,CommissionDD!$C$8,CommissionDD!$C$9))))))</f>
        <v>0.03</v>
      </c>
      <c r="F975" s="23" t="str">
        <f t="shared" si="47"/>
        <v/>
      </c>
      <c r="G975" s="23" t="str">
        <f>IF($B975="","",(Acc!$F975*CommissionDD!$C$30))</f>
        <v/>
      </c>
      <c r="H975" s="23" t="str">
        <f t="shared" si="45"/>
        <v/>
      </c>
    </row>
    <row r="976" spans="1:8">
      <c r="A976" s="21" t="str">
        <f t="shared" si="46"/>
        <v/>
      </c>
      <c r="B976" s="1" t="str">
        <f>IF(Cus!$B976&lt;&gt;"",Cus!$A976,"")</f>
        <v/>
      </c>
      <c r="C976" s="22" t="str">
        <f>IF($B976="","",Cus!$AA976)</f>
        <v/>
      </c>
      <c r="D976" s="23" t="str">
        <f>IF($B976="","",(Acc!$H976*$C976))</f>
        <v/>
      </c>
      <c r="E976" s="24">
        <f>IF(C976&lt;=CommissionDD!$E$3,CommissionDD!$C$3,IF(C976&lt;=CommissionDD!$E$4,CommissionDD!$C$4,IF(C976&lt;=CommissionDD!$E$5,CommissionDD!$C$5,IF(C976&lt;=CommissionDD!$E$6,CommissionDD!$C$6,IF(C976&lt;=CommissionDD!$E$7,CommissionDD!$C$7,IF(C976&lt;=CommissionDD!$E$8,CommissionDD!$C$8,CommissionDD!$C$9))))))</f>
        <v>0.03</v>
      </c>
      <c r="F976" s="23" t="str">
        <f t="shared" si="47"/>
        <v/>
      </c>
      <c r="G976" s="23" t="str">
        <f>IF($B976="","",(Acc!$F976*CommissionDD!$C$30))</f>
        <v/>
      </c>
      <c r="H976" s="23" t="str">
        <f t="shared" si="45"/>
        <v/>
      </c>
    </row>
    <row r="977" spans="1:8">
      <c r="A977" s="21" t="str">
        <f t="shared" si="46"/>
        <v/>
      </c>
      <c r="B977" s="1" t="str">
        <f>IF(Cus!$B977&lt;&gt;"",Cus!$A977,"")</f>
        <v/>
      </c>
      <c r="C977" s="22" t="str">
        <f>IF($B977="","",Cus!$AA977)</f>
        <v/>
      </c>
      <c r="D977" s="23" t="str">
        <f>IF($B977="","",(Acc!$H977*$C977))</f>
        <v/>
      </c>
      <c r="E977" s="24">
        <f>IF(C977&lt;=CommissionDD!$E$3,CommissionDD!$C$3,IF(C977&lt;=CommissionDD!$E$4,CommissionDD!$C$4,IF(C977&lt;=CommissionDD!$E$5,CommissionDD!$C$5,IF(C977&lt;=CommissionDD!$E$6,CommissionDD!$C$6,IF(C977&lt;=CommissionDD!$E$7,CommissionDD!$C$7,IF(C977&lt;=CommissionDD!$E$8,CommissionDD!$C$8,CommissionDD!$C$9))))))</f>
        <v>0.03</v>
      </c>
      <c r="F977" s="23" t="str">
        <f t="shared" si="47"/>
        <v/>
      </c>
      <c r="G977" s="23" t="str">
        <f>IF($B977="","",(Acc!$F977*CommissionDD!$C$30))</f>
        <v/>
      </c>
      <c r="H977" s="23" t="str">
        <f t="shared" si="45"/>
        <v/>
      </c>
    </row>
    <row r="978" spans="1:8">
      <c r="A978" s="21" t="str">
        <f t="shared" si="46"/>
        <v/>
      </c>
      <c r="B978" s="1" t="str">
        <f>IF(Cus!$B978&lt;&gt;"",Cus!$A978,"")</f>
        <v/>
      </c>
      <c r="C978" s="22" t="str">
        <f>IF($B978="","",Cus!$AA978)</f>
        <v/>
      </c>
      <c r="D978" s="23" t="str">
        <f>IF($B978="","",(Acc!$H978*$C978))</f>
        <v/>
      </c>
      <c r="E978" s="24">
        <f>IF(C978&lt;=CommissionDD!$E$3,CommissionDD!$C$3,IF(C978&lt;=CommissionDD!$E$4,CommissionDD!$C$4,IF(C978&lt;=CommissionDD!$E$5,CommissionDD!$C$5,IF(C978&lt;=CommissionDD!$E$6,CommissionDD!$C$6,IF(C978&lt;=CommissionDD!$E$7,CommissionDD!$C$7,IF(C978&lt;=CommissionDD!$E$8,CommissionDD!$C$8,CommissionDD!$C$9))))))</f>
        <v>0.03</v>
      </c>
      <c r="F978" s="23" t="str">
        <f t="shared" si="47"/>
        <v/>
      </c>
      <c r="G978" s="23" t="str">
        <f>IF($B978="","",(Acc!$F978*CommissionDD!$C$30))</f>
        <v/>
      </c>
      <c r="H978" s="23" t="str">
        <f t="shared" si="45"/>
        <v/>
      </c>
    </row>
    <row r="979" spans="1:8">
      <c r="A979" s="21" t="str">
        <f t="shared" si="46"/>
        <v/>
      </c>
      <c r="B979" s="1" t="str">
        <f>IF(Cus!$B979&lt;&gt;"",Cus!$A979,"")</f>
        <v/>
      </c>
      <c r="C979" s="22" t="str">
        <f>IF($B979="","",Cus!$AA979)</f>
        <v/>
      </c>
      <c r="D979" s="23" t="str">
        <f>IF($B979="","",(Acc!$H979*$C979))</f>
        <v/>
      </c>
      <c r="E979" s="24">
        <f>IF(C979&lt;=CommissionDD!$E$3,CommissionDD!$C$3,IF(C979&lt;=CommissionDD!$E$4,CommissionDD!$C$4,IF(C979&lt;=CommissionDD!$E$5,CommissionDD!$C$5,IF(C979&lt;=CommissionDD!$E$6,CommissionDD!$C$6,IF(C979&lt;=CommissionDD!$E$7,CommissionDD!$C$7,IF(C979&lt;=CommissionDD!$E$8,CommissionDD!$C$8,CommissionDD!$C$9))))))</f>
        <v>0.03</v>
      </c>
      <c r="F979" s="23" t="str">
        <f t="shared" si="47"/>
        <v/>
      </c>
      <c r="G979" s="23" t="str">
        <f>IF($B979="","",(Acc!$F979*CommissionDD!$C$30))</f>
        <v/>
      </c>
      <c r="H979" s="23" t="str">
        <f t="shared" si="45"/>
        <v/>
      </c>
    </row>
    <row r="980" spans="1:8">
      <c r="A980" s="21" t="str">
        <f t="shared" si="46"/>
        <v/>
      </c>
      <c r="B980" s="1" t="str">
        <f>IF(Cus!$B980&lt;&gt;"",Cus!$A980,"")</f>
        <v/>
      </c>
      <c r="C980" s="22" t="str">
        <f>IF($B980="","",Cus!$AA980)</f>
        <v/>
      </c>
      <c r="D980" s="23" t="str">
        <f>IF($B980="","",(Acc!$H980*$C980))</f>
        <v/>
      </c>
      <c r="E980" s="24">
        <f>IF(C980&lt;=CommissionDD!$E$3,CommissionDD!$C$3,IF(C980&lt;=CommissionDD!$E$4,CommissionDD!$C$4,IF(C980&lt;=CommissionDD!$E$5,CommissionDD!$C$5,IF(C980&lt;=CommissionDD!$E$6,CommissionDD!$C$6,IF(C980&lt;=CommissionDD!$E$7,CommissionDD!$C$7,IF(C980&lt;=CommissionDD!$E$8,CommissionDD!$C$8,CommissionDD!$C$9))))))</f>
        <v>0.03</v>
      </c>
      <c r="F980" s="23" t="str">
        <f t="shared" si="47"/>
        <v/>
      </c>
      <c r="G980" s="23" t="str">
        <f>IF($B980="","",(Acc!$F980*CommissionDD!$C$30))</f>
        <v/>
      </c>
      <c r="H980" s="23" t="str">
        <f t="shared" si="45"/>
        <v/>
      </c>
    </row>
    <row r="981" spans="1:8">
      <c r="A981" s="21" t="str">
        <f t="shared" si="46"/>
        <v/>
      </c>
      <c r="B981" s="1" t="str">
        <f>IF(Cus!$B981&lt;&gt;"",Cus!$A981,"")</f>
        <v/>
      </c>
      <c r="C981" s="22" t="str">
        <f>IF($B981="","",Cus!$AA981)</f>
        <v/>
      </c>
      <c r="D981" s="23" t="str">
        <f>IF($B981="","",(Acc!$H981*$C981))</f>
        <v/>
      </c>
      <c r="E981" s="24">
        <f>IF(C981&lt;=CommissionDD!$E$3,CommissionDD!$C$3,IF(C981&lt;=CommissionDD!$E$4,CommissionDD!$C$4,IF(C981&lt;=CommissionDD!$E$5,CommissionDD!$C$5,IF(C981&lt;=CommissionDD!$E$6,CommissionDD!$C$6,IF(C981&lt;=CommissionDD!$E$7,CommissionDD!$C$7,IF(C981&lt;=CommissionDD!$E$8,CommissionDD!$C$8,CommissionDD!$C$9))))))</f>
        <v>0.03</v>
      </c>
      <c r="F981" s="23" t="str">
        <f t="shared" si="47"/>
        <v/>
      </c>
      <c r="G981" s="23" t="str">
        <f>IF($B981="","",(Acc!$F981*CommissionDD!$C$30))</f>
        <v/>
      </c>
      <c r="H981" s="23" t="str">
        <f t="shared" si="45"/>
        <v/>
      </c>
    </row>
    <row r="982" spans="1:8">
      <c r="A982" s="21" t="str">
        <f t="shared" si="46"/>
        <v/>
      </c>
      <c r="B982" s="1" t="str">
        <f>IF(Cus!$B982&lt;&gt;"",Cus!$A982,"")</f>
        <v/>
      </c>
      <c r="C982" s="22" t="str">
        <f>IF($B982="","",Cus!$AA982)</f>
        <v/>
      </c>
      <c r="D982" s="23" t="str">
        <f>IF($B982="","",(Acc!$H982*$C982))</f>
        <v/>
      </c>
      <c r="E982" s="24">
        <f>IF(C982&lt;=CommissionDD!$E$3,CommissionDD!$C$3,IF(C982&lt;=CommissionDD!$E$4,CommissionDD!$C$4,IF(C982&lt;=CommissionDD!$E$5,CommissionDD!$C$5,IF(C982&lt;=CommissionDD!$E$6,CommissionDD!$C$6,IF(C982&lt;=CommissionDD!$E$7,CommissionDD!$C$7,IF(C982&lt;=CommissionDD!$E$8,CommissionDD!$C$8,CommissionDD!$C$9))))))</f>
        <v>0.03</v>
      </c>
      <c r="F982" s="23" t="str">
        <f t="shared" si="47"/>
        <v/>
      </c>
      <c r="G982" s="23" t="str">
        <f>IF($B982="","",(Acc!$F982*CommissionDD!$C$30))</f>
        <v/>
      </c>
      <c r="H982" s="23" t="str">
        <f t="shared" si="45"/>
        <v/>
      </c>
    </row>
    <row r="983" spans="1:8">
      <c r="A983" s="21" t="str">
        <f t="shared" si="46"/>
        <v/>
      </c>
      <c r="B983" s="1" t="str">
        <f>IF(Cus!$B983&lt;&gt;"",Cus!$A983,"")</f>
        <v/>
      </c>
      <c r="C983" s="22" t="str">
        <f>IF($B983="","",Cus!$AA983)</f>
        <v/>
      </c>
      <c r="D983" s="23" t="str">
        <f>IF($B983="","",(Acc!$H983*$C983))</f>
        <v/>
      </c>
      <c r="E983" s="24">
        <f>IF(C983&lt;=CommissionDD!$E$3,CommissionDD!$C$3,IF(C983&lt;=CommissionDD!$E$4,CommissionDD!$C$4,IF(C983&lt;=CommissionDD!$E$5,CommissionDD!$C$5,IF(C983&lt;=CommissionDD!$E$6,CommissionDD!$C$6,IF(C983&lt;=CommissionDD!$E$7,CommissionDD!$C$7,IF(C983&lt;=CommissionDD!$E$8,CommissionDD!$C$8,CommissionDD!$C$9))))))</f>
        <v>0.03</v>
      </c>
      <c r="F983" s="23" t="str">
        <f t="shared" si="47"/>
        <v/>
      </c>
      <c r="G983" s="23" t="str">
        <f>IF($B983="","",(Acc!$F983*CommissionDD!$C$30))</f>
        <v/>
      </c>
      <c r="H983" s="23" t="str">
        <f t="shared" si="45"/>
        <v/>
      </c>
    </row>
    <row r="984" spans="1:8">
      <c r="A984" s="21" t="str">
        <f t="shared" si="46"/>
        <v/>
      </c>
      <c r="B984" s="1" t="str">
        <f>IF(Cus!$B984&lt;&gt;"",Cus!$A984,"")</f>
        <v/>
      </c>
      <c r="C984" s="22" t="str">
        <f>IF($B984="","",Cus!$AA984)</f>
        <v/>
      </c>
      <c r="D984" s="23" t="str">
        <f>IF($B984="","",(Acc!$H984*$C984))</f>
        <v/>
      </c>
      <c r="E984" s="24">
        <f>IF(C984&lt;=CommissionDD!$E$3,CommissionDD!$C$3,IF(C984&lt;=CommissionDD!$E$4,CommissionDD!$C$4,IF(C984&lt;=CommissionDD!$E$5,CommissionDD!$C$5,IF(C984&lt;=CommissionDD!$E$6,CommissionDD!$C$6,IF(C984&lt;=CommissionDD!$E$7,CommissionDD!$C$7,IF(C984&lt;=CommissionDD!$E$8,CommissionDD!$C$8,CommissionDD!$C$9))))))</f>
        <v>0.03</v>
      </c>
      <c r="F984" s="23" t="str">
        <f t="shared" si="47"/>
        <v/>
      </c>
      <c r="G984" s="23" t="str">
        <f>IF($B984="","",(Acc!$F984*CommissionDD!$C$30))</f>
        <v/>
      </c>
      <c r="H984" s="23" t="str">
        <f t="shared" si="45"/>
        <v/>
      </c>
    </row>
    <row r="985" spans="1:8">
      <c r="A985" s="21" t="str">
        <f t="shared" si="46"/>
        <v/>
      </c>
      <c r="B985" s="1" t="str">
        <f>IF(Cus!$B985&lt;&gt;"",Cus!$A985,"")</f>
        <v/>
      </c>
      <c r="C985" s="22" t="str">
        <f>IF($B985="","",Cus!$AA985)</f>
        <v/>
      </c>
      <c r="D985" s="23" t="str">
        <f>IF($B985="","",(Acc!$H985*$C985))</f>
        <v/>
      </c>
      <c r="E985" s="24">
        <f>IF(C985&lt;=CommissionDD!$E$3,CommissionDD!$C$3,IF(C985&lt;=CommissionDD!$E$4,CommissionDD!$C$4,IF(C985&lt;=CommissionDD!$E$5,CommissionDD!$C$5,IF(C985&lt;=CommissionDD!$E$6,CommissionDD!$C$6,IF(C985&lt;=CommissionDD!$E$7,CommissionDD!$C$7,IF(C985&lt;=CommissionDD!$E$8,CommissionDD!$C$8,CommissionDD!$C$9))))))</f>
        <v>0.03</v>
      </c>
      <c r="F985" s="23" t="str">
        <f t="shared" si="47"/>
        <v/>
      </c>
      <c r="G985" s="23" t="str">
        <f>IF($B985="","",(Acc!$F985*CommissionDD!$C$30))</f>
        <v/>
      </c>
      <c r="H985" s="23" t="str">
        <f t="shared" si="45"/>
        <v/>
      </c>
    </row>
    <row r="986" spans="1:8">
      <c r="A986" s="21" t="str">
        <f t="shared" si="46"/>
        <v/>
      </c>
      <c r="B986" s="1" t="str">
        <f>IF(Cus!$B986&lt;&gt;"",Cus!$A986,"")</f>
        <v/>
      </c>
      <c r="C986" s="22" t="str">
        <f>IF($B986="","",Cus!$AA986)</f>
        <v/>
      </c>
      <c r="D986" s="23" t="str">
        <f>IF($B986="","",(Acc!$H986*$C986))</f>
        <v/>
      </c>
      <c r="E986" s="24">
        <f>IF(C986&lt;=CommissionDD!$E$3,CommissionDD!$C$3,IF(C986&lt;=CommissionDD!$E$4,CommissionDD!$C$4,IF(C986&lt;=CommissionDD!$E$5,CommissionDD!$C$5,IF(C986&lt;=CommissionDD!$E$6,CommissionDD!$C$6,IF(C986&lt;=CommissionDD!$E$7,CommissionDD!$C$7,IF(C986&lt;=CommissionDD!$E$8,CommissionDD!$C$8,CommissionDD!$C$9))))))</f>
        <v>0.03</v>
      </c>
      <c r="F986" s="23" t="str">
        <f t="shared" si="47"/>
        <v/>
      </c>
      <c r="G986" s="23" t="str">
        <f>IF($B986="","",(Acc!$F986*CommissionDD!$C$30))</f>
        <v/>
      </c>
      <c r="H986" s="23" t="str">
        <f t="shared" si="45"/>
        <v/>
      </c>
    </row>
    <row r="987" spans="1:8">
      <c r="A987" s="21" t="str">
        <f t="shared" si="46"/>
        <v/>
      </c>
      <c r="B987" s="1" t="str">
        <f>IF(Cus!$B987&lt;&gt;"",Cus!$A987,"")</f>
        <v/>
      </c>
      <c r="C987" s="22" t="str">
        <f>IF($B987="","",Cus!$AA987)</f>
        <v/>
      </c>
      <c r="D987" s="23" t="str">
        <f>IF($B987="","",(Acc!$H987*$C987))</f>
        <v/>
      </c>
      <c r="E987" s="24">
        <f>IF(C987&lt;=CommissionDD!$E$3,CommissionDD!$C$3,IF(C987&lt;=CommissionDD!$E$4,CommissionDD!$C$4,IF(C987&lt;=CommissionDD!$E$5,CommissionDD!$C$5,IF(C987&lt;=CommissionDD!$E$6,CommissionDD!$C$6,IF(C987&lt;=CommissionDD!$E$7,CommissionDD!$C$7,IF(C987&lt;=CommissionDD!$E$8,CommissionDD!$C$8,CommissionDD!$C$9))))))</f>
        <v>0.03</v>
      </c>
      <c r="F987" s="23" t="str">
        <f t="shared" si="47"/>
        <v/>
      </c>
      <c r="G987" s="23" t="str">
        <f>IF($B987="","",(Acc!$F987*CommissionDD!$C$30))</f>
        <v/>
      </c>
      <c r="H987" s="23" t="str">
        <f t="shared" si="45"/>
        <v/>
      </c>
    </row>
    <row r="988" spans="1:8">
      <c r="A988" s="21" t="str">
        <f t="shared" si="46"/>
        <v/>
      </c>
      <c r="B988" s="1" t="str">
        <f>IF(Cus!$B988&lt;&gt;"",Cus!$A988,"")</f>
        <v/>
      </c>
      <c r="C988" s="22" t="str">
        <f>IF($B988="","",Cus!$AA988)</f>
        <v/>
      </c>
      <c r="D988" s="23" t="str">
        <f>IF($B988="","",(Acc!$H988*$C988))</f>
        <v/>
      </c>
      <c r="E988" s="24">
        <f>IF(C988&lt;=CommissionDD!$E$3,CommissionDD!$C$3,IF(C988&lt;=CommissionDD!$E$4,CommissionDD!$C$4,IF(C988&lt;=CommissionDD!$E$5,CommissionDD!$C$5,IF(C988&lt;=CommissionDD!$E$6,CommissionDD!$C$6,IF(C988&lt;=CommissionDD!$E$7,CommissionDD!$C$7,IF(C988&lt;=CommissionDD!$E$8,CommissionDD!$C$8,CommissionDD!$C$9))))))</f>
        <v>0.03</v>
      </c>
      <c r="F988" s="23" t="str">
        <f t="shared" si="47"/>
        <v/>
      </c>
      <c r="G988" s="23" t="str">
        <f>IF($B988="","",(Acc!$F988*CommissionDD!$C$30))</f>
        <v/>
      </c>
      <c r="H988" s="23" t="str">
        <f t="shared" si="45"/>
        <v/>
      </c>
    </row>
    <row r="989" spans="1:8">
      <c r="A989" s="21" t="str">
        <f t="shared" si="46"/>
        <v/>
      </c>
      <c r="B989" s="1" t="str">
        <f>IF(Cus!$B989&lt;&gt;"",Cus!$A989,"")</f>
        <v/>
      </c>
      <c r="C989" s="22" t="str">
        <f>IF($B989="","",Cus!$AA989)</f>
        <v/>
      </c>
      <c r="D989" s="23" t="str">
        <f>IF($B989="","",(Acc!$H989*$C989))</f>
        <v/>
      </c>
      <c r="E989" s="24">
        <f>IF(C989&lt;=CommissionDD!$E$3,CommissionDD!$C$3,IF(C989&lt;=CommissionDD!$E$4,CommissionDD!$C$4,IF(C989&lt;=CommissionDD!$E$5,CommissionDD!$C$5,IF(C989&lt;=CommissionDD!$E$6,CommissionDD!$C$6,IF(C989&lt;=CommissionDD!$E$7,CommissionDD!$C$7,IF(C989&lt;=CommissionDD!$E$8,CommissionDD!$C$8,CommissionDD!$C$9))))))</f>
        <v>0.03</v>
      </c>
      <c r="F989" s="23" t="str">
        <f t="shared" si="47"/>
        <v/>
      </c>
      <c r="G989" s="23" t="str">
        <f>IF($B989="","",(Acc!$F989*CommissionDD!$C$30))</f>
        <v/>
      </c>
      <c r="H989" s="23" t="str">
        <f t="shared" si="45"/>
        <v/>
      </c>
    </row>
    <row r="990" spans="1:8">
      <c r="A990" s="21" t="str">
        <f t="shared" si="46"/>
        <v/>
      </c>
      <c r="B990" s="1" t="str">
        <f>IF(Cus!$B990&lt;&gt;"",Cus!$A990,"")</f>
        <v/>
      </c>
      <c r="C990" s="22" t="str">
        <f>IF($B990="","",Cus!$AA990)</f>
        <v/>
      </c>
      <c r="D990" s="23" t="str">
        <f>IF($B990="","",(Acc!$H990*$C990))</f>
        <v/>
      </c>
      <c r="E990" s="24">
        <f>IF(C990&lt;=CommissionDD!$E$3,CommissionDD!$C$3,IF(C990&lt;=CommissionDD!$E$4,CommissionDD!$C$4,IF(C990&lt;=CommissionDD!$E$5,CommissionDD!$C$5,IF(C990&lt;=CommissionDD!$E$6,CommissionDD!$C$6,IF(C990&lt;=CommissionDD!$E$7,CommissionDD!$C$7,IF(C990&lt;=CommissionDD!$E$8,CommissionDD!$C$8,CommissionDD!$C$9))))))</f>
        <v>0.03</v>
      </c>
      <c r="F990" s="23" t="str">
        <f t="shared" si="47"/>
        <v/>
      </c>
      <c r="G990" s="23" t="str">
        <f>IF($B990="","",(Acc!$F990*CommissionDD!$C$30))</f>
        <v/>
      </c>
      <c r="H990" s="23" t="str">
        <f t="shared" si="45"/>
        <v/>
      </c>
    </row>
    <row r="991" spans="1:8">
      <c r="A991" s="21" t="str">
        <f t="shared" si="46"/>
        <v/>
      </c>
      <c r="B991" s="1" t="str">
        <f>IF(Cus!$B991&lt;&gt;"",Cus!$A991,"")</f>
        <v/>
      </c>
      <c r="C991" s="22" t="str">
        <f>IF($B991="","",Cus!$AA991)</f>
        <v/>
      </c>
      <c r="D991" s="23" t="str">
        <f>IF($B991="","",(Acc!$H991*$C991))</f>
        <v/>
      </c>
      <c r="E991" s="24">
        <f>IF(C991&lt;=CommissionDD!$E$3,CommissionDD!$C$3,IF(C991&lt;=CommissionDD!$E$4,CommissionDD!$C$4,IF(C991&lt;=CommissionDD!$E$5,CommissionDD!$C$5,IF(C991&lt;=CommissionDD!$E$6,CommissionDD!$C$6,IF(C991&lt;=CommissionDD!$E$7,CommissionDD!$C$7,IF(C991&lt;=CommissionDD!$E$8,CommissionDD!$C$8,CommissionDD!$C$9))))))</f>
        <v>0.03</v>
      </c>
      <c r="F991" s="23" t="str">
        <f t="shared" si="47"/>
        <v/>
      </c>
      <c r="G991" s="23" t="str">
        <f>IF($B991="","",(Acc!$F991*CommissionDD!$C$30))</f>
        <v/>
      </c>
      <c r="H991" s="23" t="str">
        <f t="shared" si="45"/>
        <v/>
      </c>
    </row>
    <row r="992" spans="1:8">
      <c r="A992" s="21" t="str">
        <f t="shared" si="46"/>
        <v/>
      </c>
      <c r="B992" s="1" t="str">
        <f>IF(Cus!$B992&lt;&gt;"",Cus!$A992,"")</f>
        <v/>
      </c>
      <c r="C992" s="22" t="str">
        <f>IF($B992="","",Cus!$AA992)</f>
        <v/>
      </c>
      <c r="D992" s="23" t="str">
        <f>IF($B992="","",(Acc!$H992*$C992))</f>
        <v/>
      </c>
      <c r="E992" s="24">
        <f>IF(C992&lt;=CommissionDD!$E$3,CommissionDD!$C$3,IF(C992&lt;=CommissionDD!$E$4,CommissionDD!$C$4,IF(C992&lt;=CommissionDD!$E$5,CommissionDD!$C$5,IF(C992&lt;=CommissionDD!$E$6,CommissionDD!$C$6,IF(C992&lt;=CommissionDD!$E$7,CommissionDD!$C$7,IF(C992&lt;=CommissionDD!$E$8,CommissionDD!$C$8,CommissionDD!$C$9))))))</f>
        <v>0.03</v>
      </c>
      <c r="F992" s="23" t="str">
        <f t="shared" si="47"/>
        <v/>
      </c>
      <c r="G992" s="23" t="str">
        <f>IF($B992="","",(Acc!$F992*CommissionDD!$C$30))</f>
        <v/>
      </c>
      <c r="H992" s="23" t="str">
        <f t="shared" si="45"/>
        <v/>
      </c>
    </row>
    <row r="993" spans="1:8">
      <c r="A993" s="21" t="str">
        <f t="shared" si="46"/>
        <v/>
      </c>
      <c r="B993" s="1" t="str">
        <f>IF(Cus!$B993&lt;&gt;"",Cus!$A993,"")</f>
        <v/>
      </c>
      <c r="C993" s="22" t="str">
        <f>IF($B993="","",Cus!$AA993)</f>
        <v/>
      </c>
      <c r="D993" s="23" t="str">
        <f>IF($B993="","",(Acc!$H993*$C993))</f>
        <v/>
      </c>
      <c r="E993" s="24">
        <f>IF(C993&lt;=CommissionDD!$E$3,CommissionDD!$C$3,IF(C993&lt;=CommissionDD!$E$4,CommissionDD!$C$4,IF(C993&lt;=CommissionDD!$E$5,CommissionDD!$C$5,IF(C993&lt;=CommissionDD!$E$6,CommissionDD!$C$6,IF(C993&lt;=CommissionDD!$E$7,CommissionDD!$C$7,IF(C993&lt;=CommissionDD!$E$8,CommissionDD!$C$8,CommissionDD!$C$9))))))</f>
        <v>0.03</v>
      </c>
      <c r="F993" s="23" t="str">
        <f t="shared" si="47"/>
        <v/>
      </c>
      <c r="G993" s="23" t="str">
        <f>IF($B993="","",(Acc!$F993*CommissionDD!$C$30))</f>
        <v/>
      </c>
      <c r="H993" s="23" t="str">
        <f t="shared" si="45"/>
        <v/>
      </c>
    </row>
    <row r="994" spans="1:8">
      <c r="A994" s="21" t="str">
        <f t="shared" si="46"/>
        <v/>
      </c>
      <c r="B994" s="1" t="str">
        <f>IF(Cus!$B994&lt;&gt;"",Cus!$A994,"")</f>
        <v/>
      </c>
      <c r="C994" s="22" t="str">
        <f>IF($B994="","",Cus!$AA994)</f>
        <v/>
      </c>
      <c r="D994" s="23" t="str">
        <f>IF($B994="","",(Acc!$H994*$C994))</f>
        <v/>
      </c>
      <c r="E994" s="24">
        <f>IF(C994&lt;=CommissionDD!$E$3,CommissionDD!$C$3,IF(C994&lt;=CommissionDD!$E$4,CommissionDD!$C$4,IF(C994&lt;=CommissionDD!$E$5,CommissionDD!$C$5,IF(C994&lt;=CommissionDD!$E$6,CommissionDD!$C$6,IF(C994&lt;=CommissionDD!$E$7,CommissionDD!$C$7,IF(C994&lt;=CommissionDD!$E$8,CommissionDD!$C$8,CommissionDD!$C$9))))))</f>
        <v>0.03</v>
      </c>
      <c r="F994" s="23" t="str">
        <f t="shared" si="47"/>
        <v/>
      </c>
      <c r="G994" s="23" t="str">
        <f>IF($B994="","",(Acc!$F994*CommissionDD!$C$30))</f>
        <v/>
      </c>
      <c r="H994" s="23" t="str">
        <f t="shared" si="45"/>
        <v/>
      </c>
    </row>
    <row r="995" spans="1:8">
      <c r="A995" s="21" t="str">
        <f t="shared" si="46"/>
        <v/>
      </c>
      <c r="B995" s="1" t="str">
        <f>IF(Cus!$B995&lt;&gt;"",Cus!$A995,"")</f>
        <v/>
      </c>
      <c r="C995" s="22" t="str">
        <f>IF($B995="","",Cus!$AA995)</f>
        <v/>
      </c>
      <c r="D995" s="23" t="str">
        <f>IF($B995="","",(Acc!$H995*$C995))</f>
        <v/>
      </c>
      <c r="E995" s="24">
        <f>IF(C995&lt;=CommissionDD!$E$3,CommissionDD!$C$3,IF(C995&lt;=CommissionDD!$E$4,CommissionDD!$C$4,IF(C995&lt;=CommissionDD!$E$5,CommissionDD!$C$5,IF(C995&lt;=CommissionDD!$E$6,CommissionDD!$C$6,IF(C995&lt;=CommissionDD!$E$7,CommissionDD!$C$7,IF(C995&lt;=CommissionDD!$E$8,CommissionDD!$C$8,CommissionDD!$C$9))))))</f>
        <v>0.03</v>
      </c>
      <c r="F995" s="23" t="str">
        <f t="shared" si="47"/>
        <v/>
      </c>
      <c r="G995" s="23" t="str">
        <f>IF($B995="","",(Acc!$F995*CommissionDD!$C$30))</f>
        <v/>
      </c>
      <c r="H995" s="23" t="str">
        <f t="shared" si="45"/>
        <v/>
      </c>
    </row>
    <row r="996" spans="1:8">
      <c r="A996" s="21" t="str">
        <f t="shared" si="46"/>
        <v/>
      </c>
      <c r="B996" s="1" t="str">
        <f>IF(Cus!$B996&lt;&gt;"",Cus!$A996,"")</f>
        <v/>
      </c>
      <c r="C996" s="22" t="str">
        <f>IF($B996="","",Cus!$AA996)</f>
        <v/>
      </c>
      <c r="D996" s="23" t="str">
        <f>IF($B996="","",(Acc!$H996*$C996))</f>
        <v/>
      </c>
      <c r="E996" s="24">
        <f>IF(C996&lt;=CommissionDD!$E$3,CommissionDD!$C$3,IF(C996&lt;=CommissionDD!$E$4,CommissionDD!$C$4,IF(C996&lt;=CommissionDD!$E$5,CommissionDD!$C$5,IF(C996&lt;=CommissionDD!$E$6,CommissionDD!$C$6,IF(C996&lt;=CommissionDD!$E$7,CommissionDD!$C$7,IF(C996&lt;=CommissionDD!$E$8,CommissionDD!$C$8,CommissionDD!$C$9))))))</f>
        <v>0.03</v>
      </c>
      <c r="F996" s="23" t="str">
        <f t="shared" si="47"/>
        <v/>
      </c>
      <c r="G996" s="23" t="str">
        <f>IF($B996="","",(Acc!$F996*CommissionDD!$C$30))</f>
        <v/>
      </c>
      <c r="H996" s="23" t="str">
        <f t="shared" si="45"/>
        <v/>
      </c>
    </row>
    <row r="997" spans="1:8">
      <c r="A997" s="21" t="str">
        <f t="shared" si="46"/>
        <v/>
      </c>
      <c r="B997" s="1" t="str">
        <f>IF(Cus!$B997&lt;&gt;"",Cus!$A997,"")</f>
        <v/>
      </c>
      <c r="C997" s="22" t="str">
        <f>IF($B997="","",Cus!$AA997)</f>
        <v/>
      </c>
      <c r="D997" s="23" t="str">
        <f>IF($B997="","",(Acc!$H997*$C997))</f>
        <v/>
      </c>
      <c r="E997" s="24">
        <f>IF(C997&lt;=CommissionDD!$E$3,CommissionDD!$C$3,IF(C997&lt;=CommissionDD!$E$4,CommissionDD!$C$4,IF(C997&lt;=CommissionDD!$E$5,CommissionDD!$C$5,IF(C997&lt;=CommissionDD!$E$6,CommissionDD!$C$6,IF(C997&lt;=CommissionDD!$E$7,CommissionDD!$C$7,IF(C997&lt;=CommissionDD!$E$8,CommissionDD!$C$8,CommissionDD!$C$9))))))</f>
        <v>0.03</v>
      </c>
      <c r="F997" s="23" t="str">
        <f t="shared" si="47"/>
        <v/>
      </c>
      <c r="G997" s="23" t="str">
        <f>IF($B997="","",(Acc!$F997*CommissionDD!$C$30))</f>
        <v/>
      </c>
      <c r="H997" s="23" t="str">
        <f t="shared" si="45"/>
        <v/>
      </c>
    </row>
    <row r="998" spans="1:8">
      <c r="A998" s="21" t="str">
        <f t="shared" si="46"/>
        <v/>
      </c>
      <c r="B998" s="1" t="str">
        <f>IF(Cus!$B998&lt;&gt;"",Cus!$A998,"")</f>
        <v/>
      </c>
      <c r="C998" s="22" t="str">
        <f>IF($B998="","",Cus!$AA998)</f>
        <v/>
      </c>
      <c r="D998" s="23" t="str">
        <f>IF($B998="","",(Acc!$H998*$C998))</f>
        <v/>
      </c>
      <c r="E998" s="24">
        <f>IF(C998&lt;=CommissionDD!$E$3,CommissionDD!$C$3,IF(C998&lt;=CommissionDD!$E$4,CommissionDD!$C$4,IF(C998&lt;=CommissionDD!$E$5,CommissionDD!$C$5,IF(C998&lt;=CommissionDD!$E$6,CommissionDD!$C$6,IF(C998&lt;=CommissionDD!$E$7,CommissionDD!$C$7,IF(C998&lt;=CommissionDD!$E$8,CommissionDD!$C$8,CommissionDD!$C$9))))))</f>
        <v>0.03</v>
      </c>
      <c r="F998" s="23" t="str">
        <f t="shared" si="47"/>
        <v/>
      </c>
      <c r="G998" s="23" t="str">
        <f>IF($B998="","",(Acc!$F998*CommissionDD!$C$30))</f>
        <v/>
      </c>
      <c r="H998" s="23" t="str">
        <f t="shared" si="45"/>
        <v/>
      </c>
    </row>
    <row r="999" spans="1:8">
      <c r="A999" s="21" t="str">
        <f t="shared" si="46"/>
        <v/>
      </c>
      <c r="B999" s="1" t="str">
        <f>IF(Cus!$B999&lt;&gt;"",Cus!$A999,"")</f>
        <v/>
      </c>
      <c r="C999" s="22" t="str">
        <f>IF($B999="","",Cus!$AA999)</f>
        <v/>
      </c>
      <c r="D999" s="23" t="str">
        <f>IF($B999="","",(Acc!$H999*$C999))</f>
        <v/>
      </c>
      <c r="E999" s="24">
        <f>IF(C999&lt;=CommissionDD!$E$3,CommissionDD!$C$3,IF(C999&lt;=CommissionDD!$E$4,CommissionDD!$C$4,IF(C999&lt;=CommissionDD!$E$5,CommissionDD!$C$5,IF(C999&lt;=CommissionDD!$E$6,CommissionDD!$C$6,IF(C999&lt;=CommissionDD!$E$7,CommissionDD!$C$7,IF(C999&lt;=CommissionDD!$E$8,CommissionDD!$C$8,CommissionDD!$C$9))))))</f>
        <v>0.03</v>
      </c>
      <c r="F999" s="23" t="str">
        <f t="shared" si="47"/>
        <v/>
      </c>
      <c r="G999" s="23" t="str">
        <f>IF($B999="","",(Acc!$F999*CommissionDD!$C$30))</f>
        <v/>
      </c>
      <c r="H999" s="23" t="str">
        <f t="shared" si="45"/>
        <v/>
      </c>
    </row>
    <row r="1000" spans="1:8">
      <c r="A1000" s="21" t="str">
        <f t="shared" si="46"/>
        <v/>
      </c>
      <c r="B1000" s="1" t="str">
        <f>IF(Cus!$B1000&lt;&gt;"",Cus!$A1000,"")</f>
        <v/>
      </c>
      <c r="C1000" s="22" t="str">
        <f>IF($B1000="","",Cus!$AA1000)</f>
        <v/>
      </c>
      <c r="D1000" s="23" t="str">
        <f>IF($B1000="","",(Acc!$H1000*$C1000))</f>
        <v/>
      </c>
      <c r="E1000" s="24">
        <f>IF(C1000&lt;=CommissionDD!$E$3,CommissionDD!$C$3,IF(C1000&lt;=CommissionDD!$E$4,CommissionDD!$C$4,IF(C1000&lt;=CommissionDD!$E$5,CommissionDD!$C$5,IF(C1000&lt;=CommissionDD!$E$6,CommissionDD!$C$6,IF(C1000&lt;=CommissionDD!$E$7,CommissionDD!$C$7,IF(C1000&lt;=CommissionDD!$E$8,CommissionDD!$C$8,CommissionDD!$C$9))))))</f>
        <v>0.03</v>
      </c>
      <c r="F1000" s="23" t="str">
        <f t="shared" si="47"/>
        <v/>
      </c>
      <c r="G1000" s="23" t="str">
        <f>IF($B1000="","",(Acc!$F1000*CommissionDD!$C$30))</f>
        <v/>
      </c>
      <c r="H1000" s="23" t="str">
        <f t="shared" si="45"/>
        <v/>
      </c>
    </row>
    <row r="1001" spans="1:8">
      <c r="A1001" s="21" t="str">
        <f t="shared" si="46"/>
        <v/>
      </c>
      <c r="B1001" s="1" t="str">
        <f>IF(Cus!$B1001&lt;&gt;"",Cus!$A1001,"")</f>
        <v/>
      </c>
      <c r="C1001" s="22" t="str">
        <f>IF($B1001="","",Cus!$AA1001)</f>
        <v/>
      </c>
      <c r="D1001" s="23" t="str">
        <f>IF($B1001="","",(Acc!$H1001*$C1001))</f>
        <v/>
      </c>
      <c r="E1001" s="24">
        <f>IF(C1001&lt;=CommissionDD!$E$3,CommissionDD!$C$3,IF(C1001&lt;=CommissionDD!$E$4,CommissionDD!$C$4,IF(C1001&lt;=CommissionDD!$E$5,CommissionDD!$C$5,IF(C1001&lt;=CommissionDD!$E$6,CommissionDD!$C$6,IF(C1001&lt;=CommissionDD!$E$7,CommissionDD!$C$7,IF(C1001&lt;=CommissionDD!$E$8,CommissionDD!$C$8,CommissionDD!$C$9))))))</f>
        <v>0.03</v>
      </c>
      <c r="F1001" s="23" t="str">
        <f t="shared" si="47"/>
        <v/>
      </c>
      <c r="G1001" s="23" t="str">
        <f>IF($B1001="","",(Acc!$F1001*CommissionDD!$C$30))</f>
        <v/>
      </c>
      <c r="H1001" s="23" t="str">
        <f t="shared" si="45"/>
        <v/>
      </c>
    </row>
  </sheetData>
  <sheetProtection password="DFA4" sheet="1" objects="1" scenarios="1"/>
  <dataValidations count="1">
    <dataValidation errorStyle="warning" showInputMessage="1" showErrorMessage="1" error="Do not change values" sqref="B2:B1001"/>
  </dataValidations>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sheetPr codeName="Sheet6">
    <tabColor rgb="FFC00000"/>
  </sheetPr>
  <dimension ref="A1:I100"/>
  <sheetViews>
    <sheetView workbookViewId="0">
      <pane ySplit="1" topLeftCell="A2" activePane="bottomLeft" state="frozen"/>
      <selection pane="bottomLeft" activeCell="A2" sqref="A2"/>
    </sheetView>
  </sheetViews>
  <sheetFormatPr defaultRowHeight="15"/>
  <cols>
    <col min="1" max="1" width="7.140625" bestFit="1" customWidth="1"/>
    <col min="2" max="4" width="13.7109375" customWidth="1"/>
    <col min="5" max="5" width="17.42578125" bestFit="1" customWidth="1"/>
    <col min="6" max="6" width="13.7109375" customWidth="1"/>
    <col min="7" max="7" width="16.28515625" bestFit="1" customWidth="1"/>
    <col min="8" max="8" width="13.7109375" customWidth="1"/>
    <col min="9" max="9" width="15.85546875" bestFit="1" customWidth="1"/>
  </cols>
  <sheetData>
    <row r="1" spans="1:9" s="20" customFormat="1" ht="25.5">
      <c r="A1" s="19" t="s">
        <v>95</v>
      </c>
      <c r="B1" s="20" t="s">
        <v>2</v>
      </c>
      <c r="C1" s="19" t="s">
        <v>38</v>
      </c>
      <c r="D1" s="19" t="s">
        <v>96</v>
      </c>
      <c r="E1" s="20" t="s">
        <v>50</v>
      </c>
      <c r="F1" s="19" t="s">
        <v>51</v>
      </c>
      <c r="G1" s="19" t="s">
        <v>53</v>
      </c>
      <c r="H1" s="19" t="s">
        <v>52</v>
      </c>
      <c r="I1" s="20" t="s">
        <v>49</v>
      </c>
    </row>
    <row r="2" spans="1:9" s="21" customFormat="1" ht="12.75">
      <c r="A2" s="21">
        <v>1</v>
      </c>
      <c r="B2" s="1" t="str">
        <f>IF(Cus!$B2&lt;&gt;"",Cus!$A2,"")</f>
        <v>K0000001</v>
      </c>
      <c r="C2" s="22">
        <f>IF($B2="","",Acc!$L3)</f>
        <v>85214365</v>
      </c>
      <c r="D2" s="22"/>
      <c r="E2" s="23">
        <f>IF($B2="","",(Acc!$H2*$C2))</f>
        <v>33659674175</v>
      </c>
      <c r="F2" s="24">
        <f>IF(C2&lt;=CommissionDD!$E$3,CommissionDD!$C$3,IF(C2&lt;=CommissionDD!$E$4,CommissionDD!$C$4,IF(C2&lt;=CommissionDD!$E$5,CommissionDD!$C$5,IF(C2&lt;=CommissionDD!$E$6,CommissionDD!$C$6,IF(C2&lt;=CommissionDD!$E$7,CommissionDD!$C$7,IF(C2&lt;=CommissionDD!$E$8,CommissionDD!$C$8,CommissionDD!$C$9))))))</f>
        <v>0.03</v>
      </c>
      <c r="G2" s="23">
        <f>IF($B2="","",E2*F2)</f>
        <v>1009790225.25</v>
      </c>
      <c r="H2" s="23">
        <f>IF($B2="","",(Acc!$F2*CommissionDD!$C$30))</f>
        <v>0</v>
      </c>
      <c r="I2" s="23">
        <f>IF($B2="","",G2+H2)</f>
        <v>1009790225.25</v>
      </c>
    </row>
    <row r="3" spans="1:9" s="20" customFormat="1" ht="12.75">
      <c r="A3" s="25">
        <f>IF($B3="","",$A2+1)</f>
        <v>2</v>
      </c>
      <c r="B3" s="1" t="str">
        <f>IF(Cus!$B3&lt;&gt;"",Cus!$A3,"")</f>
        <v>K0000002</v>
      </c>
      <c r="C3" s="22">
        <f>IF($B3="","",Acc!$L4)</f>
        <v>0</v>
      </c>
      <c r="D3" s="22"/>
      <c r="F3" s="19"/>
      <c r="G3" s="19"/>
      <c r="H3" s="19"/>
    </row>
    <row r="4" spans="1:9">
      <c r="A4" s="25">
        <f>IF($B4="","",$A3+1)</f>
        <v>3</v>
      </c>
      <c r="B4" s="1" t="str">
        <f>IF(Cus!$B4&lt;&gt;"",Cus!$A4,"")</f>
        <v>K0000003</v>
      </c>
      <c r="C4" s="22">
        <f>IF($B4="","",Acc!$L5)</f>
        <v>0</v>
      </c>
      <c r="D4" s="22"/>
    </row>
    <row r="5" spans="1:9">
      <c r="A5" s="25" t="str">
        <f>IF($B5="","",$A4+1)</f>
        <v/>
      </c>
      <c r="B5" s="1" t="str">
        <f>IF(Cus!$B5&lt;&gt;"",Cus!$A5,"")</f>
        <v/>
      </c>
      <c r="C5" s="22" t="str">
        <f>IF($B5="","",Acc!$L5)</f>
        <v/>
      </c>
      <c r="D5" s="22"/>
    </row>
    <row r="6" spans="1:9">
      <c r="A6" s="25" t="str">
        <f>IF($B6="","",$A5+1)</f>
        <v/>
      </c>
      <c r="B6" s="1" t="str">
        <f>IF(Cus!$B6&lt;&gt;"",Cus!$A6,"")</f>
        <v/>
      </c>
      <c r="C6" s="22" t="str">
        <f>IF($B6="","",Acc!$L6)</f>
        <v/>
      </c>
      <c r="D6" s="22"/>
    </row>
    <row r="7" spans="1:9">
      <c r="A7" s="25" t="e">
        <f>IF($B7="","",$A6+1)</f>
        <v>#VALUE!</v>
      </c>
      <c r="B7" s="1" t="str">
        <f>IF(Cus!$B7&lt;&gt;"",Cus!$A7,"")</f>
        <v>K0000006</v>
      </c>
      <c r="C7" s="22">
        <f>IF($B7="","",Acc!$L7)</f>
        <v>0</v>
      </c>
      <c r="D7" s="22"/>
    </row>
    <row r="8" spans="1:9">
      <c r="A8" s="25" t="str">
        <f t="shared" ref="A8:A71" si="0">IF($B8="","",$A7+1)</f>
        <v/>
      </c>
      <c r="B8" s="1" t="str">
        <f>IF(Cus!$B8&lt;&gt;"",Cus!$A8,"")</f>
        <v/>
      </c>
      <c r="C8" s="22" t="str">
        <f>IF($B8="","",Acc!$L8)</f>
        <v/>
      </c>
      <c r="D8" s="22"/>
    </row>
    <row r="9" spans="1:9">
      <c r="A9" s="25" t="str">
        <f t="shared" si="0"/>
        <v/>
      </c>
      <c r="B9" s="1" t="str">
        <f>IF(Cus!$B9&lt;&gt;"",Cus!$A9,"")</f>
        <v/>
      </c>
      <c r="C9" s="22" t="str">
        <f>IF($B9="","",Acc!$L9)</f>
        <v/>
      </c>
      <c r="D9" s="22"/>
    </row>
    <row r="10" spans="1:9">
      <c r="A10" s="25" t="str">
        <f t="shared" si="0"/>
        <v/>
      </c>
      <c r="B10" s="1" t="str">
        <f>IF(Cus!$B10&lt;&gt;"",Cus!$A10,"")</f>
        <v/>
      </c>
      <c r="C10" s="22" t="str">
        <f>IF($B10="","",Acc!$L10)</f>
        <v/>
      </c>
      <c r="D10" s="22"/>
    </row>
    <row r="11" spans="1:9">
      <c r="A11" s="25" t="str">
        <f t="shared" si="0"/>
        <v/>
      </c>
      <c r="B11" s="1" t="str">
        <f>IF(Cus!$B11&lt;&gt;"",Cus!$A11,"")</f>
        <v/>
      </c>
      <c r="C11" s="22" t="str">
        <f>IF($B11="","",Acc!$L11)</f>
        <v/>
      </c>
      <c r="D11" s="22"/>
    </row>
    <row r="12" spans="1:9">
      <c r="A12" s="25" t="e">
        <f t="shared" si="0"/>
        <v>#VALUE!</v>
      </c>
      <c r="B12" s="1" t="str">
        <f>IF(Cus!$B12&lt;&gt;"",Cus!$A12,"")</f>
        <v>K0000011</v>
      </c>
      <c r="C12" s="22">
        <f>IF($B12="","",Acc!$L13)</f>
        <v>0</v>
      </c>
      <c r="D12" s="22"/>
    </row>
    <row r="13" spans="1:9">
      <c r="A13" s="25" t="str">
        <f t="shared" si="0"/>
        <v/>
      </c>
      <c r="B13" s="1" t="str">
        <f>IF(Cus!$B13&lt;&gt;"",Cus!$A13,"")</f>
        <v/>
      </c>
      <c r="C13" s="22" t="str">
        <f>IF($B13="","",Acc!$L13)</f>
        <v/>
      </c>
      <c r="D13" s="22"/>
    </row>
    <row r="14" spans="1:9">
      <c r="A14" s="25" t="str">
        <f t="shared" si="0"/>
        <v/>
      </c>
      <c r="B14" s="1" t="str">
        <f>IF(Cus!$B14&lt;&gt;"",Cus!$A14,"")</f>
        <v/>
      </c>
      <c r="C14" s="22" t="str">
        <f>IF($B14="","",Acc!$L14)</f>
        <v/>
      </c>
      <c r="D14" s="22"/>
    </row>
    <row r="15" spans="1:9">
      <c r="A15" s="25" t="e">
        <f t="shared" si="0"/>
        <v>#VALUE!</v>
      </c>
      <c r="B15" s="1" t="str">
        <f>IF(Cus!$B15&lt;&gt;"",Cus!$A15,"")</f>
        <v>K0000014</v>
      </c>
      <c r="C15" s="22">
        <f>IF($B15="","",Acc!$L15)</f>
        <v>0</v>
      </c>
      <c r="D15" s="22"/>
    </row>
    <row r="16" spans="1:9">
      <c r="A16" s="25" t="str">
        <f t="shared" si="0"/>
        <v/>
      </c>
      <c r="B16" s="1" t="str">
        <f>IF(Cus!$B16&lt;&gt;"",Cus!$A16,"")</f>
        <v/>
      </c>
      <c r="C16" s="22" t="str">
        <f>IF($B16="","",Acc!$L16)</f>
        <v/>
      </c>
      <c r="D16" s="22"/>
    </row>
    <row r="17" spans="1:4">
      <c r="A17" s="25" t="str">
        <f t="shared" si="0"/>
        <v/>
      </c>
      <c r="B17" s="1" t="str">
        <f>IF(Cus!$B17&lt;&gt;"",Cus!$A17,"")</f>
        <v/>
      </c>
      <c r="C17" s="22" t="str">
        <f>IF($B17="","",Acc!$L17)</f>
        <v/>
      </c>
      <c r="D17" s="22"/>
    </row>
    <row r="18" spans="1:4">
      <c r="A18" s="25" t="str">
        <f t="shared" si="0"/>
        <v/>
      </c>
      <c r="B18" s="1" t="str">
        <f>IF(Cus!$B18&lt;&gt;"",Cus!$A18,"")</f>
        <v/>
      </c>
      <c r="C18" s="22" t="str">
        <f>IF($B18="","",Acc!$L18)</f>
        <v/>
      </c>
      <c r="D18" s="22"/>
    </row>
    <row r="19" spans="1:4">
      <c r="A19" s="25" t="str">
        <f t="shared" si="0"/>
        <v/>
      </c>
      <c r="B19" s="1" t="str">
        <f>IF(Cus!$B19&lt;&gt;"",Cus!$A19,"")</f>
        <v/>
      </c>
      <c r="C19" s="22" t="str">
        <f>IF($B19="","",Acc!$L19)</f>
        <v/>
      </c>
      <c r="D19" s="22"/>
    </row>
    <row r="20" spans="1:4">
      <c r="A20" s="25" t="e">
        <f t="shared" si="0"/>
        <v>#VALUE!</v>
      </c>
      <c r="B20" s="1" t="str">
        <f>IF(Cus!$B20&lt;&gt;"",Cus!$A20,"")</f>
        <v>K0000019</v>
      </c>
      <c r="C20" s="22">
        <f>IF($B20="","",Acc!$L20)</f>
        <v>85725006</v>
      </c>
      <c r="D20" s="22"/>
    </row>
    <row r="21" spans="1:4">
      <c r="A21" s="25" t="str">
        <f t="shared" si="0"/>
        <v/>
      </c>
      <c r="B21" s="1" t="str">
        <f>IF(Cus!$B21&lt;&gt;"",Cus!$A21,"")</f>
        <v/>
      </c>
      <c r="C21" s="22" t="str">
        <f>IF($B21="","",Acc!$L21)</f>
        <v/>
      </c>
      <c r="D21" s="22"/>
    </row>
    <row r="22" spans="1:4">
      <c r="A22" s="25" t="str">
        <f t="shared" si="0"/>
        <v/>
      </c>
      <c r="B22" s="1" t="str">
        <f>IF(Cus!$B22&lt;&gt;"",Cus!$A22,"")</f>
        <v/>
      </c>
      <c r="C22" s="22" t="str">
        <f>IF($B22="","",Acc!$L22)</f>
        <v/>
      </c>
      <c r="D22" s="22"/>
    </row>
    <row r="23" spans="1:4">
      <c r="A23" s="25" t="str">
        <f t="shared" si="0"/>
        <v/>
      </c>
      <c r="B23" s="1" t="str">
        <f>IF(Cus!$B23&lt;&gt;"",Cus!$A23,"")</f>
        <v/>
      </c>
      <c r="C23" s="22" t="str">
        <f>IF($B23="","",Acc!$L23)</f>
        <v/>
      </c>
      <c r="D23" s="22"/>
    </row>
    <row r="24" spans="1:4">
      <c r="A24" s="25" t="str">
        <f t="shared" si="0"/>
        <v/>
      </c>
      <c r="B24" s="1" t="str">
        <f>IF(Cus!$B24&lt;&gt;"",Cus!$A24,"")</f>
        <v/>
      </c>
      <c r="C24" s="22" t="str">
        <f>IF($B24="","",Acc!$L24)</f>
        <v/>
      </c>
      <c r="D24" s="22"/>
    </row>
    <row r="25" spans="1:4">
      <c r="A25" s="25" t="str">
        <f t="shared" si="0"/>
        <v/>
      </c>
      <c r="B25" s="1" t="str">
        <f>IF(Cus!$B25&lt;&gt;"",Cus!$A25,"")</f>
        <v/>
      </c>
      <c r="C25" s="22" t="str">
        <f>IF($B25="","",Acc!$L25)</f>
        <v/>
      </c>
      <c r="D25" s="22"/>
    </row>
    <row r="26" spans="1:4">
      <c r="A26" s="25" t="str">
        <f t="shared" si="0"/>
        <v/>
      </c>
      <c r="B26" s="1" t="str">
        <f>IF(Cus!$B26&lt;&gt;"",Cus!$A26,"")</f>
        <v/>
      </c>
      <c r="C26" s="22" t="str">
        <f>IF($B26="","",Acc!$L26)</f>
        <v/>
      </c>
      <c r="D26" s="22"/>
    </row>
    <row r="27" spans="1:4">
      <c r="A27" s="25" t="str">
        <f t="shared" si="0"/>
        <v/>
      </c>
      <c r="B27" s="1" t="str">
        <f>IF(Cus!$B27&lt;&gt;"",Cus!$A27,"")</f>
        <v/>
      </c>
      <c r="C27" s="22" t="str">
        <f>IF($B27="","",Acc!$L27)</f>
        <v/>
      </c>
      <c r="D27" s="22"/>
    </row>
    <row r="28" spans="1:4">
      <c r="A28" s="25" t="str">
        <f t="shared" si="0"/>
        <v/>
      </c>
      <c r="B28" s="1" t="str">
        <f>IF(Cus!$B28&lt;&gt;"",Cus!$A28,"")</f>
        <v/>
      </c>
      <c r="C28" s="22" t="str">
        <f>IF($B28="","",Acc!$L28)</f>
        <v/>
      </c>
      <c r="D28" s="22"/>
    </row>
    <row r="29" spans="1:4">
      <c r="A29" s="25" t="str">
        <f t="shared" si="0"/>
        <v/>
      </c>
      <c r="B29" s="1" t="str">
        <f>IF(Cus!$B29&lt;&gt;"",Cus!$A29,"")</f>
        <v/>
      </c>
      <c r="C29" s="22" t="str">
        <f>IF($B29="","",Acc!$L29)</f>
        <v/>
      </c>
      <c r="D29" s="22"/>
    </row>
    <row r="30" spans="1:4">
      <c r="A30" s="25" t="str">
        <f t="shared" si="0"/>
        <v/>
      </c>
      <c r="B30" s="1" t="str">
        <f>IF(Cus!$B30&lt;&gt;"",Cus!$A30,"")</f>
        <v/>
      </c>
      <c r="C30" s="22" t="str">
        <f>IF($B30="","",Acc!$L30)</f>
        <v/>
      </c>
      <c r="D30" s="22"/>
    </row>
    <row r="31" spans="1:4">
      <c r="A31" s="25" t="str">
        <f t="shared" si="0"/>
        <v/>
      </c>
      <c r="B31" s="1" t="str">
        <f>IF(Cus!$B31&lt;&gt;"",Cus!$A31,"")</f>
        <v/>
      </c>
      <c r="C31" s="22" t="str">
        <f>IF($B31="","",Acc!$L31)</f>
        <v/>
      </c>
      <c r="D31" s="22"/>
    </row>
    <row r="32" spans="1:4">
      <c r="A32" s="25" t="str">
        <f t="shared" si="0"/>
        <v/>
      </c>
      <c r="B32" s="1" t="str">
        <f>IF(Cus!$B32&lt;&gt;"",Cus!$A32,"")</f>
        <v/>
      </c>
      <c r="C32" s="22" t="str">
        <f>IF($B32="","",Acc!$L32)</f>
        <v/>
      </c>
      <c r="D32" s="22"/>
    </row>
    <row r="33" spans="1:4">
      <c r="A33" s="25" t="str">
        <f t="shared" si="0"/>
        <v/>
      </c>
      <c r="B33" s="1" t="str">
        <f>IF(Cus!$B33&lt;&gt;"",Cus!$A33,"")</f>
        <v/>
      </c>
      <c r="C33" s="22" t="str">
        <f>IF($B33="","",Acc!$L33)</f>
        <v/>
      </c>
      <c r="D33" s="22"/>
    </row>
    <row r="34" spans="1:4">
      <c r="A34" s="25" t="str">
        <f t="shared" si="0"/>
        <v/>
      </c>
      <c r="B34" s="1" t="str">
        <f>IF(Cus!$B34&lt;&gt;"",Cus!$A34,"")</f>
        <v/>
      </c>
      <c r="C34" s="22" t="str">
        <f>IF($B34="","",Acc!$L34)</f>
        <v/>
      </c>
      <c r="D34" s="22"/>
    </row>
    <row r="35" spans="1:4">
      <c r="A35" s="25" t="str">
        <f t="shared" si="0"/>
        <v/>
      </c>
      <c r="B35" s="1" t="str">
        <f>IF(Cus!$B35&lt;&gt;"",Cus!$A35,"")</f>
        <v/>
      </c>
      <c r="C35" s="22" t="str">
        <f>IF($B35="","",Acc!$L35)</f>
        <v/>
      </c>
      <c r="D35" s="22"/>
    </row>
    <row r="36" spans="1:4">
      <c r="A36" s="25" t="str">
        <f t="shared" si="0"/>
        <v/>
      </c>
      <c r="B36" s="1" t="str">
        <f>IF(Cus!$B36&lt;&gt;"",Cus!$A36,"")</f>
        <v/>
      </c>
      <c r="C36" s="22" t="str">
        <f>IF($B36="","",Acc!$L36)</f>
        <v/>
      </c>
      <c r="D36" s="22"/>
    </row>
    <row r="37" spans="1:4">
      <c r="A37" s="25" t="str">
        <f t="shared" si="0"/>
        <v/>
      </c>
      <c r="B37" s="1" t="str">
        <f>IF(Cus!$B37&lt;&gt;"",Cus!$A37,"")</f>
        <v/>
      </c>
      <c r="C37" s="22" t="str">
        <f>IF($B37="","",Acc!$L37)</f>
        <v/>
      </c>
      <c r="D37" s="22"/>
    </row>
    <row r="38" spans="1:4">
      <c r="A38" s="25" t="str">
        <f t="shared" si="0"/>
        <v/>
      </c>
      <c r="B38" s="1" t="str">
        <f>IF(Cus!$B38&lt;&gt;"",Cus!$A38,"")</f>
        <v/>
      </c>
      <c r="C38" s="22" t="str">
        <f>IF($B38="","",Acc!$L38)</f>
        <v/>
      </c>
      <c r="D38" s="22"/>
    </row>
    <row r="39" spans="1:4">
      <c r="A39" s="25" t="str">
        <f t="shared" si="0"/>
        <v/>
      </c>
      <c r="B39" s="1" t="str">
        <f>IF(Cus!$B39&lt;&gt;"",Cus!$A39,"")</f>
        <v/>
      </c>
      <c r="C39" s="22" t="str">
        <f>IF($B39="","",Acc!$L39)</f>
        <v/>
      </c>
      <c r="D39" s="22"/>
    </row>
    <row r="40" spans="1:4">
      <c r="A40" s="25" t="str">
        <f t="shared" si="0"/>
        <v/>
      </c>
      <c r="B40" s="1" t="str">
        <f>IF(Cus!$B40&lt;&gt;"",Cus!$A40,"")</f>
        <v/>
      </c>
      <c r="C40" s="22" t="str">
        <f>IF($B40="","",Acc!$L40)</f>
        <v/>
      </c>
      <c r="D40" s="22"/>
    </row>
    <row r="41" spans="1:4">
      <c r="A41" s="25" t="str">
        <f t="shared" si="0"/>
        <v/>
      </c>
      <c r="B41" s="1" t="str">
        <f>IF(Cus!$B41&lt;&gt;"",Cus!$A41,"")</f>
        <v/>
      </c>
      <c r="C41" s="22" t="str">
        <f>IF($B41="","",Acc!$L41)</f>
        <v/>
      </c>
      <c r="D41" s="22"/>
    </row>
    <row r="42" spans="1:4">
      <c r="A42" s="25" t="str">
        <f t="shared" si="0"/>
        <v/>
      </c>
      <c r="B42" s="1" t="str">
        <f>IF(Cus!$B42&lt;&gt;"",Cus!$A42,"")</f>
        <v/>
      </c>
      <c r="C42" s="22" t="str">
        <f>IF($B42="","",Acc!$L42)</f>
        <v/>
      </c>
      <c r="D42" s="22"/>
    </row>
    <row r="43" spans="1:4">
      <c r="A43" s="25" t="str">
        <f t="shared" si="0"/>
        <v/>
      </c>
      <c r="B43" s="1" t="str">
        <f>IF(Cus!$B43&lt;&gt;"",Cus!$A43,"")</f>
        <v/>
      </c>
      <c r="C43" s="22" t="str">
        <f>IF($B43="","",Acc!$L43)</f>
        <v/>
      </c>
      <c r="D43" s="22"/>
    </row>
    <row r="44" spans="1:4">
      <c r="A44" s="25" t="str">
        <f t="shared" si="0"/>
        <v/>
      </c>
      <c r="B44" s="1" t="str">
        <f>IF(Cus!$B44&lt;&gt;"",Cus!$A44,"")</f>
        <v/>
      </c>
      <c r="C44" s="22" t="str">
        <f>IF($B44="","",Acc!$L44)</f>
        <v/>
      </c>
      <c r="D44" s="22"/>
    </row>
    <row r="45" spans="1:4">
      <c r="A45" s="25" t="str">
        <f t="shared" si="0"/>
        <v/>
      </c>
      <c r="B45" s="1" t="str">
        <f>IF(Cus!$B45&lt;&gt;"",Cus!$A45,"")</f>
        <v/>
      </c>
      <c r="C45" s="22" t="str">
        <f>IF($B45="","",Acc!$L45)</f>
        <v/>
      </c>
      <c r="D45" s="22"/>
    </row>
    <row r="46" spans="1:4">
      <c r="A46" s="25" t="str">
        <f t="shared" si="0"/>
        <v/>
      </c>
      <c r="B46" s="1" t="str">
        <f>IF(Cus!$B46&lt;&gt;"",Cus!$A46,"")</f>
        <v/>
      </c>
      <c r="C46" s="22" t="str">
        <f>IF($B46="","",Acc!$L46)</f>
        <v/>
      </c>
      <c r="D46" s="22"/>
    </row>
    <row r="47" spans="1:4">
      <c r="A47" s="25" t="str">
        <f t="shared" si="0"/>
        <v/>
      </c>
      <c r="B47" s="1" t="str">
        <f>IF(Cus!$B47&lt;&gt;"",Cus!$A47,"")</f>
        <v/>
      </c>
      <c r="C47" s="22" t="str">
        <f>IF($B47="","",Acc!$L47)</f>
        <v/>
      </c>
      <c r="D47" s="22"/>
    </row>
    <row r="48" spans="1:4">
      <c r="A48" s="25" t="str">
        <f t="shared" si="0"/>
        <v/>
      </c>
      <c r="B48" s="1" t="str">
        <f>IF(Cus!$B48&lt;&gt;"",Cus!$A48,"")</f>
        <v/>
      </c>
      <c r="C48" s="22" t="str">
        <f>IF($B48="","",Acc!$L48)</f>
        <v/>
      </c>
      <c r="D48" s="22"/>
    </row>
    <row r="49" spans="1:4">
      <c r="A49" s="25" t="str">
        <f t="shared" si="0"/>
        <v/>
      </c>
      <c r="B49" s="1" t="str">
        <f>IF(Cus!$B49&lt;&gt;"",Cus!$A49,"")</f>
        <v/>
      </c>
      <c r="C49" s="22" t="str">
        <f>IF($B49="","",Acc!$L49)</f>
        <v/>
      </c>
      <c r="D49" s="22"/>
    </row>
    <row r="50" spans="1:4">
      <c r="A50" s="25" t="e">
        <f t="shared" si="0"/>
        <v>#VALUE!</v>
      </c>
      <c r="B50" s="1" t="str">
        <f>IF(Cus!$B50&lt;&gt;"",Cus!$A50,"")</f>
        <v>K0000049</v>
      </c>
      <c r="C50" s="22" t="e">
        <f>IF($B50="","",Acc!#REF!)</f>
        <v>#REF!</v>
      </c>
      <c r="D50" s="22"/>
    </row>
    <row r="51" spans="1:4">
      <c r="A51" s="25" t="str">
        <f t="shared" si="0"/>
        <v/>
      </c>
      <c r="B51" s="1" t="str">
        <f>IF(Cus!$B51&lt;&gt;"",Cus!$A51,"")</f>
        <v/>
      </c>
      <c r="C51" s="22" t="str">
        <f>IF($B51="","",Acc!$L51)</f>
        <v/>
      </c>
      <c r="D51" s="22"/>
    </row>
    <row r="52" spans="1:4">
      <c r="A52" s="25" t="str">
        <f t="shared" si="0"/>
        <v/>
      </c>
      <c r="B52" s="1" t="str">
        <f>IF(Cus!$B52&lt;&gt;"",Cus!$A52,"")</f>
        <v/>
      </c>
      <c r="C52" s="22" t="str">
        <f>IF($B52="","",Acc!$L52)</f>
        <v/>
      </c>
      <c r="D52" s="22"/>
    </row>
    <row r="53" spans="1:4">
      <c r="A53" s="25" t="str">
        <f t="shared" si="0"/>
        <v/>
      </c>
      <c r="B53" s="1" t="str">
        <f>IF(Cus!$B53&lt;&gt;"",Cus!$A53,"")</f>
        <v/>
      </c>
      <c r="C53" s="22" t="str">
        <f>IF($B53="","",Acc!$L53)</f>
        <v/>
      </c>
      <c r="D53" s="22"/>
    </row>
    <row r="54" spans="1:4">
      <c r="A54" s="25" t="str">
        <f t="shared" si="0"/>
        <v/>
      </c>
      <c r="B54" s="1" t="str">
        <f>IF(Cus!$B54&lt;&gt;"",Cus!$A54,"")</f>
        <v/>
      </c>
      <c r="C54" s="22" t="str">
        <f>IF($B54="","",Acc!$L54)</f>
        <v/>
      </c>
      <c r="D54" s="22"/>
    </row>
    <row r="55" spans="1:4">
      <c r="A55" s="25" t="str">
        <f t="shared" si="0"/>
        <v/>
      </c>
      <c r="B55" s="1" t="str">
        <f>IF(Cus!$B55&lt;&gt;"",Cus!$A55,"")</f>
        <v/>
      </c>
      <c r="C55" s="22" t="str">
        <f>IF($B55="","",Acc!$L55)</f>
        <v/>
      </c>
      <c r="D55" s="22"/>
    </row>
    <row r="56" spans="1:4">
      <c r="A56" s="25" t="str">
        <f t="shared" si="0"/>
        <v/>
      </c>
      <c r="B56" s="1" t="str">
        <f>IF(Cus!$B56&lt;&gt;"",Cus!$A56,"")</f>
        <v/>
      </c>
      <c r="C56" s="22" t="str">
        <f>IF($B56="","",Acc!$L56)</f>
        <v/>
      </c>
      <c r="D56" s="22"/>
    </row>
    <row r="57" spans="1:4">
      <c r="A57" s="25" t="str">
        <f t="shared" si="0"/>
        <v/>
      </c>
      <c r="B57" s="1" t="str">
        <f>IF(Cus!$B57&lt;&gt;"",Cus!$A57,"")</f>
        <v/>
      </c>
      <c r="C57" s="22" t="str">
        <f>IF($B57="","",Acc!$L57)</f>
        <v/>
      </c>
      <c r="D57" s="22"/>
    </row>
    <row r="58" spans="1:4">
      <c r="A58" s="25" t="str">
        <f t="shared" si="0"/>
        <v/>
      </c>
      <c r="B58" s="1" t="str">
        <f>IF(Cus!$B58&lt;&gt;"",Cus!$A58,"")</f>
        <v/>
      </c>
      <c r="C58" s="22" t="str">
        <f>IF($B58="","",Acc!$L58)</f>
        <v/>
      </c>
      <c r="D58" s="22"/>
    </row>
    <row r="59" spans="1:4">
      <c r="A59" s="25" t="str">
        <f t="shared" si="0"/>
        <v/>
      </c>
      <c r="B59" s="1" t="str">
        <f>IF(Cus!$B59&lt;&gt;"",Cus!$A59,"")</f>
        <v/>
      </c>
      <c r="C59" s="22" t="str">
        <f>IF($B59="","",Acc!$L59)</f>
        <v/>
      </c>
      <c r="D59" s="22"/>
    </row>
    <row r="60" spans="1:4">
      <c r="A60" s="25" t="str">
        <f t="shared" si="0"/>
        <v/>
      </c>
      <c r="B60" s="1" t="str">
        <f>IF(Cus!$B60&lt;&gt;"",Cus!$A60,"")</f>
        <v/>
      </c>
      <c r="C60" s="22" t="str">
        <f>IF($B60="","",Acc!$L60)</f>
        <v/>
      </c>
      <c r="D60" s="22"/>
    </row>
    <row r="61" spans="1:4">
      <c r="A61" s="25" t="str">
        <f t="shared" si="0"/>
        <v/>
      </c>
      <c r="B61" s="1" t="str">
        <f>IF(Cus!$B61&lt;&gt;"",Cus!$A61,"")</f>
        <v/>
      </c>
      <c r="C61" s="22" t="str">
        <f>IF($B61="","",Acc!$L61)</f>
        <v/>
      </c>
      <c r="D61" s="22"/>
    </row>
    <row r="62" spans="1:4">
      <c r="A62" s="25" t="str">
        <f t="shared" si="0"/>
        <v/>
      </c>
      <c r="B62" s="1" t="str">
        <f>IF(Cus!$B62&lt;&gt;"",Cus!$A62,"")</f>
        <v/>
      </c>
      <c r="C62" s="22" t="str">
        <f>IF($B62="","",Acc!$L62)</f>
        <v/>
      </c>
      <c r="D62" s="22"/>
    </row>
    <row r="63" spans="1:4">
      <c r="A63" s="25" t="str">
        <f t="shared" si="0"/>
        <v/>
      </c>
      <c r="B63" s="1" t="str">
        <f>IF(Cus!$B63&lt;&gt;"",Cus!$A63,"")</f>
        <v/>
      </c>
      <c r="C63" s="22" t="str">
        <f>IF($B63="","",Acc!$L63)</f>
        <v/>
      </c>
      <c r="D63" s="22"/>
    </row>
    <row r="64" spans="1:4">
      <c r="A64" s="25" t="str">
        <f t="shared" si="0"/>
        <v/>
      </c>
      <c r="B64" s="1" t="str">
        <f>IF(Cus!$B64&lt;&gt;"",Cus!$A64,"")</f>
        <v/>
      </c>
      <c r="C64" s="22" t="str">
        <f>IF($B64="","",Acc!$L64)</f>
        <v/>
      </c>
      <c r="D64" s="22"/>
    </row>
    <row r="65" spans="1:4">
      <c r="A65" s="25" t="str">
        <f t="shared" si="0"/>
        <v/>
      </c>
      <c r="B65" s="1" t="str">
        <f>IF(Cus!$B65&lt;&gt;"",Cus!$A65,"")</f>
        <v/>
      </c>
      <c r="C65" s="22" t="str">
        <f>IF($B65="","",Acc!$L65)</f>
        <v/>
      </c>
      <c r="D65" s="22"/>
    </row>
    <row r="66" spans="1:4">
      <c r="A66" s="25" t="str">
        <f t="shared" si="0"/>
        <v/>
      </c>
      <c r="B66" s="1" t="str">
        <f>IF(Cus!$B66&lt;&gt;"",Cus!$A66,"")</f>
        <v/>
      </c>
      <c r="C66" s="22" t="str">
        <f>IF($B66="","",Acc!$L66)</f>
        <v/>
      </c>
      <c r="D66" s="22"/>
    </row>
    <row r="67" spans="1:4">
      <c r="A67" s="25" t="str">
        <f t="shared" si="0"/>
        <v/>
      </c>
      <c r="B67" s="1" t="str">
        <f>IF(Cus!$B67&lt;&gt;"",Cus!$A67,"")</f>
        <v/>
      </c>
      <c r="C67" s="22" t="str">
        <f>IF($B67="","",Acc!$L67)</f>
        <v/>
      </c>
      <c r="D67" s="22"/>
    </row>
    <row r="68" spans="1:4">
      <c r="A68" s="25" t="str">
        <f t="shared" si="0"/>
        <v/>
      </c>
      <c r="B68" s="1" t="str">
        <f>IF(Cus!$B68&lt;&gt;"",Cus!$A68,"")</f>
        <v/>
      </c>
      <c r="C68" s="22" t="str">
        <f>IF($B68="","",Acc!$L68)</f>
        <v/>
      </c>
      <c r="D68" s="22"/>
    </row>
    <row r="69" spans="1:4">
      <c r="A69" s="25" t="str">
        <f t="shared" si="0"/>
        <v/>
      </c>
      <c r="B69" s="1" t="str">
        <f>IF(Cus!$B69&lt;&gt;"",Cus!$A69,"")</f>
        <v/>
      </c>
      <c r="C69" s="22" t="str">
        <f>IF($B69="","",Acc!$L69)</f>
        <v/>
      </c>
      <c r="D69" s="22"/>
    </row>
    <row r="70" spans="1:4">
      <c r="A70" s="25" t="str">
        <f t="shared" si="0"/>
        <v/>
      </c>
      <c r="B70" s="1" t="str">
        <f>IF(Cus!$B70&lt;&gt;"",Cus!$A70,"")</f>
        <v/>
      </c>
      <c r="C70" s="22" t="str">
        <f>IF($B70="","",Acc!$L70)</f>
        <v/>
      </c>
      <c r="D70" s="22"/>
    </row>
    <row r="71" spans="1:4">
      <c r="A71" s="25" t="str">
        <f t="shared" si="0"/>
        <v/>
      </c>
      <c r="B71" s="1" t="str">
        <f>IF(Cus!$B71&lt;&gt;"",Cus!$A71,"")</f>
        <v/>
      </c>
      <c r="C71" s="22" t="str">
        <f>IF($B71="","",Acc!$L71)</f>
        <v/>
      </c>
      <c r="D71" s="22"/>
    </row>
    <row r="72" spans="1:4">
      <c r="A72" s="25" t="str">
        <f t="shared" ref="A72:A100" si="1">IF($B72="","",$A71+1)</f>
        <v/>
      </c>
      <c r="B72" s="1" t="str">
        <f>IF(Cus!$B72&lt;&gt;"",Cus!$A72,"")</f>
        <v/>
      </c>
      <c r="C72" s="22" t="str">
        <f>IF($B72="","",Acc!$L72)</f>
        <v/>
      </c>
      <c r="D72" s="22"/>
    </row>
    <row r="73" spans="1:4">
      <c r="A73" s="25" t="str">
        <f t="shared" si="1"/>
        <v/>
      </c>
      <c r="B73" s="1" t="str">
        <f>IF(Cus!$B73&lt;&gt;"",Cus!$A73,"")</f>
        <v/>
      </c>
      <c r="C73" s="22" t="str">
        <f>IF($B73="","",Acc!$L73)</f>
        <v/>
      </c>
      <c r="D73" s="22"/>
    </row>
    <row r="74" spans="1:4">
      <c r="A74" s="25" t="str">
        <f t="shared" si="1"/>
        <v/>
      </c>
      <c r="B74" s="1" t="str">
        <f>IF(Cus!$B74&lt;&gt;"",Cus!$A74,"")</f>
        <v/>
      </c>
      <c r="C74" s="22" t="str">
        <f>IF($B74="","",Acc!$L74)</f>
        <v/>
      </c>
      <c r="D74" s="22"/>
    </row>
    <row r="75" spans="1:4">
      <c r="A75" s="25" t="str">
        <f t="shared" si="1"/>
        <v/>
      </c>
      <c r="B75" s="1" t="str">
        <f>IF(Cus!$B75&lt;&gt;"",Cus!$A75,"")</f>
        <v/>
      </c>
      <c r="C75" s="22" t="str">
        <f>IF($B75="","",Acc!$L75)</f>
        <v/>
      </c>
      <c r="D75" s="22"/>
    </row>
    <row r="76" spans="1:4">
      <c r="A76" s="25" t="str">
        <f t="shared" si="1"/>
        <v/>
      </c>
      <c r="B76" s="1" t="str">
        <f>IF(Cus!$B76&lt;&gt;"",Cus!$A76,"")</f>
        <v/>
      </c>
      <c r="C76" s="22" t="str">
        <f>IF($B76="","",Acc!$L76)</f>
        <v/>
      </c>
      <c r="D76" s="22"/>
    </row>
    <row r="77" spans="1:4">
      <c r="A77" s="25" t="str">
        <f t="shared" si="1"/>
        <v/>
      </c>
      <c r="B77" s="1" t="str">
        <f>IF(Cus!$B77&lt;&gt;"",Cus!$A77,"")</f>
        <v/>
      </c>
      <c r="C77" s="22" t="str">
        <f>IF($B77="","",Acc!$L77)</f>
        <v/>
      </c>
      <c r="D77" s="22"/>
    </row>
    <row r="78" spans="1:4">
      <c r="A78" s="25" t="str">
        <f t="shared" si="1"/>
        <v/>
      </c>
      <c r="B78" s="1" t="str">
        <f>IF(Cus!$B78&lt;&gt;"",Cus!$A78,"")</f>
        <v/>
      </c>
      <c r="C78" s="22" t="str">
        <f>IF($B78="","",Acc!$L78)</f>
        <v/>
      </c>
      <c r="D78" s="22"/>
    </row>
    <row r="79" spans="1:4">
      <c r="A79" s="25" t="str">
        <f t="shared" si="1"/>
        <v/>
      </c>
      <c r="B79" s="1" t="str">
        <f>IF(Cus!$B79&lt;&gt;"",Cus!$A79,"")</f>
        <v/>
      </c>
      <c r="C79" s="22" t="str">
        <f>IF($B79="","",Acc!$L79)</f>
        <v/>
      </c>
      <c r="D79" s="22"/>
    </row>
    <row r="80" spans="1:4">
      <c r="A80" s="25" t="str">
        <f t="shared" si="1"/>
        <v/>
      </c>
      <c r="B80" s="1" t="str">
        <f>IF(Cus!$B80&lt;&gt;"",Cus!$A80,"")</f>
        <v/>
      </c>
      <c r="C80" s="22" t="str">
        <f>IF($B80="","",Acc!$L80)</f>
        <v/>
      </c>
      <c r="D80" s="22"/>
    </row>
    <row r="81" spans="1:4">
      <c r="A81" s="25" t="str">
        <f t="shared" si="1"/>
        <v/>
      </c>
      <c r="B81" s="1" t="str">
        <f>IF(Cus!$B81&lt;&gt;"",Cus!$A81,"")</f>
        <v/>
      </c>
      <c r="C81" s="22" t="str">
        <f>IF($B81="","",Acc!$L81)</f>
        <v/>
      </c>
      <c r="D81" s="22"/>
    </row>
    <row r="82" spans="1:4">
      <c r="A82" s="25" t="str">
        <f t="shared" si="1"/>
        <v/>
      </c>
      <c r="B82" s="1" t="str">
        <f>IF(Cus!$B82&lt;&gt;"",Cus!$A82,"")</f>
        <v/>
      </c>
      <c r="C82" s="22" t="str">
        <f>IF($B82="","",Acc!$L82)</f>
        <v/>
      </c>
      <c r="D82" s="22"/>
    </row>
    <row r="83" spans="1:4">
      <c r="A83" s="25" t="str">
        <f t="shared" si="1"/>
        <v/>
      </c>
      <c r="B83" s="1" t="str">
        <f>IF(Cus!$B83&lt;&gt;"",Cus!$A83,"")</f>
        <v/>
      </c>
      <c r="C83" s="22" t="str">
        <f>IF($B83="","",Acc!$L83)</f>
        <v/>
      </c>
      <c r="D83" s="22"/>
    </row>
    <row r="84" spans="1:4">
      <c r="A84" s="25" t="str">
        <f t="shared" si="1"/>
        <v/>
      </c>
      <c r="B84" s="1" t="str">
        <f>IF(Cus!$B84&lt;&gt;"",Cus!$A84,"")</f>
        <v/>
      </c>
      <c r="C84" s="22" t="str">
        <f>IF($B84="","",Acc!$L84)</f>
        <v/>
      </c>
      <c r="D84" s="22"/>
    </row>
    <row r="85" spans="1:4">
      <c r="A85" s="25" t="str">
        <f t="shared" si="1"/>
        <v/>
      </c>
      <c r="B85" s="1" t="str">
        <f>IF(Cus!$B85&lt;&gt;"",Cus!$A85,"")</f>
        <v/>
      </c>
      <c r="C85" s="22" t="str">
        <f>IF($B85="","",Acc!$L85)</f>
        <v/>
      </c>
      <c r="D85" s="22"/>
    </row>
    <row r="86" spans="1:4">
      <c r="A86" s="25" t="str">
        <f t="shared" si="1"/>
        <v/>
      </c>
      <c r="B86" s="1" t="str">
        <f>IF(Cus!$B86&lt;&gt;"",Cus!$A86,"")</f>
        <v/>
      </c>
      <c r="C86" s="22" t="str">
        <f>IF($B86="","",Acc!$L86)</f>
        <v/>
      </c>
      <c r="D86" s="22"/>
    </row>
    <row r="87" spans="1:4">
      <c r="A87" s="25" t="str">
        <f t="shared" si="1"/>
        <v/>
      </c>
      <c r="B87" s="1" t="str">
        <f>IF(Cus!$B87&lt;&gt;"",Cus!$A87,"")</f>
        <v/>
      </c>
      <c r="C87" s="22" t="str">
        <f>IF($B87="","",Acc!$L87)</f>
        <v/>
      </c>
      <c r="D87" s="22"/>
    </row>
    <row r="88" spans="1:4">
      <c r="A88" s="25" t="str">
        <f t="shared" si="1"/>
        <v/>
      </c>
      <c r="B88" s="1" t="str">
        <f>IF(Cus!$B88&lt;&gt;"",Cus!$A88,"")</f>
        <v/>
      </c>
      <c r="C88" s="22" t="str">
        <f>IF($B88="","",Acc!$L88)</f>
        <v/>
      </c>
      <c r="D88" s="22"/>
    </row>
    <row r="89" spans="1:4">
      <c r="A89" s="25" t="str">
        <f t="shared" si="1"/>
        <v/>
      </c>
      <c r="B89" s="1" t="str">
        <f>IF(Cus!$B89&lt;&gt;"",Cus!$A89,"")</f>
        <v/>
      </c>
      <c r="C89" s="22" t="str">
        <f>IF($B89="","",Acc!$L89)</f>
        <v/>
      </c>
      <c r="D89" s="22"/>
    </row>
    <row r="90" spans="1:4">
      <c r="A90" s="25" t="str">
        <f t="shared" si="1"/>
        <v/>
      </c>
      <c r="B90" s="1" t="str">
        <f>IF(Cus!$B90&lt;&gt;"",Cus!$A90,"")</f>
        <v/>
      </c>
      <c r="C90" s="22" t="str">
        <f>IF($B90="","",Acc!$L90)</f>
        <v/>
      </c>
      <c r="D90" s="22"/>
    </row>
    <row r="91" spans="1:4">
      <c r="A91" s="25" t="str">
        <f t="shared" si="1"/>
        <v/>
      </c>
      <c r="B91" s="1" t="str">
        <f>IF(Cus!$B91&lt;&gt;"",Cus!$A91,"")</f>
        <v/>
      </c>
      <c r="C91" s="22" t="str">
        <f>IF($B91="","",Acc!$L91)</f>
        <v/>
      </c>
      <c r="D91" s="22"/>
    </row>
    <row r="92" spans="1:4">
      <c r="A92" s="25" t="str">
        <f t="shared" si="1"/>
        <v/>
      </c>
      <c r="B92" s="1" t="str">
        <f>IF(Cus!$B92&lt;&gt;"",Cus!$A92,"")</f>
        <v/>
      </c>
      <c r="C92" s="22" t="str">
        <f>IF($B92="","",Acc!$L92)</f>
        <v/>
      </c>
      <c r="D92" s="22"/>
    </row>
    <row r="93" spans="1:4">
      <c r="A93" s="25" t="str">
        <f t="shared" si="1"/>
        <v/>
      </c>
      <c r="B93" s="1" t="str">
        <f>IF(Cus!$B93&lt;&gt;"",Cus!$A93,"")</f>
        <v/>
      </c>
      <c r="C93" s="22" t="str">
        <f>IF($B93="","",Acc!$L93)</f>
        <v/>
      </c>
      <c r="D93" s="22"/>
    </row>
    <row r="94" spans="1:4">
      <c r="A94" s="25" t="str">
        <f t="shared" si="1"/>
        <v/>
      </c>
      <c r="B94" s="1" t="str">
        <f>IF(Cus!$B94&lt;&gt;"",Cus!$A94,"")</f>
        <v/>
      </c>
      <c r="C94" s="22" t="str">
        <f>IF($B94="","",Acc!$L94)</f>
        <v/>
      </c>
      <c r="D94" s="22"/>
    </row>
    <row r="95" spans="1:4">
      <c r="A95" s="25" t="str">
        <f t="shared" si="1"/>
        <v/>
      </c>
      <c r="B95" s="1" t="str">
        <f>IF(Cus!$B95&lt;&gt;"",Cus!$A95,"")</f>
        <v/>
      </c>
      <c r="C95" s="22" t="str">
        <f>IF($B95="","",Acc!$L95)</f>
        <v/>
      </c>
      <c r="D95" s="22"/>
    </row>
    <row r="96" spans="1:4">
      <c r="A96" s="25" t="str">
        <f t="shared" si="1"/>
        <v/>
      </c>
      <c r="B96" s="1" t="str">
        <f>IF(Cus!$B96&lt;&gt;"",Cus!$A96,"")</f>
        <v/>
      </c>
      <c r="C96" s="22" t="str">
        <f>IF($B96="","",Acc!$L96)</f>
        <v/>
      </c>
      <c r="D96" s="22"/>
    </row>
    <row r="97" spans="1:4">
      <c r="A97" s="25" t="str">
        <f t="shared" si="1"/>
        <v/>
      </c>
      <c r="B97" s="1" t="str">
        <f>IF(Cus!$B97&lt;&gt;"",Cus!$A97,"")</f>
        <v/>
      </c>
      <c r="C97" s="22" t="str">
        <f>IF($B97="","",Acc!$L97)</f>
        <v/>
      </c>
      <c r="D97" s="22"/>
    </row>
    <row r="98" spans="1:4">
      <c r="A98" s="25" t="str">
        <f t="shared" si="1"/>
        <v/>
      </c>
      <c r="B98" s="1" t="str">
        <f>IF(Cus!$B98&lt;&gt;"",Cus!$A98,"")</f>
        <v/>
      </c>
      <c r="C98" s="22" t="str">
        <f>IF($B98="","",Acc!$L98)</f>
        <v/>
      </c>
      <c r="D98" s="22"/>
    </row>
    <row r="99" spans="1:4">
      <c r="A99" s="25" t="str">
        <f t="shared" si="1"/>
        <v/>
      </c>
      <c r="B99" s="1" t="str">
        <f>IF(Cus!$B99&lt;&gt;"",Cus!$A99,"")</f>
        <v/>
      </c>
      <c r="C99" s="22" t="str">
        <f>IF($B99="","",Acc!$L99)</f>
        <v/>
      </c>
      <c r="D99" s="22"/>
    </row>
    <row r="100" spans="1:4">
      <c r="A100" s="25" t="str">
        <f t="shared" si="1"/>
        <v/>
      </c>
      <c r="B100" s="1" t="str">
        <f>IF(Cus!$B100&lt;&gt;"",Cus!$A100,"")</f>
        <v/>
      </c>
      <c r="C100" s="22" t="str">
        <f>IF($B100="","",Acc!$L100)</f>
        <v/>
      </c>
      <c r="D100" s="22"/>
    </row>
  </sheetData>
  <dataValidations count="1">
    <dataValidation errorStyle="warning" showInputMessage="1" showErrorMessage="1" error="Do not change values" sqref="B2:B100"/>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2">
    <tabColor rgb="FFC00000"/>
  </sheetPr>
  <dimension ref="A1:F589"/>
  <sheetViews>
    <sheetView workbookViewId="0">
      <pane ySplit="1" topLeftCell="A2" activePane="bottomLeft" state="frozen"/>
      <selection pane="bottomLeft"/>
    </sheetView>
  </sheetViews>
  <sheetFormatPr defaultColWidth="9.140625" defaultRowHeight="15"/>
  <cols>
    <col min="1" max="1" width="3" style="61" bestFit="1" customWidth="1"/>
    <col min="2" max="2" width="12.28515625" style="53" bestFit="1" customWidth="1"/>
    <col min="3" max="3" width="13.42578125" style="53" bestFit="1" customWidth="1"/>
    <col min="4" max="4" width="9.140625" style="61"/>
    <col min="5" max="5" width="9.140625" style="53"/>
    <col min="6" max="6" width="12.140625" style="53" bestFit="1" customWidth="1"/>
    <col min="7" max="16384" width="9.140625" style="53"/>
  </cols>
  <sheetData>
    <row r="1" spans="1:6" ht="38.25">
      <c r="A1" s="60" t="s">
        <v>1254</v>
      </c>
      <c r="B1" s="14" t="s">
        <v>2</v>
      </c>
      <c r="C1" s="14" t="s">
        <v>3</v>
      </c>
      <c r="D1" s="62" t="s">
        <v>1255</v>
      </c>
    </row>
    <row r="2" spans="1:6">
      <c r="A2" s="58">
        <f t="shared" ref="A2:A35" si="0">IF($B2="","",(ROW($A1)))</f>
        <v>1</v>
      </c>
      <c r="B2" s="10" t="s">
        <v>55</v>
      </c>
      <c r="C2" s="10" t="s">
        <v>89</v>
      </c>
      <c r="D2" s="58">
        <v>1</v>
      </c>
      <c r="F2" s="61"/>
    </row>
    <row r="3" spans="1:6">
      <c r="A3" s="58">
        <f t="shared" si="0"/>
        <v>2</v>
      </c>
      <c r="B3" s="10" t="s">
        <v>57</v>
      </c>
      <c r="C3" s="10" t="s">
        <v>55</v>
      </c>
      <c r="D3" s="58">
        <v>1</v>
      </c>
    </row>
    <row r="4" spans="1:6">
      <c r="A4" s="58">
        <f t="shared" si="0"/>
        <v>3</v>
      </c>
      <c r="B4" s="10" t="s">
        <v>57</v>
      </c>
      <c r="C4" s="10" t="s">
        <v>89</v>
      </c>
      <c r="D4" s="58">
        <v>2</v>
      </c>
    </row>
    <row r="5" spans="1:6">
      <c r="A5" s="58">
        <f t="shared" si="0"/>
        <v>4</v>
      </c>
      <c r="B5" s="10" t="s">
        <v>257</v>
      </c>
      <c r="C5" s="10" t="s">
        <v>55</v>
      </c>
      <c r="D5" s="58">
        <v>1</v>
      </c>
    </row>
    <row r="6" spans="1:6">
      <c r="A6" s="58">
        <f t="shared" si="0"/>
        <v>5</v>
      </c>
      <c r="B6" s="10" t="s">
        <v>257</v>
      </c>
      <c r="C6" s="10" t="s">
        <v>89</v>
      </c>
      <c r="D6" s="58">
        <v>2</v>
      </c>
    </row>
    <row r="7" spans="1:6">
      <c r="A7" s="58">
        <f t="shared" si="0"/>
        <v>6</v>
      </c>
      <c r="B7" s="10" t="s">
        <v>146</v>
      </c>
      <c r="C7" s="10" t="s">
        <v>137</v>
      </c>
      <c r="D7" s="58">
        <v>1</v>
      </c>
    </row>
    <row r="8" spans="1:6">
      <c r="A8" s="58">
        <f t="shared" si="0"/>
        <v>7</v>
      </c>
      <c r="B8" s="10" t="s">
        <v>146</v>
      </c>
      <c r="C8" s="10" t="s">
        <v>55</v>
      </c>
      <c r="D8" s="58">
        <v>2</v>
      </c>
    </row>
    <row r="9" spans="1:6">
      <c r="A9" s="58">
        <f t="shared" si="0"/>
        <v>8</v>
      </c>
      <c r="B9" s="10" t="s">
        <v>146</v>
      </c>
      <c r="C9" s="10" t="s">
        <v>89</v>
      </c>
      <c r="D9" s="58">
        <v>3</v>
      </c>
    </row>
    <row r="10" spans="1:6">
      <c r="A10" s="58">
        <f t="shared" si="0"/>
        <v>9</v>
      </c>
      <c r="B10" s="10" t="s">
        <v>272</v>
      </c>
      <c r="C10" s="10" t="s">
        <v>137</v>
      </c>
      <c r="D10" s="58">
        <v>1</v>
      </c>
    </row>
    <row r="11" spans="1:6">
      <c r="A11" s="58">
        <f t="shared" si="0"/>
        <v>10</v>
      </c>
      <c r="B11" s="10" t="s">
        <v>272</v>
      </c>
      <c r="C11" s="10" t="s">
        <v>55</v>
      </c>
      <c r="D11" s="58">
        <v>2</v>
      </c>
    </row>
    <row r="12" spans="1:6">
      <c r="A12" s="58">
        <f t="shared" si="0"/>
        <v>11</v>
      </c>
      <c r="B12" s="10" t="s">
        <v>272</v>
      </c>
      <c r="C12" s="10" t="s">
        <v>89</v>
      </c>
      <c r="D12" s="58">
        <v>3</v>
      </c>
    </row>
    <row r="13" spans="1:6">
      <c r="A13" s="58">
        <f t="shared" si="0"/>
        <v>12</v>
      </c>
      <c r="B13" s="10" t="s">
        <v>436</v>
      </c>
      <c r="C13" s="10" t="s">
        <v>137</v>
      </c>
      <c r="D13" s="58">
        <v>1</v>
      </c>
    </row>
    <row r="14" spans="1:6">
      <c r="A14" s="58">
        <f t="shared" si="0"/>
        <v>13</v>
      </c>
      <c r="B14" s="10" t="s">
        <v>436</v>
      </c>
      <c r="C14" s="10" t="s">
        <v>55</v>
      </c>
      <c r="D14" s="58">
        <v>2</v>
      </c>
    </row>
    <row r="15" spans="1:6">
      <c r="A15" s="58">
        <f t="shared" si="0"/>
        <v>14</v>
      </c>
      <c r="B15" s="10" t="s">
        <v>436</v>
      </c>
      <c r="C15" s="10" t="s">
        <v>89</v>
      </c>
      <c r="D15" s="58">
        <v>3</v>
      </c>
    </row>
    <row r="16" spans="1:6">
      <c r="A16" s="58">
        <f t="shared" si="0"/>
        <v>15</v>
      </c>
      <c r="B16" s="10" t="s">
        <v>511</v>
      </c>
      <c r="C16" s="10" t="s">
        <v>137</v>
      </c>
      <c r="D16" s="58">
        <v>1</v>
      </c>
    </row>
    <row r="17" spans="1:4">
      <c r="A17" s="58">
        <f t="shared" si="0"/>
        <v>16</v>
      </c>
      <c r="B17" s="10" t="s">
        <v>511</v>
      </c>
      <c r="C17" s="10" t="s">
        <v>55</v>
      </c>
      <c r="D17" s="58">
        <v>2</v>
      </c>
    </row>
    <row r="18" spans="1:4">
      <c r="A18" s="58">
        <f t="shared" si="0"/>
        <v>17</v>
      </c>
      <c r="B18" s="10" t="s">
        <v>511</v>
      </c>
      <c r="C18" s="10" t="s">
        <v>89</v>
      </c>
      <c r="D18" s="58">
        <v>3</v>
      </c>
    </row>
    <row r="19" spans="1:4">
      <c r="A19" s="58">
        <f t="shared" si="0"/>
        <v>18</v>
      </c>
      <c r="B19" s="10" t="s">
        <v>515</v>
      </c>
      <c r="C19" s="10" t="s">
        <v>137</v>
      </c>
      <c r="D19" s="58">
        <v>1</v>
      </c>
    </row>
    <row r="20" spans="1:4">
      <c r="A20" s="58">
        <f t="shared" si="0"/>
        <v>19</v>
      </c>
      <c r="B20" s="10" t="s">
        <v>515</v>
      </c>
      <c r="C20" s="10" t="s">
        <v>55</v>
      </c>
      <c r="D20" s="58">
        <v>2</v>
      </c>
    </row>
    <row r="21" spans="1:4">
      <c r="A21" s="58">
        <f t="shared" si="0"/>
        <v>20</v>
      </c>
      <c r="B21" s="10" t="s">
        <v>515</v>
      </c>
      <c r="C21" s="10" t="s">
        <v>89</v>
      </c>
      <c r="D21" s="58">
        <v>3</v>
      </c>
    </row>
    <row r="22" spans="1:4">
      <c r="A22" s="58">
        <f t="shared" si="0"/>
        <v>21</v>
      </c>
      <c r="B22" s="10" t="s">
        <v>519</v>
      </c>
      <c r="C22" s="10" t="s">
        <v>137</v>
      </c>
      <c r="D22" s="58">
        <v>1</v>
      </c>
    </row>
    <row r="23" spans="1:4">
      <c r="A23" s="58">
        <f t="shared" si="0"/>
        <v>22</v>
      </c>
      <c r="B23" s="10" t="s">
        <v>519</v>
      </c>
      <c r="C23" s="10" t="s">
        <v>55</v>
      </c>
      <c r="D23" s="58">
        <v>2</v>
      </c>
    </row>
    <row r="24" spans="1:4">
      <c r="A24" s="58">
        <f t="shared" si="0"/>
        <v>23</v>
      </c>
      <c r="B24" s="10" t="s">
        <v>519</v>
      </c>
      <c r="C24" s="10" t="s">
        <v>89</v>
      </c>
      <c r="D24" s="58">
        <v>3</v>
      </c>
    </row>
    <row r="25" spans="1:4">
      <c r="A25" s="58">
        <f t="shared" si="0"/>
        <v>24</v>
      </c>
      <c r="B25" s="10" t="s">
        <v>524</v>
      </c>
      <c r="C25" s="10" t="s">
        <v>137</v>
      </c>
      <c r="D25" s="58">
        <v>1</v>
      </c>
    </row>
    <row r="26" spans="1:4">
      <c r="A26" s="58">
        <f t="shared" si="0"/>
        <v>25</v>
      </c>
      <c r="B26" s="10" t="s">
        <v>524</v>
      </c>
      <c r="C26" s="10" t="s">
        <v>55</v>
      </c>
      <c r="D26" s="58">
        <v>2</v>
      </c>
    </row>
    <row r="27" spans="1:4">
      <c r="A27" s="58">
        <f t="shared" si="0"/>
        <v>26</v>
      </c>
      <c r="B27" s="10" t="s">
        <v>524</v>
      </c>
      <c r="C27" s="10" t="s">
        <v>89</v>
      </c>
      <c r="D27" s="58">
        <v>3</v>
      </c>
    </row>
    <row r="28" spans="1:4">
      <c r="A28" s="58">
        <f t="shared" si="0"/>
        <v>27</v>
      </c>
      <c r="B28" s="10" t="s">
        <v>564</v>
      </c>
      <c r="C28" s="10" t="s">
        <v>146</v>
      </c>
      <c r="D28" s="58">
        <v>1</v>
      </c>
    </row>
    <row r="29" spans="1:4">
      <c r="A29" s="58">
        <f t="shared" si="0"/>
        <v>28</v>
      </c>
      <c r="B29" s="10" t="s">
        <v>564</v>
      </c>
      <c r="C29" s="10" t="s">
        <v>137</v>
      </c>
      <c r="D29" s="58">
        <v>2</v>
      </c>
    </row>
    <row r="30" spans="1:4">
      <c r="A30" s="58">
        <f t="shared" si="0"/>
        <v>29</v>
      </c>
      <c r="B30" s="10" t="s">
        <v>564</v>
      </c>
      <c r="C30" s="10" t="s">
        <v>55</v>
      </c>
      <c r="D30" s="58">
        <v>3</v>
      </c>
    </row>
    <row r="31" spans="1:4">
      <c r="A31" s="58">
        <f t="shared" si="0"/>
        <v>30</v>
      </c>
      <c r="B31" s="10" t="s">
        <v>564</v>
      </c>
      <c r="C31" s="10" t="s">
        <v>89</v>
      </c>
      <c r="D31" s="58">
        <v>4</v>
      </c>
    </row>
    <row r="32" spans="1:4">
      <c r="A32" s="58">
        <f t="shared" si="0"/>
        <v>31</v>
      </c>
      <c r="B32" s="10" t="s">
        <v>570</v>
      </c>
      <c r="C32" s="10" t="s">
        <v>137</v>
      </c>
      <c r="D32" s="58">
        <v>1</v>
      </c>
    </row>
    <row r="33" spans="1:4">
      <c r="A33" s="58">
        <f t="shared" si="0"/>
        <v>32</v>
      </c>
      <c r="B33" s="10" t="s">
        <v>570</v>
      </c>
      <c r="C33" s="10" t="s">
        <v>55</v>
      </c>
      <c r="D33" s="58">
        <v>2</v>
      </c>
    </row>
    <row r="34" spans="1:4">
      <c r="A34" s="58">
        <f t="shared" si="0"/>
        <v>33</v>
      </c>
      <c r="B34" s="10" t="s">
        <v>570</v>
      </c>
      <c r="C34" s="10" t="s">
        <v>89</v>
      </c>
      <c r="D34" s="58">
        <v>3</v>
      </c>
    </row>
    <row r="35" spans="1:4">
      <c r="A35" s="58">
        <f t="shared" si="0"/>
        <v>34</v>
      </c>
      <c r="B35" s="10" t="s">
        <v>137</v>
      </c>
      <c r="C35" s="10" t="s">
        <v>55</v>
      </c>
      <c r="D35" s="58">
        <v>1</v>
      </c>
    </row>
    <row r="36" spans="1:4">
      <c r="A36" s="58">
        <f t="shared" ref="A36:A94" si="1">IF($B36="","",(ROW($A35)))</f>
        <v>35</v>
      </c>
      <c r="B36" s="10" t="s">
        <v>137</v>
      </c>
      <c r="C36" s="10" t="s">
        <v>89</v>
      </c>
      <c r="D36" s="58">
        <v>2</v>
      </c>
    </row>
    <row r="37" spans="1:4">
      <c r="A37" s="58">
        <f t="shared" si="1"/>
        <v>36</v>
      </c>
      <c r="B37" s="53" t="s">
        <v>808</v>
      </c>
      <c r="C37" s="53" t="s">
        <v>137</v>
      </c>
      <c r="D37" s="61">
        <v>1</v>
      </c>
    </row>
    <row r="38" spans="1:4">
      <c r="A38" s="58">
        <f t="shared" si="1"/>
        <v>37</v>
      </c>
      <c r="B38" s="53" t="s">
        <v>808</v>
      </c>
      <c r="C38" s="53" t="s">
        <v>55</v>
      </c>
      <c r="D38" s="61">
        <v>2</v>
      </c>
    </row>
    <row r="39" spans="1:4">
      <c r="A39" s="58">
        <f t="shared" si="1"/>
        <v>38</v>
      </c>
      <c r="B39" s="53" t="s">
        <v>808</v>
      </c>
      <c r="C39" s="53" t="s">
        <v>89</v>
      </c>
      <c r="D39" s="61">
        <v>3</v>
      </c>
    </row>
    <row r="40" spans="1:4">
      <c r="A40" s="58">
        <f t="shared" si="1"/>
        <v>39</v>
      </c>
      <c r="B40" s="53" t="s">
        <v>848</v>
      </c>
      <c r="C40" s="53" t="s">
        <v>57</v>
      </c>
      <c r="D40" s="61">
        <v>1</v>
      </c>
    </row>
    <row r="41" spans="1:4">
      <c r="A41" s="58">
        <f t="shared" si="1"/>
        <v>40</v>
      </c>
      <c r="B41" s="53" t="s">
        <v>848</v>
      </c>
      <c r="C41" s="53" t="s">
        <v>55</v>
      </c>
      <c r="D41" s="61">
        <v>2</v>
      </c>
    </row>
    <row r="42" spans="1:4">
      <c r="A42" s="58">
        <f t="shared" si="1"/>
        <v>41</v>
      </c>
      <c r="B42" s="53" t="s">
        <v>848</v>
      </c>
      <c r="C42" s="53" t="s">
        <v>89</v>
      </c>
      <c r="D42" s="61">
        <v>3</v>
      </c>
    </row>
    <row r="43" spans="1:4">
      <c r="A43" s="58">
        <f t="shared" si="1"/>
        <v>42</v>
      </c>
      <c r="B43" s="53" t="s">
        <v>917</v>
      </c>
      <c r="C43" s="53" t="s">
        <v>57</v>
      </c>
      <c r="D43" s="61">
        <v>1</v>
      </c>
    </row>
    <row r="44" spans="1:4">
      <c r="A44" s="58">
        <f t="shared" si="1"/>
        <v>43</v>
      </c>
      <c r="B44" s="53" t="s">
        <v>917</v>
      </c>
      <c r="C44" s="53" t="s">
        <v>55</v>
      </c>
      <c r="D44" s="61">
        <v>2</v>
      </c>
    </row>
    <row r="45" spans="1:4">
      <c r="A45" s="58">
        <f t="shared" si="1"/>
        <v>44</v>
      </c>
      <c r="B45" s="53" t="s">
        <v>917</v>
      </c>
      <c r="C45" s="53" t="s">
        <v>89</v>
      </c>
      <c r="D45" s="61">
        <v>3</v>
      </c>
    </row>
    <row r="46" spans="1:4">
      <c r="A46" s="58">
        <f t="shared" si="1"/>
        <v>45</v>
      </c>
      <c r="B46" s="53" t="s">
        <v>941</v>
      </c>
      <c r="C46" s="53" t="s">
        <v>137</v>
      </c>
      <c r="D46" s="61">
        <v>1</v>
      </c>
    </row>
    <row r="47" spans="1:4">
      <c r="A47" s="58">
        <f t="shared" si="1"/>
        <v>46</v>
      </c>
      <c r="B47" s="53" t="s">
        <v>941</v>
      </c>
      <c r="C47" s="53" t="s">
        <v>55</v>
      </c>
      <c r="D47" s="61">
        <v>2</v>
      </c>
    </row>
    <row r="48" spans="1:4">
      <c r="A48" s="58">
        <f t="shared" si="1"/>
        <v>47</v>
      </c>
      <c r="B48" s="53" t="s">
        <v>941</v>
      </c>
      <c r="C48" s="53" t="s">
        <v>89</v>
      </c>
      <c r="D48" s="61">
        <v>3</v>
      </c>
    </row>
    <row r="49" spans="1:4">
      <c r="A49" s="58">
        <f t="shared" si="1"/>
        <v>48</v>
      </c>
      <c r="B49" s="53" t="s">
        <v>943</v>
      </c>
      <c r="C49" s="53" t="s">
        <v>137</v>
      </c>
      <c r="D49" s="61">
        <v>1</v>
      </c>
    </row>
    <row r="50" spans="1:4">
      <c r="A50" s="58">
        <f t="shared" si="1"/>
        <v>49</v>
      </c>
      <c r="B50" s="53" t="s">
        <v>943</v>
      </c>
      <c r="C50" s="53" t="s">
        <v>55</v>
      </c>
      <c r="D50" s="61">
        <v>2</v>
      </c>
    </row>
    <row r="51" spans="1:4">
      <c r="A51" s="58">
        <f t="shared" si="1"/>
        <v>50</v>
      </c>
      <c r="B51" s="53" t="s">
        <v>943</v>
      </c>
      <c r="C51" s="53" t="s">
        <v>89</v>
      </c>
      <c r="D51" s="61">
        <v>3</v>
      </c>
    </row>
    <row r="52" spans="1:4">
      <c r="A52" s="58">
        <f t="shared" si="1"/>
        <v>51</v>
      </c>
      <c r="B52" s="53" t="s">
        <v>945</v>
      </c>
      <c r="C52" s="53" t="s">
        <v>55</v>
      </c>
      <c r="D52" s="61">
        <v>1</v>
      </c>
    </row>
    <row r="53" spans="1:4">
      <c r="A53" s="58">
        <f t="shared" si="1"/>
        <v>52</v>
      </c>
      <c r="B53" s="53" t="s">
        <v>945</v>
      </c>
      <c r="C53" s="53" t="s">
        <v>89</v>
      </c>
      <c r="D53" s="61">
        <v>2</v>
      </c>
    </row>
    <row r="54" spans="1:4">
      <c r="A54" s="58">
        <f t="shared" si="1"/>
        <v>53</v>
      </c>
      <c r="B54" s="53" t="s">
        <v>852</v>
      </c>
      <c r="C54" s="53" t="s">
        <v>57</v>
      </c>
      <c r="D54" s="61">
        <v>1</v>
      </c>
    </row>
    <row r="55" spans="1:4">
      <c r="A55" s="58">
        <f t="shared" si="1"/>
        <v>54</v>
      </c>
      <c r="B55" s="53" t="s">
        <v>852</v>
      </c>
      <c r="C55" s="53" t="s">
        <v>55</v>
      </c>
      <c r="D55" s="61">
        <v>2</v>
      </c>
    </row>
    <row r="56" spans="1:4">
      <c r="A56" s="58">
        <f t="shared" si="1"/>
        <v>55</v>
      </c>
      <c r="B56" s="53" t="s">
        <v>852</v>
      </c>
      <c r="C56" s="53" t="s">
        <v>89</v>
      </c>
      <c r="D56" s="61">
        <v>3</v>
      </c>
    </row>
    <row r="57" spans="1:4">
      <c r="A57" s="58">
        <f t="shared" si="1"/>
        <v>56</v>
      </c>
      <c r="B57" s="53" t="s">
        <v>262</v>
      </c>
      <c r="C57" s="53" t="s">
        <v>55</v>
      </c>
      <c r="D57" s="61">
        <v>1</v>
      </c>
    </row>
    <row r="58" spans="1:4">
      <c r="A58" s="58">
        <f t="shared" si="1"/>
        <v>57</v>
      </c>
      <c r="B58" s="53" t="s">
        <v>262</v>
      </c>
      <c r="C58" s="53" t="s">
        <v>89</v>
      </c>
      <c r="D58" s="61">
        <v>2</v>
      </c>
    </row>
    <row r="59" spans="1:4">
      <c r="A59" s="58">
        <f t="shared" si="1"/>
        <v>58</v>
      </c>
      <c r="B59" s="53" t="s">
        <v>853</v>
      </c>
      <c r="C59" s="53" t="s">
        <v>262</v>
      </c>
      <c r="D59" s="61">
        <v>1</v>
      </c>
    </row>
    <row r="60" spans="1:4">
      <c r="A60" s="58">
        <f t="shared" si="1"/>
        <v>59</v>
      </c>
      <c r="B60" s="53" t="s">
        <v>853</v>
      </c>
      <c r="C60" s="53" t="s">
        <v>55</v>
      </c>
      <c r="D60" s="61">
        <v>2</v>
      </c>
    </row>
    <row r="61" spans="1:4">
      <c r="A61" s="58">
        <f t="shared" si="1"/>
        <v>60</v>
      </c>
      <c r="B61" s="53" t="s">
        <v>853</v>
      </c>
      <c r="C61" s="53" t="s">
        <v>89</v>
      </c>
      <c r="D61" s="61">
        <v>3</v>
      </c>
    </row>
    <row r="62" spans="1:4">
      <c r="A62" s="58">
        <f t="shared" si="1"/>
        <v>61</v>
      </c>
      <c r="B62" s="53" t="s">
        <v>184</v>
      </c>
      <c r="C62" s="53" t="s">
        <v>262</v>
      </c>
      <c r="D62" s="61">
        <v>1</v>
      </c>
    </row>
    <row r="63" spans="1:4">
      <c r="A63" s="58">
        <f t="shared" si="1"/>
        <v>62</v>
      </c>
      <c r="B63" s="53" t="s">
        <v>184</v>
      </c>
      <c r="C63" s="53" t="s">
        <v>55</v>
      </c>
      <c r="D63" s="61">
        <v>2</v>
      </c>
    </row>
    <row r="64" spans="1:4">
      <c r="A64" s="58">
        <f t="shared" si="1"/>
        <v>63</v>
      </c>
      <c r="B64" s="53" t="s">
        <v>184</v>
      </c>
      <c r="C64" s="53" t="s">
        <v>89</v>
      </c>
      <c r="D64" s="61">
        <v>3</v>
      </c>
    </row>
    <row r="65" spans="1:4">
      <c r="A65" s="58">
        <f t="shared" si="1"/>
        <v>64</v>
      </c>
      <c r="B65" s="53" t="s">
        <v>461</v>
      </c>
      <c r="C65" s="53" t="s">
        <v>184</v>
      </c>
      <c r="D65" s="61">
        <v>1</v>
      </c>
    </row>
    <row r="66" spans="1:4">
      <c r="A66" s="58">
        <f t="shared" si="1"/>
        <v>65</v>
      </c>
      <c r="B66" s="53" t="s">
        <v>461</v>
      </c>
      <c r="C66" s="53" t="s">
        <v>262</v>
      </c>
      <c r="D66" s="61">
        <v>2</v>
      </c>
    </row>
    <row r="67" spans="1:4">
      <c r="A67" s="58">
        <f t="shared" si="1"/>
        <v>66</v>
      </c>
      <c r="B67" s="53" t="s">
        <v>461</v>
      </c>
      <c r="C67" s="53" t="s">
        <v>55</v>
      </c>
      <c r="D67" s="61">
        <v>3</v>
      </c>
    </row>
    <row r="68" spans="1:4">
      <c r="A68" s="58">
        <f t="shared" si="1"/>
        <v>67</v>
      </c>
      <c r="B68" s="53" t="s">
        <v>461</v>
      </c>
      <c r="C68" s="53" t="s">
        <v>89</v>
      </c>
      <c r="D68" s="61">
        <v>4</v>
      </c>
    </row>
    <row r="69" spans="1:4">
      <c r="A69" s="58">
        <f t="shared" si="1"/>
        <v>68</v>
      </c>
      <c r="B69" s="53" t="s">
        <v>921</v>
      </c>
      <c r="C69" s="53" t="s">
        <v>55</v>
      </c>
      <c r="D69" s="61">
        <v>1</v>
      </c>
    </row>
    <row r="70" spans="1:4">
      <c r="A70" s="58">
        <f t="shared" si="1"/>
        <v>69</v>
      </c>
      <c r="B70" s="53" t="s">
        <v>921</v>
      </c>
      <c r="C70" s="53" t="s">
        <v>89</v>
      </c>
      <c r="D70" s="61">
        <v>2</v>
      </c>
    </row>
    <row r="71" spans="1:4">
      <c r="A71" s="58">
        <f t="shared" si="1"/>
        <v>70</v>
      </c>
      <c r="B71" s="53" t="s">
        <v>386</v>
      </c>
      <c r="C71" s="53" t="s">
        <v>484</v>
      </c>
      <c r="D71" s="61">
        <v>1</v>
      </c>
    </row>
    <row r="72" spans="1:4">
      <c r="A72" s="58">
        <f t="shared" si="1"/>
        <v>71</v>
      </c>
      <c r="B72" s="53" t="s">
        <v>386</v>
      </c>
      <c r="C72" s="53" t="s">
        <v>917</v>
      </c>
      <c r="D72" s="61">
        <v>2</v>
      </c>
    </row>
    <row r="73" spans="1:4">
      <c r="A73" s="58">
        <f t="shared" si="1"/>
        <v>72</v>
      </c>
      <c r="B73" s="53" t="s">
        <v>386</v>
      </c>
      <c r="C73" s="53" t="s">
        <v>57</v>
      </c>
      <c r="D73" s="61">
        <v>3</v>
      </c>
    </row>
    <row r="74" spans="1:4">
      <c r="A74" s="58">
        <f t="shared" si="1"/>
        <v>73</v>
      </c>
      <c r="B74" s="53" t="s">
        <v>386</v>
      </c>
      <c r="C74" s="53" t="s">
        <v>55</v>
      </c>
      <c r="D74" s="61">
        <v>4</v>
      </c>
    </row>
    <row r="75" spans="1:4">
      <c r="A75" s="58">
        <f t="shared" si="1"/>
        <v>74</v>
      </c>
      <c r="B75" s="53" t="s">
        <v>386</v>
      </c>
      <c r="C75" s="53" t="s">
        <v>89</v>
      </c>
      <c r="D75" s="61">
        <v>5</v>
      </c>
    </row>
    <row r="76" spans="1:4">
      <c r="A76" s="58">
        <f t="shared" si="1"/>
        <v>75</v>
      </c>
      <c r="B76" s="53" t="s">
        <v>428</v>
      </c>
      <c r="C76" s="53" t="s">
        <v>484</v>
      </c>
      <c r="D76" s="61">
        <v>1</v>
      </c>
    </row>
    <row r="77" spans="1:4">
      <c r="A77" s="58">
        <f t="shared" si="1"/>
        <v>76</v>
      </c>
      <c r="B77" s="53" t="s">
        <v>428</v>
      </c>
      <c r="C77" s="53" t="s">
        <v>917</v>
      </c>
      <c r="D77" s="61">
        <v>2</v>
      </c>
    </row>
    <row r="78" spans="1:4">
      <c r="A78" s="58">
        <f t="shared" si="1"/>
        <v>77</v>
      </c>
      <c r="B78" s="53" t="s">
        <v>428</v>
      </c>
      <c r="C78" s="53" t="s">
        <v>57</v>
      </c>
      <c r="D78" s="61">
        <v>3</v>
      </c>
    </row>
    <row r="79" spans="1:4">
      <c r="A79" s="58">
        <f t="shared" si="1"/>
        <v>78</v>
      </c>
      <c r="B79" s="53" t="s">
        <v>428</v>
      </c>
      <c r="C79" s="53" t="s">
        <v>55</v>
      </c>
      <c r="D79" s="61">
        <v>4</v>
      </c>
    </row>
    <row r="80" spans="1:4">
      <c r="A80" s="58">
        <f t="shared" si="1"/>
        <v>79</v>
      </c>
      <c r="B80" s="53" t="s">
        <v>428</v>
      </c>
      <c r="C80" s="53" t="s">
        <v>89</v>
      </c>
      <c r="D80" s="61">
        <v>5</v>
      </c>
    </row>
    <row r="81" spans="1:4">
      <c r="A81" s="58">
        <f t="shared" si="1"/>
        <v>80</v>
      </c>
      <c r="B81" s="53" t="s">
        <v>427</v>
      </c>
      <c r="C81" s="53" t="s">
        <v>428</v>
      </c>
      <c r="D81" s="61">
        <v>1</v>
      </c>
    </row>
    <row r="82" spans="1:4">
      <c r="A82" s="58">
        <f t="shared" si="1"/>
        <v>81</v>
      </c>
      <c r="B82" s="53" t="s">
        <v>427</v>
      </c>
      <c r="C82" s="53" t="s">
        <v>484</v>
      </c>
      <c r="D82" s="61">
        <v>2</v>
      </c>
    </row>
    <row r="83" spans="1:4">
      <c r="A83" s="58">
        <f t="shared" si="1"/>
        <v>82</v>
      </c>
      <c r="B83" s="53" t="s">
        <v>427</v>
      </c>
      <c r="C83" s="53" t="s">
        <v>917</v>
      </c>
      <c r="D83" s="61">
        <v>3</v>
      </c>
    </row>
    <row r="84" spans="1:4">
      <c r="A84" s="58">
        <f t="shared" si="1"/>
        <v>83</v>
      </c>
      <c r="B84" s="53" t="s">
        <v>427</v>
      </c>
      <c r="C84" s="53" t="s">
        <v>57</v>
      </c>
      <c r="D84" s="61">
        <v>4</v>
      </c>
    </row>
    <row r="85" spans="1:4">
      <c r="A85" s="58">
        <f t="shared" si="1"/>
        <v>84</v>
      </c>
      <c r="B85" s="53" t="s">
        <v>427</v>
      </c>
      <c r="C85" s="53" t="s">
        <v>55</v>
      </c>
      <c r="D85" s="61">
        <v>5</v>
      </c>
    </row>
    <row r="86" spans="1:4">
      <c r="A86" s="58">
        <f t="shared" si="1"/>
        <v>85</v>
      </c>
      <c r="B86" s="53" t="s">
        <v>427</v>
      </c>
      <c r="C86" s="53" t="s">
        <v>89</v>
      </c>
      <c r="D86" s="61">
        <v>6</v>
      </c>
    </row>
    <row r="87" spans="1:4">
      <c r="A87" s="58">
        <f t="shared" si="1"/>
        <v>86</v>
      </c>
      <c r="B87" s="53" t="s">
        <v>541</v>
      </c>
      <c r="C87" s="53" t="s">
        <v>55</v>
      </c>
      <c r="D87" s="61">
        <v>1</v>
      </c>
    </row>
    <row r="88" spans="1:4">
      <c r="A88" s="58">
        <f t="shared" si="1"/>
        <v>87</v>
      </c>
      <c r="B88" s="53" t="s">
        <v>541</v>
      </c>
      <c r="C88" s="53" t="s">
        <v>89</v>
      </c>
      <c r="D88" s="61">
        <v>2</v>
      </c>
    </row>
    <row r="89" spans="1:4">
      <c r="A89" s="58">
        <f t="shared" si="1"/>
        <v>88</v>
      </c>
      <c r="B89" s="53" t="s">
        <v>207</v>
      </c>
      <c r="C89" s="53" t="s">
        <v>921</v>
      </c>
      <c r="D89" s="61">
        <v>1</v>
      </c>
    </row>
    <row r="90" spans="1:4">
      <c r="A90" s="58">
        <f t="shared" si="1"/>
        <v>89</v>
      </c>
      <c r="B90" s="53" t="s">
        <v>207</v>
      </c>
      <c r="C90" s="53" t="s">
        <v>55</v>
      </c>
      <c r="D90" s="61">
        <v>2</v>
      </c>
    </row>
    <row r="91" spans="1:4">
      <c r="A91" s="58">
        <f t="shared" si="1"/>
        <v>90</v>
      </c>
      <c r="B91" s="53" t="s">
        <v>207</v>
      </c>
      <c r="C91" s="53" t="s">
        <v>89</v>
      </c>
      <c r="D91" s="61">
        <v>3</v>
      </c>
    </row>
    <row r="92" spans="1:4">
      <c r="A92" s="58">
        <f t="shared" si="1"/>
        <v>91</v>
      </c>
      <c r="B92" s="53" t="s">
        <v>535</v>
      </c>
      <c r="C92" s="53" t="s">
        <v>207</v>
      </c>
      <c r="D92" s="61">
        <v>1</v>
      </c>
    </row>
    <row r="93" spans="1:4">
      <c r="A93" s="58">
        <f t="shared" si="1"/>
        <v>92</v>
      </c>
      <c r="B93" s="53" t="s">
        <v>535</v>
      </c>
      <c r="C93" s="53" t="s">
        <v>921</v>
      </c>
      <c r="D93" s="61">
        <v>2</v>
      </c>
    </row>
    <row r="94" spans="1:4">
      <c r="A94" s="58">
        <f t="shared" si="1"/>
        <v>93</v>
      </c>
      <c r="B94" s="53" t="s">
        <v>535</v>
      </c>
      <c r="C94" s="53" t="s">
        <v>55</v>
      </c>
      <c r="D94" s="61">
        <v>3</v>
      </c>
    </row>
    <row r="95" spans="1:4">
      <c r="A95" s="58">
        <f t="shared" ref="A95:A158" si="2">IF($B95="","",(ROW($A94)))</f>
        <v>94</v>
      </c>
      <c r="B95" s="53" t="s">
        <v>535</v>
      </c>
      <c r="C95" s="53" t="s">
        <v>89</v>
      </c>
      <c r="D95" s="61">
        <v>4</v>
      </c>
    </row>
    <row r="96" spans="1:4">
      <c r="A96" s="58" t="str">
        <f t="shared" si="2"/>
        <v/>
      </c>
    </row>
    <row r="97" spans="1:1">
      <c r="A97" s="58" t="str">
        <f t="shared" si="2"/>
        <v/>
      </c>
    </row>
    <row r="98" spans="1:1">
      <c r="A98" s="58" t="str">
        <f t="shared" si="2"/>
        <v/>
      </c>
    </row>
    <row r="99" spans="1:1">
      <c r="A99" s="58" t="str">
        <f t="shared" si="2"/>
        <v/>
      </c>
    </row>
    <row r="100" spans="1:1">
      <c r="A100" s="58" t="str">
        <f t="shared" si="2"/>
        <v/>
      </c>
    </row>
    <row r="101" spans="1:1">
      <c r="A101" s="58" t="str">
        <f t="shared" si="2"/>
        <v/>
      </c>
    </row>
    <row r="102" spans="1:1">
      <c r="A102" s="58" t="str">
        <f t="shared" si="2"/>
        <v/>
      </c>
    </row>
    <row r="103" spans="1:1">
      <c r="A103" s="58" t="str">
        <f t="shared" si="2"/>
        <v/>
      </c>
    </row>
    <row r="104" spans="1:1">
      <c r="A104" s="58" t="str">
        <f t="shared" si="2"/>
        <v/>
      </c>
    </row>
    <row r="105" spans="1:1">
      <c r="A105" s="58" t="str">
        <f t="shared" si="2"/>
        <v/>
      </c>
    </row>
    <row r="106" spans="1:1">
      <c r="A106" s="58" t="str">
        <f t="shared" si="2"/>
        <v/>
      </c>
    </row>
    <row r="107" spans="1:1">
      <c r="A107" s="58" t="str">
        <f t="shared" si="2"/>
        <v/>
      </c>
    </row>
    <row r="108" spans="1:1">
      <c r="A108" s="58" t="str">
        <f t="shared" si="2"/>
        <v/>
      </c>
    </row>
    <row r="109" spans="1:1">
      <c r="A109" s="58" t="str">
        <f t="shared" si="2"/>
        <v/>
      </c>
    </row>
    <row r="110" spans="1:1">
      <c r="A110" s="58" t="str">
        <f t="shared" si="2"/>
        <v/>
      </c>
    </row>
    <row r="111" spans="1:1">
      <c r="A111" s="58" t="str">
        <f t="shared" si="2"/>
        <v/>
      </c>
    </row>
    <row r="112" spans="1:1">
      <c r="A112" s="58" t="str">
        <f t="shared" si="2"/>
        <v/>
      </c>
    </row>
    <row r="113" spans="1:1">
      <c r="A113" s="58" t="str">
        <f t="shared" si="2"/>
        <v/>
      </c>
    </row>
    <row r="114" spans="1:1">
      <c r="A114" s="58" t="str">
        <f t="shared" si="2"/>
        <v/>
      </c>
    </row>
    <row r="115" spans="1:1">
      <c r="A115" s="58" t="str">
        <f t="shared" si="2"/>
        <v/>
      </c>
    </row>
    <row r="116" spans="1:1">
      <c r="A116" s="58" t="str">
        <f t="shared" si="2"/>
        <v/>
      </c>
    </row>
    <row r="117" spans="1:1">
      <c r="A117" s="58" t="str">
        <f t="shared" si="2"/>
        <v/>
      </c>
    </row>
    <row r="118" spans="1:1">
      <c r="A118" s="58" t="str">
        <f t="shared" si="2"/>
        <v/>
      </c>
    </row>
    <row r="119" spans="1:1">
      <c r="A119" s="58" t="str">
        <f t="shared" si="2"/>
        <v/>
      </c>
    </row>
    <row r="120" spans="1:1">
      <c r="A120" s="58" t="str">
        <f t="shared" si="2"/>
        <v/>
      </c>
    </row>
    <row r="121" spans="1:1">
      <c r="A121" s="58" t="str">
        <f t="shared" si="2"/>
        <v/>
      </c>
    </row>
    <row r="122" spans="1:1">
      <c r="A122" s="58" t="str">
        <f t="shared" si="2"/>
        <v/>
      </c>
    </row>
    <row r="123" spans="1:1">
      <c r="A123" s="58" t="str">
        <f t="shared" si="2"/>
        <v/>
      </c>
    </row>
    <row r="124" spans="1:1">
      <c r="A124" s="58" t="str">
        <f t="shared" si="2"/>
        <v/>
      </c>
    </row>
    <row r="125" spans="1:1">
      <c r="A125" s="58" t="str">
        <f t="shared" si="2"/>
        <v/>
      </c>
    </row>
    <row r="126" spans="1:1">
      <c r="A126" s="58" t="str">
        <f t="shared" si="2"/>
        <v/>
      </c>
    </row>
    <row r="127" spans="1:1">
      <c r="A127" s="58" t="str">
        <f t="shared" si="2"/>
        <v/>
      </c>
    </row>
    <row r="128" spans="1:1">
      <c r="A128" s="58" t="str">
        <f t="shared" si="2"/>
        <v/>
      </c>
    </row>
    <row r="129" spans="1:1">
      <c r="A129" s="58" t="str">
        <f t="shared" si="2"/>
        <v/>
      </c>
    </row>
    <row r="130" spans="1:1">
      <c r="A130" s="58" t="str">
        <f t="shared" si="2"/>
        <v/>
      </c>
    </row>
    <row r="131" spans="1:1">
      <c r="A131" s="58" t="str">
        <f t="shared" si="2"/>
        <v/>
      </c>
    </row>
    <row r="132" spans="1:1">
      <c r="A132" s="58" t="str">
        <f t="shared" si="2"/>
        <v/>
      </c>
    </row>
    <row r="133" spans="1:1">
      <c r="A133" s="58" t="str">
        <f t="shared" si="2"/>
        <v/>
      </c>
    </row>
    <row r="134" spans="1:1">
      <c r="A134" s="58" t="str">
        <f t="shared" si="2"/>
        <v/>
      </c>
    </row>
    <row r="135" spans="1:1">
      <c r="A135" s="58" t="str">
        <f t="shared" si="2"/>
        <v/>
      </c>
    </row>
    <row r="136" spans="1:1">
      <c r="A136" s="58" t="str">
        <f t="shared" si="2"/>
        <v/>
      </c>
    </row>
    <row r="137" spans="1:1">
      <c r="A137" s="58" t="str">
        <f t="shared" si="2"/>
        <v/>
      </c>
    </row>
    <row r="138" spans="1:1">
      <c r="A138" s="58" t="str">
        <f t="shared" si="2"/>
        <v/>
      </c>
    </row>
    <row r="139" spans="1:1">
      <c r="A139" s="58" t="str">
        <f t="shared" si="2"/>
        <v/>
      </c>
    </row>
    <row r="140" spans="1:1">
      <c r="A140" s="58" t="str">
        <f t="shared" si="2"/>
        <v/>
      </c>
    </row>
    <row r="141" spans="1:1">
      <c r="A141" s="58" t="str">
        <f t="shared" si="2"/>
        <v/>
      </c>
    </row>
    <row r="142" spans="1:1">
      <c r="A142" s="58" t="str">
        <f t="shared" si="2"/>
        <v/>
      </c>
    </row>
    <row r="143" spans="1:1">
      <c r="A143" s="58" t="str">
        <f t="shared" si="2"/>
        <v/>
      </c>
    </row>
    <row r="144" spans="1:1">
      <c r="A144" s="58" t="str">
        <f t="shared" si="2"/>
        <v/>
      </c>
    </row>
    <row r="145" spans="1:1">
      <c r="A145" s="58" t="str">
        <f t="shared" si="2"/>
        <v/>
      </c>
    </row>
    <row r="146" spans="1:1">
      <c r="A146" s="58" t="str">
        <f t="shared" si="2"/>
        <v/>
      </c>
    </row>
    <row r="147" spans="1:1">
      <c r="A147" s="58" t="str">
        <f t="shared" si="2"/>
        <v/>
      </c>
    </row>
    <row r="148" spans="1:1">
      <c r="A148" s="58" t="str">
        <f t="shared" si="2"/>
        <v/>
      </c>
    </row>
    <row r="149" spans="1:1">
      <c r="A149" s="58" t="str">
        <f t="shared" si="2"/>
        <v/>
      </c>
    </row>
    <row r="150" spans="1:1">
      <c r="A150" s="58" t="str">
        <f t="shared" si="2"/>
        <v/>
      </c>
    </row>
    <row r="151" spans="1:1">
      <c r="A151" s="58" t="str">
        <f t="shared" si="2"/>
        <v/>
      </c>
    </row>
    <row r="152" spans="1:1">
      <c r="A152" s="58" t="str">
        <f t="shared" si="2"/>
        <v/>
      </c>
    </row>
    <row r="153" spans="1:1">
      <c r="A153" s="58" t="str">
        <f t="shared" si="2"/>
        <v/>
      </c>
    </row>
    <row r="154" spans="1:1">
      <c r="A154" s="58" t="str">
        <f t="shared" si="2"/>
        <v/>
      </c>
    </row>
    <row r="155" spans="1:1">
      <c r="A155" s="58" t="str">
        <f t="shared" si="2"/>
        <v/>
      </c>
    </row>
    <row r="156" spans="1:1">
      <c r="A156" s="58" t="str">
        <f t="shared" si="2"/>
        <v/>
      </c>
    </row>
    <row r="157" spans="1:1">
      <c r="A157" s="58" t="str">
        <f t="shared" si="2"/>
        <v/>
      </c>
    </row>
    <row r="158" spans="1:1">
      <c r="A158" s="58" t="str">
        <f t="shared" si="2"/>
        <v/>
      </c>
    </row>
    <row r="159" spans="1:1">
      <c r="A159" s="58" t="str">
        <f t="shared" ref="A159:A222" si="3">IF($B159="","",(ROW($A158)))</f>
        <v/>
      </c>
    </row>
    <row r="160" spans="1:1">
      <c r="A160" s="58" t="str">
        <f t="shared" si="3"/>
        <v/>
      </c>
    </row>
    <row r="161" spans="1:1">
      <c r="A161" s="58" t="str">
        <f t="shared" si="3"/>
        <v/>
      </c>
    </row>
    <row r="162" spans="1:1">
      <c r="A162" s="58" t="str">
        <f t="shared" si="3"/>
        <v/>
      </c>
    </row>
    <row r="163" spans="1:1">
      <c r="A163" s="58" t="str">
        <f t="shared" si="3"/>
        <v/>
      </c>
    </row>
    <row r="164" spans="1:1">
      <c r="A164" s="58" t="str">
        <f t="shared" si="3"/>
        <v/>
      </c>
    </row>
    <row r="165" spans="1:1">
      <c r="A165" s="58" t="str">
        <f t="shared" si="3"/>
        <v/>
      </c>
    </row>
    <row r="166" spans="1:1">
      <c r="A166" s="58" t="str">
        <f t="shared" si="3"/>
        <v/>
      </c>
    </row>
    <row r="167" spans="1:1">
      <c r="A167" s="58" t="str">
        <f t="shared" si="3"/>
        <v/>
      </c>
    </row>
    <row r="168" spans="1:1">
      <c r="A168" s="58" t="str">
        <f t="shared" si="3"/>
        <v/>
      </c>
    </row>
    <row r="169" spans="1:1">
      <c r="A169" s="58" t="str">
        <f t="shared" si="3"/>
        <v/>
      </c>
    </row>
    <row r="170" spans="1:1">
      <c r="A170" s="58" t="str">
        <f t="shared" si="3"/>
        <v/>
      </c>
    </row>
    <row r="171" spans="1:1">
      <c r="A171" s="58" t="str">
        <f t="shared" si="3"/>
        <v/>
      </c>
    </row>
    <row r="172" spans="1:1">
      <c r="A172" s="58" t="str">
        <f t="shared" si="3"/>
        <v/>
      </c>
    </row>
    <row r="173" spans="1:1">
      <c r="A173" s="58" t="str">
        <f t="shared" si="3"/>
        <v/>
      </c>
    </row>
    <row r="174" spans="1:1">
      <c r="A174" s="58" t="str">
        <f t="shared" si="3"/>
        <v/>
      </c>
    </row>
    <row r="175" spans="1:1">
      <c r="A175" s="58" t="str">
        <f t="shared" si="3"/>
        <v/>
      </c>
    </row>
    <row r="176" spans="1:1">
      <c r="A176" s="58" t="str">
        <f t="shared" si="3"/>
        <v/>
      </c>
    </row>
    <row r="177" spans="1:1">
      <c r="A177" s="58" t="str">
        <f t="shared" si="3"/>
        <v/>
      </c>
    </row>
    <row r="178" spans="1:1">
      <c r="A178" s="58" t="str">
        <f t="shared" si="3"/>
        <v/>
      </c>
    </row>
    <row r="179" spans="1:1">
      <c r="A179" s="58" t="str">
        <f t="shared" si="3"/>
        <v/>
      </c>
    </row>
    <row r="180" spans="1:1">
      <c r="A180" s="58" t="str">
        <f t="shared" si="3"/>
        <v/>
      </c>
    </row>
    <row r="181" spans="1:1">
      <c r="A181" s="58" t="str">
        <f t="shared" si="3"/>
        <v/>
      </c>
    </row>
    <row r="182" spans="1:1">
      <c r="A182" s="58" t="str">
        <f t="shared" si="3"/>
        <v/>
      </c>
    </row>
    <row r="183" spans="1:1">
      <c r="A183" s="58" t="str">
        <f t="shared" si="3"/>
        <v/>
      </c>
    </row>
    <row r="184" spans="1:1">
      <c r="A184" s="58" t="str">
        <f t="shared" si="3"/>
        <v/>
      </c>
    </row>
    <row r="185" spans="1:1">
      <c r="A185" s="58" t="str">
        <f t="shared" si="3"/>
        <v/>
      </c>
    </row>
    <row r="186" spans="1:1">
      <c r="A186" s="58" t="str">
        <f t="shared" si="3"/>
        <v/>
      </c>
    </row>
    <row r="187" spans="1:1">
      <c r="A187" s="58" t="str">
        <f t="shared" si="3"/>
        <v/>
      </c>
    </row>
    <row r="188" spans="1:1">
      <c r="A188" s="58" t="str">
        <f t="shared" si="3"/>
        <v/>
      </c>
    </row>
    <row r="189" spans="1:1">
      <c r="A189" s="58" t="str">
        <f t="shared" si="3"/>
        <v/>
      </c>
    </row>
    <row r="190" spans="1:1">
      <c r="A190" s="58" t="str">
        <f t="shared" si="3"/>
        <v/>
      </c>
    </row>
    <row r="191" spans="1:1">
      <c r="A191" s="58" t="str">
        <f t="shared" si="3"/>
        <v/>
      </c>
    </row>
    <row r="192" spans="1:1">
      <c r="A192" s="58" t="str">
        <f t="shared" si="3"/>
        <v/>
      </c>
    </row>
    <row r="193" spans="1:1">
      <c r="A193" s="58" t="str">
        <f t="shared" si="3"/>
        <v/>
      </c>
    </row>
    <row r="194" spans="1:1">
      <c r="A194" s="58" t="str">
        <f t="shared" si="3"/>
        <v/>
      </c>
    </row>
    <row r="195" spans="1:1">
      <c r="A195" s="58" t="str">
        <f t="shared" si="3"/>
        <v/>
      </c>
    </row>
    <row r="196" spans="1:1">
      <c r="A196" s="58" t="str">
        <f t="shared" si="3"/>
        <v/>
      </c>
    </row>
    <row r="197" spans="1:1">
      <c r="A197" s="58" t="str">
        <f t="shared" si="3"/>
        <v/>
      </c>
    </row>
    <row r="198" spans="1:1">
      <c r="A198" s="58" t="str">
        <f t="shared" si="3"/>
        <v/>
      </c>
    </row>
    <row r="199" spans="1:1">
      <c r="A199" s="58" t="str">
        <f t="shared" si="3"/>
        <v/>
      </c>
    </row>
    <row r="200" spans="1:1">
      <c r="A200" s="58" t="str">
        <f t="shared" si="3"/>
        <v/>
      </c>
    </row>
    <row r="201" spans="1:1">
      <c r="A201" s="58" t="str">
        <f t="shared" si="3"/>
        <v/>
      </c>
    </row>
    <row r="202" spans="1:1">
      <c r="A202" s="58" t="str">
        <f t="shared" si="3"/>
        <v/>
      </c>
    </row>
    <row r="203" spans="1:1">
      <c r="A203" s="58" t="str">
        <f t="shared" si="3"/>
        <v/>
      </c>
    </row>
    <row r="204" spans="1:1">
      <c r="A204" s="58" t="str">
        <f t="shared" si="3"/>
        <v/>
      </c>
    </row>
    <row r="205" spans="1:1">
      <c r="A205" s="58" t="str">
        <f t="shared" si="3"/>
        <v/>
      </c>
    </row>
    <row r="206" spans="1:1">
      <c r="A206" s="58" t="str">
        <f t="shared" si="3"/>
        <v/>
      </c>
    </row>
    <row r="207" spans="1:1">
      <c r="A207" s="58" t="str">
        <f t="shared" si="3"/>
        <v/>
      </c>
    </row>
    <row r="208" spans="1:1">
      <c r="A208" s="58" t="str">
        <f t="shared" si="3"/>
        <v/>
      </c>
    </row>
    <row r="209" spans="1:1">
      <c r="A209" s="58" t="str">
        <f t="shared" si="3"/>
        <v/>
      </c>
    </row>
    <row r="210" spans="1:1">
      <c r="A210" s="58" t="str">
        <f t="shared" si="3"/>
        <v/>
      </c>
    </row>
    <row r="211" spans="1:1">
      <c r="A211" s="58" t="str">
        <f t="shared" si="3"/>
        <v/>
      </c>
    </row>
    <row r="212" spans="1:1">
      <c r="A212" s="58" t="str">
        <f t="shared" si="3"/>
        <v/>
      </c>
    </row>
    <row r="213" spans="1:1">
      <c r="A213" s="58" t="str">
        <f t="shared" si="3"/>
        <v/>
      </c>
    </row>
    <row r="214" spans="1:1">
      <c r="A214" s="58" t="str">
        <f t="shared" si="3"/>
        <v/>
      </c>
    </row>
    <row r="215" spans="1:1">
      <c r="A215" s="58" t="str">
        <f t="shared" si="3"/>
        <v/>
      </c>
    </row>
    <row r="216" spans="1:1">
      <c r="A216" s="58" t="str">
        <f t="shared" si="3"/>
        <v/>
      </c>
    </row>
    <row r="217" spans="1:1">
      <c r="A217" s="58" t="str">
        <f t="shared" si="3"/>
        <v/>
      </c>
    </row>
    <row r="218" spans="1:1">
      <c r="A218" s="58" t="str">
        <f t="shared" si="3"/>
        <v/>
      </c>
    </row>
    <row r="219" spans="1:1">
      <c r="A219" s="58" t="str">
        <f t="shared" si="3"/>
        <v/>
      </c>
    </row>
    <row r="220" spans="1:1">
      <c r="A220" s="58" t="str">
        <f t="shared" si="3"/>
        <v/>
      </c>
    </row>
    <row r="221" spans="1:1">
      <c r="A221" s="58" t="str">
        <f t="shared" si="3"/>
        <v/>
      </c>
    </row>
    <row r="222" spans="1:1">
      <c r="A222" s="58" t="str">
        <f t="shared" si="3"/>
        <v/>
      </c>
    </row>
    <row r="223" spans="1:1">
      <c r="A223" s="58" t="str">
        <f t="shared" ref="A223:A286" si="4">IF($B223="","",(ROW($A222)))</f>
        <v/>
      </c>
    </row>
    <row r="224" spans="1:1">
      <c r="A224" s="58" t="str">
        <f t="shared" si="4"/>
        <v/>
      </c>
    </row>
    <row r="225" spans="1:1">
      <c r="A225" s="58" t="str">
        <f t="shared" si="4"/>
        <v/>
      </c>
    </row>
    <row r="226" spans="1:1">
      <c r="A226" s="58" t="str">
        <f t="shared" si="4"/>
        <v/>
      </c>
    </row>
    <row r="227" spans="1:1">
      <c r="A227" s="58" t="str">
        <f t="shared" si="4"/>
        <v/>
      </c>
    </row>
    <row r="228" spans="1:1">
      <c r="A228" s="58" t="str">
        <f t="shared" si="4"/>
        <v/>
      </c>
    </row>
    <row r="229" spans="1:1">
      <c r="A229" s="58" t="str">
        <f t="shared" si="4"/>
        <v/>
      </c>
    </row>
    <row r="230" spans="1:1">
      <c r="A230" s="58" t="str">
        <f t="shared" si="4"/>
        <v/>
      </c>
    </row>
    <row r="231" spans="1:1">
      <c r="A231" s="58" t="str">
        <f t="shared" si="4"/>
        <v/>
      </c>
    </row>
    <row r="232" spans="1:1">
      <c r="A232" s="58" t="str">
        <f t="shared" si="4"/>
        <v/>
      </c>
    </row>
    <row r="233" spans="1:1">
      <c r="A233" s="58" t="str">
        <f t="shared" si="4"/>
        <v/>
      </c>
    </row>
    <row r="234" spans="1:1">
      <c r="A234" s="58" t="str">
        <f t="shared" si="4"/>
        <v/>
      </c>
    </row>
    <row r="235" spans="1:1">
      <c r="A235" s="58" t="str">
        <f t="shared" si="4"/>
        <v/>
      </c>
    </row>
    <row r="236" spans="1:1">
      <c r="A236" s="58" t="str">
        <f t="shared" si="4"/>
        <v/>
      </c>
    </row>
    <row r="237" spans="1:1">
      <c r="A237" s="58" t="str">
        <f t="shared" si="4"/>
        <v/>
      </c>
    </row>
    <row r="238" spans="1:1">
      <c r="A238" s="58" t="str">
        <f t="shared" si="4"/>
        <v/>
      </c>
    </row>
    <row r="239" spans="1:1">
      <c r="A239" s="58" t="str">
        <f t="shared" si="4"/>
        <v/>
      </c>
    </row>
    <row r="240" spans="1:1">
      <c r="A240" s="58" t="str">
        <f t="shared" si="4"/>
        <v/>
      </c>
    </row>
    <row r="241" spans="1:1">
      <c r="A241" s="58" t="str">
        <f t="shared" si="4"/>
        <v/>
      </c>
    </row>
    <row r="242" spans="1:1">
      <c r="A242" s="58" t="str">
        <f t="shared" si="4"/>
        <v/>
      </c>
    </row>
    <row r="243" spans="1:1">
      <c r="A243" s="58" t="str">
        <f t="shared" si="4"/>
        <v/>
      </c>
    </row>
    <row r="244" spans="1:1">
      <c r="A244" s="58" t="str">
        <f t="shared" si="4"/>
        <v/>
      </c>
    </row>
    <row r="245" spans="1:1">
      <c r="A245" s="58" t="str">
        <f t="shared" si="4"/>
        <v/>
      </c>
    </row>
    <row r="246" spans="1:1">
      <c r="A246" s="58" t="str">
        <f t="shared" si="4"/>
        <v/>
      </c>
    </row>
    <row r="247" spans="1:1">
      <c r="A247" s="58" t="str">
        <f t="shared" si="4"/>
        <v/>
      </c>
    </row>
    <row r="248" spans="1:1">
      <c r="A248" s="58" t="str">
        <f t="shared" si="4"/>
        <v/>
      </c>
    </row>
    <row r="249" spans="1:1">
      <c r="A249" s="58" t="str">
        <f t="shared" si="4"/>
        <v/>
      </c>
    </row>
    <row r="250" spans="1:1">
      <c r="A250" s="58" t="str">
        <f t="shared" si="4"/>
        <v/>
      </c>
    </row>
    <row r="251" spans="1:1">
      <c r="A251" s="58" t="str">
        <f t="shared" si="4"/>
        <v/>
      </c>
    </row>
    <row r="252" spans="1:1">
      <c r="A252" s="58" t="str">
        <f t="shared" si="4"/>
        <v/>
      </c>
    </row>
    <row r="253" spans="1:1">
      <c r="A253" s="58" t="str">
        <f t="shared" si="4"/>
        <v/>
      </c>
    </row>
    <row r="254" spans="1:1">
      <c r="A254" s="58" t="str">
        <f t="shared" si="4"/>
        <v/>
      </c>
    </row>
    <row r="255" spans="1:1">
      <c r="A255" s="58" t="str">
        <f t="shared" si="4"/>
        <v/>
      </c>
    </row>
    <row r="256" spans="1:1">
      <c r="A256" s="58" t="str">
        <f t="shared" si="4"/>
        <v/>
      </c>
    </row>
    <row r="257" spans="1:1">
      <c r="A257" s="58" t="str">
        <f t="shared" si="4"/>
        <v/>
      </c>
    </row>
    <row r="258" spans="1:1">
      <c r="A258" s="58" t="str">
        <f t="shared" si="4"/>
        <v/>
      </c>
    </row>
    <row r="259" spans="1:1">
      <c r="A259" s="58" t="str">
        <f t="shared" si="4"/>
        <v/>
      </c>
    </row>
    <row r="260" spans="1:1">
      <c r="A260" s="58" t="str">
        <f t="shared" si="4"/>
        <v/>
      </c>
    </row>
    <row r="261" spans="1:1">
      <c r="A261" s="58" t="str">
        <f t="shared" si="4"/>
        <v/>
      </c>
    </row>
    <row r="262" spans="1:1">
      <c r="A262" s="58" t="str">
        <f t="shared" si="4"/>
        <v/>
      </c>
    </row>
    <row r="263" spans="1:1">
      <c r="A263" s="58" t="str">
        <f t="shared" si="4"/>
        <v/>
      </c>
    </row>
    <row r="264" spans="1:1">
      <c r="A264" s="58" t="str">
        <f t="shared" si="4"/>
        <v/>
      </c>
    </row>
    <row r="265" spans="1:1">
      <c r="A265" s="58" t="str">
        <f t="shared" si="4"/>
        <v/>
      </c>
    </row>
    <row r="266" spans="1:1">
      <c r="A266" s="58" t="str">
        <f t="shared" si="4"/>
        <v/>
      </c>
    </row>
    <row r="267" spans="1:1">
      <c r="A267" s="58" t="str">
        <f t="shared" si="4"/>
        <v/>
      </c>
    </row>
    <row r="268" spans="1:1">
      <c r="A268" s="58" t="str">
        <f t="shared" si="4"/>
        <v/>
      </c>
    </row>
    <row r="269" spans="1:1">
      <c r="A269" s="58" t="str">
        <f t="shared" si="4"/>
        <v/>
      </c>
    </row>
    <row r="270" spans="1:1">
      <c r="A270" s="58" t="str">
        <f t="shared" si="4"/>
        <v/>
      </c>
    </row>
    <row r="271" spans="1:1">
      <c r="A271" s="58" t="str">
        <f t="shared" si="4"/>
        <v/>
      </c>
    </row>
    <row r="272" spans="1:1">
      <c r="A272" s="58" t="str">
        <f t="shared" si="4"/>
        <v/>
      </c>
    </row>
    <row r="273" spans="1:1">
      <c r="A273" s="58" t="str">
        <f t="shared" si="4"/>
        <v/>
      </c>
    </row>
    <row r="274" spans="1:1">
      <c r="A274" s="58" t="str">
        <f t="shared" si="4"/>
        <v/>
      </c>
    </row>
    <row r="275" spans="1:1">
      <c r="A275" s="58" t="str">
        <f t="shared" si="4"/>
        <v/>
      </c>
    </row>
    <row r="276" spans="1:1">
      <c r="A276" s="58" t="str">
        <f t="shared" si="4"/>
        <v/>
      </c>
    </row>
    <row r="277" spans="1:1">
      <c r="A277" s="58" t="str">
        <f t="shared" si="4"/>
        <v/>
      </c>
    </row>
    <row r="278" spans="1:1">
      <c r="A278" s="58" t="str">
        <f t="shared" si="4"/>
        <v/>
      </c>
    </row>
    <row r="279" spans="1:1">
      <c r="A279" s="58" t="str">
        <f t="shared" si="4"/>
        <v/>
      </c>
    </row>
    <row r="280" spans="1:1">
      <c r="A280" s="58" t="str">
        <f t="shared" si="4"/>
        <v/>
      </c>
    </row>
    <row r="281" spans="1:1">
      <c r="A281" s="58" t="str">
        <f t="shared" si="4"/>
        <v/>
      </c>
    </row>
    <row r="282" spans="1:1">
      <c r="A282" s="58" t="str">
        <f t="shared" si="4"/>
        <v/>
      </c>
    </row>
    <row r="283" spans="1:1">
      <c r="A283" s="58" t="str">
        <f t="shared" si="4"/>
        <v/>
      </c>
    </row>
    <row r="284" spans="1:1">
      <c r="A284" s="58" t="str">
        <f t="shared" si="4"/>
        <v/>
      </c>
    </row>
    <row r="285" spans="1:1">
      <c r="A285" s="58" t="str">
        <f t="shared" si="4"/>
        <v/>
      </c>
    </row>
    <row r="286" spans="1:1">
      <c r="A286" s="58" t="str">
        <f t="shared" si="4"/>
        <v/>
      </c>
    </row>
    <row r="287" spans="1:1">
      <c r="A287" s="58" t="str">
        <f t="shared" ref="A287:A350" si="5">IF($B287="","",(ROW($A286)))</f>
        <v/>
      </c>
    </row>
    <row r="288" spans="1:1">
      <c r="A288" s="58" t="str">
        <f t="shared" si="5"/>
        <v/>
      </c>
    </row>
    <row r="289" spans="1:1">
      <c r="A289" s="58" t="str">
        <f t="shared" si="5"/>
        <v/>
      </c>
    </row>
    <row r="290" spans="1:1">
      <c r="A290" s="58" t="str">
        <f t="shared" si="5"/>
        <v/>
      </c>
    </row>
    <row r="291" spans="1:1">
      <c r="A291" s="58" t="str">
        <f t="shared" si="5"/>
        <v/>
      </c>
    </row>
    <row r="292" spans="1:1">
      <c r="A292" s="58" t="str">
        <f t="shared" si="5"/>
        <v/>
      </c>
    </row>
    <row r="293" spans="1:1">
      <c r="A293" s="58" t="str">
        <f t="shared" si="5"/>
        <v/>
      </c>
    </row>
    <row r="294" spans="1:1">
      <c r="A294" s="58" t="str">
        <f t="shared" si="5"/>
        <v/>
      </c>
    </row>
    <row r="295" spans="1:1">
      <c r="A295" s="58" t="str">
        <f t="shared" si="5"/>
        <v/>
      </c>
    </row>
    <row r="296" spans="1:1">
      <c r="A296" s="58" t="str">
        <f t="shared" si="5"/>
        <v/>
      </c>
    </row>
    <row r="297" spans="1:1">
      <c r="A297" s="58" t="str">
        <f t="shared" si="5"/>
        <v/>
      </c>
    </row>
    <row r="298" spans="1:1">
      <c r="A298" s="58" t="str">
        <f t="shared" si="5"/>
        <v/>
      </c>
    </row>
    <row r="299" spans="1:1">
      <c r="A299" s="58" t="str">
        <f t="shared" si="5"/>
        <v/>
      </c>
    </row>
    <row r="300" spans="1:1">
      <c r="A300" s="58" t="str">
        <f t="shared" si="5"/>
        <v/>
      </c>
    </row>
    <row r="301" spans="1:1">
      <c r="A301" s="58" t="str">
        <f t="shared" si="5"/>
        <v/>
      </c>
    </row>
    <row r="302" spans="1:1">
      <c r="A302" s="58" t="str">
        <f t="shared" si="5"/>
        <v/>
      </c>
    </row>
    <row r="303" spans="1:1">
      <c r="A303" s="58" t="str">
        <f t="shared" si="5"/>
        <v/>
      </c>
    </row>
    <row r="304" spans="1:1">
      <c r="A304" s="58" t="str">
        <f t="shared" si="5"/>
        <v/>
      </c>
    </row>
    <row r="305" spans="1:1">
      <c r="A305" s="58" t="str">
        <f t="shared" si="5"/>
        <v/>
      </c>
    </row>
    <row r="306" spans="1:1">
      <c r="A306" s="58" t="str">
        <f t="shared" si="5"/>
        <v/>
      </c>
    </row>
    <row r="307" spans="1:1">
      <c r="A307" s="58" t="str">
        <f t="shared" si="5"/>
        <v/>
      </c>
    </row>
    <row r="308" spans="1:1">
      <c r="A308" s="58" t="str">
        <f t="shared" si="5"/>
        <v/>
      </c>
    </row>
    <row r="309" spans="1:1">
      <c r="A309" s="58" t="str">
        <f t="shared" si="5"/>
        <v/>
      </c>
    </row>
    <row r="310" spans="1:1">
      <c r="A310" s="58" t="str">
        <f t="shared" si="5"/>
        <v/>
      </c>
    </row>
    <row r="311" spans="1:1">
      <c r="A311" s="58" t="str">
        <f t="shared" si="5"/>
        <v/>
      </c>
    </row>
    <row r="312" spans="1:1">
      <c r="A312" s="58" t="str">
        <f t="shared" si="5"/>
        <v/>
      </c>
    </row>
    <row r="313" spans="1:1">
      <c r="A313" s="58" t="str">
        <f t="shared" si="5"/>
        <v/>
      </c>
    </row>
    <row r="314" spans="1:1">
      <c r="A314" s="58" t="str">
        <f t="shared" si="5"/>
        <v/>
      </c>
    </row>
    <row r="315" spans="1:1">
      <c r="A315" s="58" t="str">
        <f t="shared" si="5"/>
        <v/>
      </c>
    </row>
    <row r="316" spans="1:1">
      <c r="A316" s="58" t="str">
        <f t="shared" si="5"/>
        <v/>
      </c>
    </row>
    <row r="317" spans="1:1">
      <c r="A317" s="58" t="str">
        <f t="shared" si="5"/>
        <v/>
      </c>
    </row>
    <row r="318" spans="1:1">
      <c r="A318" s="58" t="str">
        <f t="shared" si="5"/>
        <v/>
      </c>
    </row>
    <row r="319" spans="1:1">
      <c r="A319" s="58" t="str">
        <f t="shared" si="5"/>
        <v/>
      </c>
    </row>
    <row r="320" spans="1:1">
      <c r="A320" s="58" t="str">
        <f t="shared" si="5"/>
        <v/>
      </c>
    </row>
    <row r="321" spans="1:1">
      <c r="A321" s="58" t="str">
        <f t="shared" si="5"/>
        <v/>
      </c>
    </row>
    <row r="322" spans="1:1">
      <c r="A322" s="58" t="str">
        <f t="shared" si="5"/>
        <v/>
      </c>
    </row>
    <row r="323" spans="1:1">
      <c r="A323" s="58" t="str">
        <f t="shared" si="5"/>
        <v/>
      </c>
    </row>
    <row r="324" spans="1:1">
      <c r="A324" s="58" t="str">
        <f t="shared" si="5"/>
        <v/>
      </c>
    </row>
    <row r="325" spans="1:1">
      <c r="A325" s="58" t="str">
        <f t="shared" si="5"/>
        <v/>
      </c>
    </row>
    <row r="326" spans="1:1">
      <c r="A326" s="58" t="str">
        <f t="shared" si="5"/>
        <v/>
      </c>
    </row>
    <row r="327" spans="1:1">
      <c r="A327" s="58" t="str">
        <f t="shared" si="5"/>
        <v/>
      </c>
    </row>
    <row r="328" spans="1:1">
      <c r="A328" s="58" t="str">
        <f t="shared" si="5"/>
        <v/>
      </c>
    </row>
    <row r="329" spans="1:1">
      <c r="A329" s="58" t="str">
        <f t="shared" si="5"/>
        <v/>
      </c>
    </row>
    <row r="330" spans="1:1">
      <c r="A330" s="58" t="str">
        <f t="shared" si="5"/>
        <v/>
      </c>
    </row>
    <row r="331" spans="1:1">
      <c r="A331" s="58" t="str">
        <f t="shared" si="5"/>
        <v/>
      </c>
    </row>
    <row r="332" spans="1:1">
      <c r="A332" s="58" t="str">
        <f t="shared" si="5"/>
        <v/>
      </c>
    </row>
    <row r="333" spans="1:1">
      <c r="A333" s="58" t="str">
        <f t="shared" si="5"/>
        <v/>
      </c>
    </row>
    <row r="334" spans="1:1">
      <c r="A334" s="58" t="str">
        <f t="shared" si="5"/>
        <v/>
      </c>
    </row>
    <row r="335" spans="1:1">
      <c r="A335" s="58" t="str">
        <f t="shared" si="5"/>
        <v/>
      </c>
    </row>
    <row r="336" spans="1:1">
      <c r="A336" s="58" t="str">
        <f t="shared" si="5"/>
        <v/>
      </c>
    </row>
    <row r="337" spans="1:1">
      <c r="A337" s="58" t="str">
        <f t="shared" si="5"/>
        <v/>
      </c>
    </row>
    <row r="338" spans="1:1">
      <c r="A338" s="58" t="str">
        <f t="shared" si="5"/>
        <v/>
      </c>
    </row>
    <row r="339" spans="1:1">
      <c r="A339" s="58" t="str">
        <f t="shared" si="5"/>
        <v/>
      </c>
    </row>
    <row r="340" spans="1:1">
      <c r="A340" s="58" t="str">
        <f t="shared" si="5"/>
        <v/>
      </c>
    </row>
    <row r="341" spans="1:1">
      <c r="A341" s="58" t="str">
        <f t="shared" si="5"/>
        <v/>
      </c>
    </row>
    <row r="342" spans="1:1">
      <c r="A342" s="58" t="str">
        <f t="shared" si="5"/>
        <v/>
      </c>
    </row>
    <row r="343" spans="1:1">
      <c r="A343" s="58" t="str">
        <f t="shared" si="5"/>
        <v/>
      </c>
    </row>
    <row r="344" spans="1:1">
      <c r="A344" s="58" t="str">
        <f t="shared" si="5"/>
        <v/>
      </c>
    </row>
    <row r="345" spans="1:1">
      <c r="A345" s="58" t="str">
        <f t="shared" si="5"/>
        <v/>
      </c>
    </row>
    <row r="346" spans="1:1">
      <c r="A346" s="58" t="str">
        <f t="shared" si="5"/>
        <v/>
      </c>
    </row>
    <row r="347" spans="1:1">
      <c r="A347" s="58" t="str">
        <f t="shared" si="5"/>
        <v/>
      </c>
    </row>
    <row r="348" spans="1:1">
      <c r="A348" s="58" t="str">
        <f t="shared" si="5"/>
        <v/>
      </c>
    </row>
    <row r="349" spans="1:1">
      <c r="A349" s="58" t="str">
        <f t="shared" si="5"/>
        <v/>
      </c>
    </row>
    <row r="350" spans="1:1">
      <c r="A350" s="58" t="str">
        <f t="shared" si="5"/>
        <v/>
      </c>
    </row>
    <row r="351" spans="1:1">
      <c r="A351" s="58" t="str">
        <f t="shared" ref="A351:A414" si="6">IF($B351="","",(ROW($A350)))</f>
        <v/>
      </c>
    </row>
    <row r="352" spans="1:1">
      <c r="A352" s="58" t="str">
        <f t="shared" si="6"/>
        <v/>
      </c>
    </row>
    <row r="353" spans="1:1">
      <c r="A353" s="58" t="str">
        <f t="shared" si="6"/>
        <v/>
      </c>
    </row>
    <row r="354" spans="1:1">
      <c r="A354" s="58" t="str">
        <f t="shared" si="6"/>
        <v/>
      </c>
    </row>
    <row r="355" spans="1:1">
      <c r="A355" s="58" t="str">
        <f t="shared" si="6"/>
        <v/>
      </c>
    </row>
    <row r="356" spans="1:1">
      <c r="A356" s="58" t="str">
        <f t="shared" si="6"/>
        <v/>
      </c>
    </row>
    <row r="357" spans="1:1">
      <c r="A357" s="58" t="str">
        <f t="shared" si="6"/>
        <v/>
      </c>
    </row>
    <row r="358" spans="1:1">
      <c r="A358" s="58" t="str">
        <f t="shared" si="6"/>
        <v/>
      </c>
    </row>
    <row r="359" spans="1:1">
      <c r="A359" s="58" t="str">
        <f t="shared" si="6"/>
        <v/>
      </c>
    </row>
    <row r="360" spans="1:1">
      <c r="A360" s="58" t="str">
        <f t="shared" si="6"/>
        <v/>
      </c>
    </row>
    <row r="361" spans="1:1">
      <c r="A361" s="58" t="str">
        <f t="shared" si="6"/>
        <v/>
      </c>
    </row>
    <row r="362" spans="1:1">
      <c r="A362" s="58" t="str">
        <f t="shared" si="6"/>
        <v/>
      </c>
    </row>
    <row r="363" spans="1:1">
      <c r="A363" s="58" t="str">
        <f t="shared" si="6"/>
        <v/>
      </c>
    </row>
    <row r="364" spans="1:1">
      <c r="A364" s="58" t="str">
        <f t="shared" si="6"/>
        <v/>
      </c>
    </row>
    <row r="365" spans="1:1">
      <c r="A365" s="58" t="str">
        <f t="shared" si="6"/>
        <v/>
      </c>
    </row>
    <row r="366" spans="1:1">
      <c r="A366" s="58" t="str">
        <f t="shared" si="6"/>
        <v/>
      </c>
    </row>
    <row r="367" spans="1:1">
      <c r="A367" s="58" t="str">
        <f t="shared" si="6"/>
        <v/>
      </c>
    </row>
    <row r="368" spans="1:1">
      <c r="A368" s="58" t="str">
        <f t="shared" si="6"/>
        <v/>
      </c>
    </row>
    <row r="369" spans="1:1">
      <c r="A369" s="58" t="str">
        <f t="shared" si="6"/>
        <v/>
      </c>
    </row>
    <row r="370" spans="1:1">
      <c r="A370" s="58" t="str">
        <f t="shared" si="6"/>
        <v/>
      </c>
    </row>
    <row r="371" spans="1:1">
      <c r="A371" s="58" t="str">
        <f t="shared" si="6"/>
        <v/>
      </c>
    </row>
    <row r="372" spans="1:1">
      <c r="A372" s="58" t="str">
        <f t="shared" si="6"/>
        <v/>
      </c>
    </row>
    <row r="373" spans="1:1">
      <c r="A373" s="58" t="str">
        <f t="shared" si="6"/>
        <v/>
      </c>
    </row>
    <row r="374" spans="1:1">
      <c r="A374" s="58" t="str">
        <f t="shared" si="6"/>
        <v/>
      </c>
    </row>
    <row r="375" spans="1:1">
      <c r="A375" s="58" t="str">
        <f t="shared" si="6"/>
        <v/>
      </c>
    </row>
    <row r="376" spans="1:1">
      <c r="A376" s="58" t="str">
        <f t="shared" si="6"/>
        <v/>
      </c>
    </row>
    <row r="377" spans="1:1">
      <c r="A377" s="58" t="str">
        <f t="shared" si="6"/>
        <v/>
      </c>
    </row>
    <row r="378" spans="1:1">
      <c r="A378" s="58" t="str">
        <f t="shared" si="6"/>
        <v/>
      </c>
    </row>
    <row r="379" spans="1:1">
      <c r="A379" s="58" t="str">
        <f t="shared" si="6"/>
        <v/>
      </c>
    </row>
    <row r="380" spans="1:1">
      <c r="A380" s="58" t="str">
        <f t="shared" si="6"/>
        <v/>
      </c>
    </row>
    <row r="381" spans="1:1">
      <c r="A381" s="58" t="str">
        <f t="shared" si="6"/>
        <v/>
      </c>
    </row>
    <row r="382" spans="1:1">
      <c r="A382" s="58" t="str">
        <f t="shared" si="6"/>
        <v/>
      </c>
    </row>
    <row r="383" spans="1:1">
      <c r="A383" s="58" t="str">
        <f t="shared" si="6"/>
        <v/>
      </c>
    </row>
    <row r="384" spans="1:1">
      <c r="A384" s="58" t="str">
        <f t="shared" si="6"/>
        <v/>
      </c>
    </row>
    <row r="385" spans="1:1">
      <c r="A385" s="58" t="str">
        <f t="shared" si="6"/>
        <v/>
      </c>
    </row>
    <row r="386" spans="1:1">
      <c r="A386" s="58" t="str">
        <f t="shared" si="6"/>
        <v/>
      </c>
    </row>
    <row r="387" spans="1:1">
      <c r="A387" s="58" t="str">
        <f t="shared" si="6"/>
        <v/>
      </c>
    </row>
    <row r="388" spans="1:1">
      <c r="A388" s="58" t="str">
        <f t="shared" si="6"/>
        <v/>
      </c>
    </row>
    <row r="389" spans="1:1">
      <c r="A389" s="58" t="str">
        <f t="shared" si="6"/>
        <v/>
      </c>
    </row>
    <row r="390" spans="1:1">
      <c r="A390" s="58" t="str">
        <f t="shared" si="6"/>
        <v/>
      </c>
    </row>
    <row r="391" spans="1:1">
      <c r="A391" s="58" t="str">
        <f t="shared" si="6"/>
        <v/>
      </c>
    </row>
    <row r="392" spans="1:1">
      <c r="A392" s="58" t="str">
        <f t="shared" si="6"/>
        <v/>
      </c>
    </row>
    <row r="393" spans="1:1">
      <c r="A393" s="58" t="str">
        <f t="shared" si="6"/>
        <v/>
      </c>
    </row>
    <row r="394" spans="1:1">
      <c r="A394" s="58" t="str">
        <f t="shared" si="6"/>
        <v/>
      </c>
    </row>
    <row r="395" spans="1:1">
      <c r="A395" s="58" t="str">
        <f t="shared" si="6"/>
        <v/>
      </c>
    </row>
    <row r="396" spans="1:1">
      <c r="A396" s="58" t="str">
        <f t="shared" si="6"/>
        <v/>
      </c>
    </row>
    <row r="397" spans="1:1">
      <c r="A397" s="58" t="str">
        <f t="shared" si="6"/>
        <v/>
      </c>
    </row>
    <row r="398" spans="1:1">
      <c r="A398" s="58" t="str">
        <f t="shared" si="6"/>
        <v/>
      </c>
    </row>
    <row r="399" spans="1:1">
      <c r="A399" s="58" t="str">
        <f t="shared" si="6"/>
        <v/>
      </c>
    </row>
    <row r="400" spans="1:1">
      <c r="A400" s="58" t="str">
        <f t="shared" si="6"/>
        <v/>
      </c>
    </row>
    <row r="401" spans="1:1">
      <c r="A401" s="58" t="str">
        <f t="shared" si="6"/>
        <v/>
      </c>
    </row>
    <row r="402" spans="1:1">
      <c r="A402" s="58" t="str">
        <f t="shared" si="6"/>
        <v/>
      </c>
    </row>
    <row r="403" spans="1:1">
      <c r="A403" s="58" t="str">
        <f t="shared" si="6"/>
        <v/>
      </c>
    </row>
    <row r="404" spans="1:1">
      <c r="A404" s="58" t="str">
        <f t="shared" si="6"/>
        <v/>
      </c>
    </row>
    <row r="405" spans="1:1">
      <c r="A405" s="58" t="str">
        <f t="shared" si="6"/>
        <v/>
      </c>
    </row>
    <row r="406" spans="1:1">
      <c r="A406" s="58" t="str">
        <f t="shared" si="6"/>
        <v/>
      </c>
    </row>
    <row r="407" spans="1:1">
      <c r="A407" s="58" t="str">
        <f t="shared" si="6"/>
        <v/>
      </c>
    </row>
    <row r="408" spans="1:1">
      <c r="A408" s="58" t="str">
        <f t="shared" si="6"/>
        <v/>
      </c>
    </row>
    <row r="409" spans="1:1">
      <c r="A409" s="58" t="str">
        <f t="shared" si="6"/>
        <v/>
      </c>
    </row>
    <row r="410" spans="1:1">
      <c r="A410" s="58" t="str">
        <f t="shared" si="6"/>
        <v/>
      </c>
    </row>
    <row r="411" spans="1:1">
      <c r="A411" s="58" t="str">
        <f t="shared" si="6"/>
        <v/>
      </c>
    </row>
    <row r="412" spans="1:1">
      <c r="A412" s="58" t="str">
        <f t="shared" si="6"/>
        <v/>
      </c>
    </row>
    <row r="413" spans="1:1">
      <c r="A413" s="58" t="str">
        <f t="shared" si="6"/>
        <v/>
      </c>
    </row>
    <row r="414" spans="1:1">
      <c r="A414" s="58" t="str">
        <f t="shared" si="6"/>
        <v/>
      </c>
    </row>
    <row r="415" spans="1:1">
      <c r="A415" s="58" t="str">
        <f t="shared" ref="A415:A478" si="7">IF($B415="","",(ROW($A414)))</f>
        <v/>
      </c>
    </row>
    <row r="416" spans="1:1">
      <c r="A416" s="58" t="str">
        <f t="shared" si="7"/>
        <v/>
      </c>
    </row>
    <row r="417" spans="1:1">
      <c r="A417" s="58" t="str">
        <f t="shared" si="7"/>
        <v/>
      </c>
    </row>
    <row r="418" spans="1:1">
      <c r="A418" s="58" t="str">
        <f t="shared" si="7"/>
        <v/>
      </c>
    </row>
    <row r="419" spans="1:1">
      <c r="A419" s="58" t="str">
        <f t="shared" si="7"/>
        <v/>
      </c>
    </row>
    <row r="420" spans="1:1">
      <c r="A420" s="58" t="str">
        <f t="shared" si="7"/>
        <v/>
      </c>
    </row>
    <row r="421" spans="1:1">
      <c r="A421" s="58" t="str">
        <f t="shared" si="7"/>
        <v/>
      </c>
    </row>
    <row r="422" spans="1:1">
      <c r="A422" s="58" t="str">
        <f t="shared" si="7"/>
        <v/>
      </c>
    </row>
    <row r="423" spans="1:1">
      <c r="A423" s="58" t="str">
        <f t="shared" si="7"/>
        <v/>
      </c>
    </row>
    <row r="424" spans="1:1">
      <c r="A424" s="58" t="str">
        <f t="shared" si="7"/>
        <v/>
      </c>
    </row>
    <row r="425" spans="1:1">
      <c r="A425" s="58" t="str">
        <f t="shared" si="7"/>
        <v/>
      </c>
    </row>
    <row r="426" spans="1:1">
      <c r="A426" s="58" t="str">
        <f t="shared" si="7"/>
        <v/>
      </c>
    </row>
    <row r="427" spans="1:1">
      <c r="A427" s="58" t="str">
        <f t="shared" si="7"/>
        <v/>
      </c>
    </row>
    <row r="428" spans="1:1">
      <c r="A428" s="58" t="str">
        <f t="shared" si="7"/>
        <v/>
      </c>
    </row>
    <row r="429" spans="1:1">
      <c r="A429" s="58" t="str">
        <f t="shared" si="7"/>
        <v/>
      </c>
    </row>
    <row r="430" spans="1:1">
      <c r="A430" s="58" t="str">
        <f t="shared" si="7"/>
        <v/>
      </c>
    </row>
    <row r="431" spans="1:1">
      <c r="A431" s="58" t="str">
        <f t="shared" si="7"/>
        <v/>
      </c>
    </row>
    <row r="432" spans="1:1">
      <c r="A432" s="58" t="str">
        <f t="shared" si="7"/>
        <v/>
      </c>
    </row>
    <row r="433" spans="1:1">
      <c r="A433" s="58" t="str">
        <f t="shared" si="7"/>
        <v/>
      </c>
    </row>
    <row r="434" spans="1:1">
      <c r="A434" s="58" t="str">
        <f t="shared" si="7"/>
        <v/>
      </c>
    </row>
    <row r="435" spans="1:1">
      <c r="A435" s="58" t="str">
        <f t="shared" si="7"/>
        <v/>
      </c>
    </row>
    <row r="436" spans="1:1">
      <c r="A436" s="58" t="str">
        <f t="shared" si="7"/>
        <v/>
      </c>
    </row>
    <row r="437" spans="1:1">
      <c r="A437" s="58" t="str">
        <f t="shared" si="7"/>
        <v/>
      </c>
    </row>
    <row r="438" spans="1:1">
      <c r="A438" s="58" t="str">
        <f t="shared" si="7"/>
        <v/>
      </c>
    </row>
    <row r="439" spans="1:1">
      <c r="A439" s="58" t="str">
        <f t="shared" si="7"/>
        <v/>
      </c>
    </row>
    <row r="440" spans="1:1">
      <c r="A440" s="58" t="str">
        <f t="shared" si="7"/>
        <v/>
      </c>
    </row>
    <row r="441" spans="1:1">
      <c r="A441" s="58" t="str">
        <f t="shared" si="7"/>
        <v/>
      </c>
    </row>
    <row r="442" spans="1:1">
      <c r="A442" s="58" t="str">
        <f t="shared" si="7"/>
        <v/>
      </c>
    </row>
    <row r="443" spans="1:1">
      <c r="A443" s="58" t="str">
        <f t="shared" si="7"/>
        <v/>
      </c>
    </row>
    <row r="444" spans="1:1">
      <c r="A444" s="58" t="str">
        <f t="shared" si="7"/>
        <v/>
      </c>
    </row>
    <row r="445" spans="1:1">
      <c r="A445" s="58" t="str">
        <f t="shared" si="7"/>
        <v/>
      </c>
    </row>
    <row r="446" spans="1:1">
      <c r="A446" s="58" t="str">
        <f t="shared" si="7"/>
        <v/>
      </c>
    </row>
    <row r="447" spans="1:1">
      <c r="A447" s="58" t="str">
        <f t="shared" si="7"/>
        <v/>
      </c>
    </row>
    <row r="448" spans="1:1">
      <c r="A448" s="58" t="str">
        <f t="shared" si="7"/>
        <v/>
      </c>
    </row>
    <row r="449" spans="1:1">
      <c r="A449" s="58" t="str">
        <f t="shared" si="7"/>
        <v/>
      </c>
    </row>
    <row r="450" spans="1:1">
      <c r="A450" s="58" t="str">
        <f t="shared" si="7"/>
        <v/>
      </c>
    </row>
    <row r="451" spans="1:1">
      <c r="A451" s="58" t="str">
        <f t="shared" si="7"/>
        <v/>
      </c>
    </row>
    <row r="452" spans="1:1">
      <c r="A452" s="58" t="str">
        <f t="shared" si="7"/>
        <v/>
      </c>
    </row>
    <row r="453" spans="1:1">
      <c r="A453" s="58" t="str">
        <f t="shared" si="7"/>
        <v/>
      </c>
    </row>
    <row r="454" spans="1:1">
      <c r="A454" s="58" t="str">
        <f t="shared" si="7"/>
        <v/>
      </c>
    </row>
    <row r="455" spans="1:1">
      <c r="A455" s="58" t="str">
        <f t="shared" si="7"/>
        <v/>
      </c>
    </row>
    <row r="456" spans="1:1">
      <c r="A456" s="58" t="str">
        <f t="shared" si="7"/>
        <v/>
      </c>
    </row>
    <row r="457" spans="1:1">
      <c r="A457" s="58" t="str">
        <f t="shared" si="7"/>
        <v/>
      </c>
    </row>
    <row r="458" spans="1:1">
      <c r="A458" s="58" t="str">
        <f t="shared" si="7"/>
        <v/>
      </c>
    </row>
    <row r="459" spans="1:1">
      <c r="A459" s="58" t="str">
        <f t="shared" si="7"/>
        <v/>
      </c>
    </row>
    <row r="460" spans="1:1">
      <c r="A460" s="58" t="str">
        <f t="shared" si="7"/>
        <v/>
      </c>
    </row>
    <row r="461" spans="1:1">
      <c r="A461" s="58" t="str">
        <f t="shared" si="7"/>
        <v/>
      </c>
    </row>
    <row r="462" spans="1:1">
      <c r="A462" s="58" t="str">
        <f t="shared" si="7"/>
        <v/>
      </c>
    </row>
    <row r="463" spans="1:1">
      <c r="A463" s="58" t="str">
        <f t="shared" si="7"/>
        <v/>
      </c>
    </row>
    <row r="464" spans="1:1">
      <c r="A464" s="58" t="str">
        <f t="shared" si="7"/>
        <v/>
      </c>
    </row>
    <row r="465" spans="1:1">
      <c r="A465" s="58" t="str">
        <f t="shared" si="7"/>
        <v/>
      </c>
    </row>
    <row r="466" spans="1:1">
      <c r="A466" s="58" t="str">
        <f t="shared" si="7"/>
        <v/>
      </c>
    </row>
    <row r="467" spans="1:1">
      <c r="A467" s="58" t="str">
        <f t="shared" si="7"/>
        <v/>
      </c>
    </row>
    <row r="468" spans="1:1">
      <c r="A468" s="58" t="str">
        <f t="shared" si="7"/>
        <v/>
      </c>
    </row>
    <row r="469" spans="1:1">
      <c r="A469" s="58" t="str">
        <f t="shared" si="7"/>
        <v/>
      </c>
    </row>
    <row r="470" spans="1:1">
      <c r="A470" s="58" t="str">
        <f t="shared" si="7"/>
        <v/>
      </c>
    </row>
    <row r="471" spans="1:1">
      <c r="A471" s="58" t="str">
        <f t="shared" si="7"/>
        <v/>
      </c>
    </row>
    <row r="472" spans="1:1">
      <c r="A472" s="58" t="str">
        <f t="shared" si="7"/>
        <v/>
      </c>
    </row>
    <row r="473" spans="1:1">
      <c r="A473" s="58" t="str">
        <f t="shared" si="7"/>
        <v/>
      </c>
    </row>
    <row r="474" spans="1:1">
      <c r="A474" s="58" t="str">
        <f t="shared" si="7"/>
        <v/>
      </c>
    </row>
    <row r="475" spans="1:1">
      <c r="A475" s="58" t="str">
        <f t="shared" si="7"/>
        <v/>
      </c>
    </row>
    <row r="476" spans="1:1">
      <c r="A476" s="58" t="str">
        <f t="shared" si="7"/>
        <v/>
      </c>
    </row>
    <row r="477" spans="1:1">
      <c r="A477" s="58" t="str">
        <f t="shared" si="7"/>
        <v/>
      </c>
    </row>
    <row r="478" spans="1:1">
      <c r="A478" s="58" t="str">
        <f t="shared" si="7"/>
        <v/>
      </c>
    </row>
    <row r="479" spans="1:1">
      <c r="A479" s="58" t="str">
        <f t="shared" ref="A479:A542" si="8">IF($B479="","",(ROW($A478)))</f>
        <v/>
      </c>
    </row>
    <row r="480" spans="1:1">
      <c r="A480" s="58" t="str">
        <f t="shared" si="8"/>
        <v/>
      </c>
    </row>
    <row r="481" spans="1:1">
      <c r="A481" s="58" t="str">
        <f t="shared" si="8"/>
        <v/>
      </c>
    </row>
    <row r="482" spans="1:1">
      <c r="A482" s="58" t="str">
        <f t="shared" si="8"/>
        <v/>
      </c>
    </row>
    <row r="483" spans="1:1">
      <c r="A483" s="58" t="str">
        <f t="shared" si="8"/>
        <v/>
      </c>
    </row>
    <row r="484" spans="1:1">
      <c r="A484" s="58" t="str">
        <f t="shared" si="8"/>
        <v/>
      </c>
    </row>
    <row r="485" spans="1:1">
      <c r="A485" s="58" t="str">
        <f t="shared" si="8"/>
        <v/>
      </c>
    </row>
    <row r="486" spans="1:1">
      <c r="A486" s="58" t="str">
        <f t="shared" si="8"/>
        <v/>
      </c>
    </row>
    <row r="487" spans="1:1">
      <c r="A487" s="58" t="str">
        <f t="shared" si="8"/>
        <v/>
      </c>
    </row>
    <row r="488" spans="1:1">
      <c r="A488" s="58" t="str">
        <f t="shared" si="8"/>
        <v/>
      </c>
    </row>
    <row r="489" spans="1:1">
      <c r="A489" s="58" t="str">
        <f t="shared" si="8"/>
        <v/>
      </c>
    </row>
    <row r="490" spans="1:1">
      <c r="A490" s="58" t="str">
        <f t="shared" si="8"/>
        <v/>
      </c>
    </row>
    <row r="491" spans="1:1">
      <c r="A491" s="58" t="str">
        <f t="shared" si="8"/>
        <v/>
      </c>
    </row>
    <row r="492" spans="1:1">
      <c r="A492" s="58" t="str">
        <f t="shared" si="8"/>
        <v/>
      </c>
    </row>
    <row r="493" spans="1:1">
      <c r="A493" s="58" t="str">
        <f t="shared" si="8"/>
        <v/>
      </c>
    </row>
    <row r="494" spans="1:1">
      <c r="A494" s="58" t="str">
        <f t="shared" si="8"/>
        <v/>
      </c>
    </row>
    <row r="495" spans="1:1">
      <c r="A495" s="58" t="str">
        <f t="shared" si="8"/>
        <v/>
      </c>
    </row>
    <row r="496" spans="1:1">
      <c r="A496" s="58" t="str">
        <f t="shared" si="8"/>
        <v/>
      </c>
    </row>
    <row r="497" spans="1:1">
      <c r="A497" s="58" t="str">
        <f t="shared" si="8"/>
        <v/>
      </c>
    </row>
    <row r="498" spans="1:1">
      <c r="A498" s="58" t="str">
        <f t="shared" si="8"/>
        <v/>
      </c>
    </row>
    <row r="499" spans="1:1">
      <c r="A499" s="58" t="str">
        <f t="shared" si="8"/>
        <v/>
      </c>
    </row>
    <row r="500" spans="1:1">
      <c r="A500" s="58" t="str">
        <f t="shared" si="8"/>
        <v/>
      </c>
    </row>
    <row r="501" spans="1:1">
      <c r="A501" s="58" t="str">
        <f t="shared" si="8"/>
        <v/>
      </c>
    </row>
    <row r="502" spans="1:1">
      <c r="A502" s="58" t="str">
        <f t="shared" si="8"/>
        <v/>
      </c>
    </row>
    <row r="503" spans="1:1">
      <c r="A503" s="58" t="str">
        <f t="shared" si="8"/>
        <v/>
      </c>
    </row>
    <row r="504" spans="1:1">
      <c r="A504" s="58" t="str">
        <f t="shared" si="8"/>
        <v/>
      </c>
    </row>
    <row r="505" spans="1:1">
      <c r="A505" s="58" t="str">
        <f t="shared" si="8"/>
        <v/>
      </c>
    </row>
    <row r="506" spans="1:1">
      <c r="A506" s="58" t="str">
        <f t="shared" si="8"/>
        <v/>
      </c>
    </row>
    <row r="507" spans="1:1">
      <c r="A507" s="58" t="str">
        <f t="shared" si="8"/>
        <v/>
      </c>
    </row>
    <row r="508" spans="1:1">
      <c r="A508" s="58" t="str">
        <f t="shared" si="8"/>
        <v/>
      </c>
    </row>
    <row r="509" spans="1:1">
      <c r="A509" s="58" t="str">
        <f t="shared" si="8"/>
        <v/>
      </c>
    </row>
    <row r="510" spans="1:1">
      <c r="A510" s="58" t="str">
        <f t="shared" si="8"/>
        <v/>
      </c>
    </row>
    <row r="511" spans="1:1">
      <c r="A511" s="58" t="str">
        <f t="shared" si="8"/>
        <v/>
      </c>
    </row>
    <row r="512" spans="1:1">
      <c r="A512" s="58" t="str">
        <f t="shared" si="8"/>
        <v/>
      </c>
    </row>
    <row r="513" spans="1:1">
      <c r="A513" s="58" t="str">
        <f t="shared" si="8"/>
        <v/>
      </c>
    </row>
    <row r="514" spans="1:1">
      <c r="A514" s="58" t="str">
        <f t="shared" si="8"/>
        <v/>
      </c>
    </row>
    <row r="515" spans="1:1">
      <c r="A515" s="58" t="str">
        <f t="shared" si="8"/>
        <v/>
      </c>
    </row>
    <row r="516" spans="1:1">
      <c r="A516" s="58" t="str">
        <f t="shared" si="8"/>
        <v/>
      </c>
    </row>
    <row r="517" spans="1:1">
      <c r="A517" s="58" t="str">
        <f t="shared" si="8"/>
        <v/>
      </c>
    </row>
    <row r="518" spans="1:1">
      <c r="A518" s="58" t="str">
        <f t="shared" si="8"/>
        <v/>
      </c>
    </row>
    <row r="519" spans="1:1">
      <c r="A519" s="58" t="str">
        <f t="shared" si="8"/>
        <v/>
      </c>
    </row>
    <row r="520" spans="1:1">
      <c r="A520" s="58" t="str">
        <f t="shared" si="8"/>
        <v/>
      </c>
    </row>
    <row r="521" spans="1:1">
      <c r="A521" s="58" t="str">
        <f t="shared" si="8"/>
        <v/>
      </c>
    </row>
    <row r="522" spans="1:1">
      <c r="A522" s="58" t="str">
        <f t="shared" si="8"/>
        <v/>
      </c>
    </row>
    <row r="523" spans="1:1">
      <c r="A523" s="58" t="str">
        <f t="shared" si="8"/>
        <v/>
      </c>
    </row>
    <row r="524" spans="1:1">
      <c r="A524" s="58" t="str">
        <f t="shared" si="8"/>
        <v/>
      </c>
    </row>
    <row r="525" spans="1:1">
      <c r="A525" s="58" t="str">
        <f t="shared" si="8"/>
        <v/>
      </c>
    </row>
    <row r="526" spans="1:1">
      <c r="A526" s="58" t="str">
        <f t="shared" si="8"/>
        <v/>
      </c>
    </row>
    <row r="527" spans="1:1">
      <c r="A527" s="58" t="str">
        <f t="shared" si="8"/>
        <v/>
      </c>
    </row>
    <row r="528" spans="1:1">
      <c r="A528" s="58" t="str">
        <f t="shared" si="8"/>
        <v/>
      </c>
    </row>
    <row r="529" spans="1:1">
      <c r="A529" s="58" t="str">
        <f t="shared" si="8"/>
        <v/>
      </c>
    </row>
    <row r="530" spans="1:1">
      <c r="A530" s="58" t="str">
        <f t="shared" si="8"/>
        <v/>
      </c>
    </row>
    <row r="531" spans="1:1">
      <c r="A531" s="58" t="str">
        <f t="shared" si="8"/>
        <v/>
      </c>
    </row>
    <row r="532" spans="1:1">
      <c r="A532" s="58" t="str">
        <f t="shared" si="8"/>
        <v/>
      </c>
    </row>
    <row r="533" spans="1:1">
      <c r="A533" s="58" t="str">
        <f t="shared" si="8"/>
        <v/>
      </c>
    </row>
    <row r="534" spans="1:1">
      <c r="A534" s="58" t="str">
        <f t="shared" si="8"/>
        <v/>
      </c>
    </row>
    <row r="535" spans="1:1">
      <c r="A535" s="58" t="str">
        <f t="shared" si="8"/>
        <v/>
      </c>
    </row>
    <row r="536" spans="1:1">
      <c r="A536" s="58" t="str">
        <f t="shared" si="8"/>
        <v/>
      </c>
    </row>
    <row r="537" spans="1:1">
      <c r="A537" s="58" t="str">
        <f t="shared" si="8"/>
        <v/>
      </c>
    </row>
    <row r="538" spans="1:1">
      <c r="A538" s="58" t="str">
        <f t="shared" si="8"/>
        <v/>
      </c>
    </row>
    <row r="539" spans="1:1">
      <c r="A539" s="58" t="str">
        <f t="shared" si="8"/>
        <v/>
      </c>
    </row>
    <row r="540" spans="1:1">
      <c r="A540" s="58" t="str">
        <f t="shared" si="8"/>
        <v/>
      </c>
    </row>
    <row r="541" spans="1:1">
      <c r="A541" s="58" t="str">
        <f t="shared" si="8"/>
        <v/>
      </c>
    </row>
    <row r="542" spans="1:1">
      <c r="A542" s="58" t="str">
        <f t="shared" si="8"/>
        <v/>
      </c>
    </row>
    <row r="543" spans="1:1">
      <c r="A543" s="58" t="str">
        <f t="shared" ref="A543:A589" si="9">IF($B543="","",(ROW($A542)))</f>
        <v/>
      </c>
    </row>
    <row r="544" spans="1:1">
      <c r="A544" s="58" t="str">
        <f t="shared" si="9"/>
        <v/>
      </c>
    </row>
    <row r="545" spans="1:1">
      <c r="A545" s="58" t="str">
        <f t="shared" si="9"/>
        <v/>
      </c>
    </row>
    <row r="546" spans="1:1">
      <c r="A546" s="58" t="str">
        <f t="shared" si="9"/>
        <v/>
      </c>
    </row>
    <row r="547" spans="1:1">
      <c r="A547" s="58" t="str">
        <f t="shared" si="9"/>
        <v/>
      </c>
    </row>
    <row r="548" spans="1:1">
      <c r="A548" s="58" t="str">
        <f t="shared" si="9"/>
        <v/>
      </c>
    </row>
    <row r="549" spans="1:1">
      <c r="A549" s="58" t="str">
        <f t="shared" si="9"/>
        <v/>
      </c>
    </row>
    <row r="550" spans="1:1">
      <c r="A550" s="58" t="str">
        <f t="shared" si="9"/>
        <v/>
      </c>
    </row>
    <row r="551" spans="1:1">
      <c r="A551" s="58" t="str">
        <f t="shared" si="9"/>
        <v/>
      </c>
    </row>
    <row r="552" spans="1:1">
      <c r="A552" s="58" t="str">
        <f t="shared" si="9"/>
        <v/>
      </c>
    </row>
    <row r="553" spans="1:1">
      <c r="A553" s="58" t="str">
        <f t="shared" si="9"/>
        <v/>
      </c>
    </row>
    <row r="554" spans="1:1">
      <c r="A554" s="58" t="str">
        <f t="shared" si="9"/>
        <v/>
      </c>
    </row>
    <row r="555" spans="1:1">
      <c r="A555" s="58" t="str">
        <f t="shared" si="9"/>
        <v/>
      </c>
    </row>
    <row r="556" spans="1:1">
      <c r="A556" s="58" t="str">
        <f t="shared" si="9"/>
        <v/>
      </c>
    </row>
    <row r="557" spans="1:1">
      <c r="A557" s="58" t="str">
        <f t="shared" si="9"/>
        <v/>
      </c>
    </row>
    <row r="558" spans="1:1">
      <c r="A558" s="58" t="str">
        <f t="shared" si="9"/>
        <v/>
      </c>
    </row>
    <row r="559" spans="1:1">
      <c r="A559" s="58" t="str">
        <f t="shared" si="9"/>
        <v/>
      </c>
    </row>
    <row r="560" spans="1:1">
      <c r="A560" s="58" t="str">
        <f t="shared" si="9"/>
        <v/>
      </c>
    </row>
    <row r="561" spans="1:1">
      <c r="A561" s="58" t="str">
        <f t="shared" si="9"/>
        <v/>
      </c>
    </row>
    <row r="562" spans="1:1">
      <c r="A562" s="58" t="str">
        <f t="shared" si="9"/>
        <v/>
      </c>
    </row>
    <row r="563" spans="1:1">
      <c r="A563" s="58" t="str">
        <f t="shared" si="9"/>
        <v/>
      </c>
    </row>
    <row r="564" spans="1:1">
      <c r="A564" s="58" t="str">
        <f t="shared" si="9"/>
        <v/>
      </c>
    </row>
    <row r="565" spans="1:1">
      <c r="A565" s="58" t="str">
        <f t="shared" si="9"/>
        <v/>
      </c>
    </row>
    <row r="566" spans="1:1">
      <c r="A566" s="58" t="str">
        <f t="shared" si="9"/>
        <v/>
      </c>
    </row>
    <row r="567" spans="1:1">
      <c r="A567" s="58" t="str">
        <f t="shared" si="9"/>
        <v/>
      </c>
    </row>
    <row r="568" spans="1:1">
      <c r="A568" s="58" t="str">
        <f t="shared" si="9"/>
        <v/>
      </c>
    </row>
    <row r="569" spans="1:1">
      <c r="A569" s="58" t="str">
        <f t="shared" si="9"/>
        <v/>
      </c>
    </row>
    <row r="570" spans="1:1">
      <c r="A570" s="58" t="str">
        <f t="shared" si="9"/>
        <v/>
      </c>
    </row>
    <row r="571" spans="1:1">
      <c r="A571" s="58" t="str">
        <f t="shared" si="9"/>
        <v/>
      </c>
    </row>
    <row r="572" spans="1:1">
      <c r="A572" s="58" t="str">
        <f t="shared" si="9"/>
        <v/>
      </c>
    </row>
    <row r="573" spans="1:1">
      <c r="A573" s="58" t="str">
        <f t="shared" si="9"/>
        <v/>
      </c>
    </row>
    <row r="574" spans="1:1">
      <c r="A574" s="58" t="str">
        <f t="shared" si="9"/>
        <v/>
      </c>
    </row>
    <row r="575" spans="1:1">
      <c r="A575" s="58" t="str">
        <f t="shared" si="9"/>
        <v/>
      </c>
    </row>
    <row r="576" spans="1:1">
      <c r="A576" s="58" t="str">
        <f t="shared" si="9"/>
        <v/>
      </c>
    </row>
    <row r="577" spans="1:1">
      <c r="A577" s="58" t="str">
        <f t="shared" si="9"/>
        <v/>
      </c>
    </row>
    <row r="578" spans="1:1">
      <c r="A578" s="58" t="str">
        <f t="shared" si="9"/>
        <v/>
      </c>
    </row>
    <row r="579" spans="1:1">
      <c r="A579" s="58" t="str">
        <f t="shared" si="9"/>
        <v/>
      </c>
    </row>
    <row r="580" spans="1:1">
      <c r="A580" s="58" t="str">
        <f t="shared" si="9"/>
        <v/>
      </c>
    </row>
    <row r="581" spans="1:1">
      <c r="A581" s="58" t="str">
        <f t="shared" si="9"/>
        <v/>
      </c>
    </row>
    <row r="582" spans="1:1">
      <c r="A582" s="58" t="str">
        <f t="shared" si="9"/>
        <v/>
      </c>
    </row>
    <row r="583" spans="1:1">
      <c r="A583" s="58" t="str">
        <f t="shared" si="9"/>
        <v/>
      </c>
    </row>
    <row r="584" spans="1:1">
      <c r="A584" s="58" t="str">
        <f t="shared" si="9"/>
        <v/>
      </c>
    </row>
    <row r="585" spans="1:1">
      <c r="A585" s="58" t="str">
        <f t="shared" si="9"/>
        <v/>
      </c>
    </row>
    <row r="586" spans="1:1">
      <c r="A586" s="58" t="str">
        <f t="shared" si="9"/>
        <v/>
      </c>
    </row>
    <row r="587" spans="1:1">
      <c r="A587" s="58" t="str">
        <f t="shared" si="9"/>
        <v/>
      </c>
    </row>
    <row r="588" spans="1:1">
      <c r="A588" s="58" t="str">
        <f t="shared" si="9"/>
        <v/>
      </c>
    </row>
    <row r="589" spans="1:1">
      <c r="A589" s="58" t="str">
        <f t="shared" si="9"/>
        <v/>
      </c>
    </row>
  </sheetData>
  <pageMargins left="0.7" right="0.7" top="0.75" bottom="0.75" header="0.3" footer="0.3"/>
  <pageSetup paperSize="9" orientation="portrait" horizontalDpi="4294967293" verticalDpi="0" r:id="rId1"/>
  <legacyDrawing r:id="rId2"/>
</worksheet>
</file>

<file path=xl/worksheets/sheet6.xml><?xml version="1.0" encoding="utf-8"?>
<worksheet xmlns="http://schemas.openxmlformats.org/spreadsheetml/2006/main" xmlns:r="http://schemas.openxmlformats.org/officeDocument/2006/relationships">
  <sheetPr codeName="Sheet9">
    <tabColor rgb="FFBFD231"/>
  </sheetPr>
  <dimension ref="A1:J200"/>
  <sheetViews>
    <sheetView workbookViewId="0">
      <pane ySplit="1" topLeftCell="A2" activePane="bottomLeft" state="frozen"/>
      <selection pane="bottomLeft"/>
    </sheetView>
  </sheetViews>
  <sheetFormatPr defaultColWidth="9.140625" defaultRowHeight="12.75"/>
  <cols>
    <col min="1" max="1" width="2.7109375" style="56" bestFit="1" customWidth="1"/>
    <col min="2" max="2" width="10.7109375" style="2" bestFit="1" customWidth="1"/>
    <col min="3" max="3" width="12.28515625" style="7" bestFit="1" customWidth="1"/>
    <col min="4" max="4" width="8" style="2" bestFit="1" customWidth="1"/>
    <col min="5" max="5" width="1.42578125" style="2" customWidth="1"/>
    <col min="6" max="6" width="16.140625" style="56" bestFit="1" customWidth="1"/>
    <col min="7" max="7" width="16.140625" style="56" customWidth="1"/>
    <col min="8" max="8" width="9.140625" style="2"/>
    <col min="9" max="9" width="10.28515625" style="2" bestFit="1" customWidth="1"/>
    <col min="10" max="10" width="17.85546875" style="2" customWidth="1"/>
    <col min="11" max="16384" width="9.140625" style="2"/>
  </cols>
  <sheetData>
    <row r="1" spans="1:10" s="10" customFormat="1">
      <c r="A1" s="60" t="s">
        <v>1254</v>
      </c>
      <c r="B1" s="14" t="s">
        <v>2</v>
      </c>
      <c r="C1" s="54" t="s">
        <v>1321</v>
      </c>
      <c r="D1" s="52" t="s">
        <v>1322</v>
      </c>
      <c r="F1" s="58" t="s">
        <v>1324</v>
      </c>
      <c r="G1" s="58" t="s">
        <v>1325</v>
      </c>
    </row>
    <row r="2" spans="1:10">
      <c r="A2" s="58">
        <f>IF($B2="","",(ROW($A1)))</f>
        <v>1</v>
      </c>
      <c r="B2" s="10" t="s">
        <v>798</v>
      </c>
      <c r="C2" s="59">
        <v>41614</v>
      </c>
      <c r="D2" s="2" t="s">
        <v>1323</v>
      </c>
      <c r="F2" s="56">
        <f>IF($B2&lt;&gt;"",(COUNTIFS(Rships!$B$2:$B$9990,$B2,Rships!$C$2:$C$9990,$J$2)),"")</f>
        <v>0</v>
      </c>
      <c r="I2" s="70" t="s">
        <v>59</v>
      </c>
      <c r="J2" s="71" t="s">
        <v>484</v>
      </c>
    </row>
    <row r="3" spans="1:10">
      <c r="A3" s="58">
        <f>IF($B3="","",(ROW($A2)))</f>
        <v>2</v>
      </c>
      <c r="B3" s="10" t="s">
        <v>852</v>
      </c>
      <c r="C3" s="59">
        <v>41614</v>
      </c>
      <c r="D3" s="2" t="s">
        <v>1323</v>
      </c>
      <c r="F3" s="56">
        <f>IF($B3&lt;&gt;"",(COUNTIFS(Rships!$B$2:$B$9990,$B3,Rships!$C$2:$C$9990,$J$2)),"")</f>
        <v>0</v>
      </c>
    </row>
    <row r="4" spans="1:10">
      <c r="A4" s="58">
        <f>IF($B4="","",(ROW($A3)))</f>
        <v>3</v>
      </c>
      <c r="B4" s="10" t="s">
        <v>853</v>
      </c>
      <c r="C4" s="59">
        <v>41639</v>
      </c>
      <c r="D4" s="2" t="s">
        <v>1323</v>
      </c>
      <c r="F4" s="56">
        <f>IF($B4&lt;&gt;"",(COUNTIFS(Rships!$B$2:$B$9990,$B4,Rships!$C$2:$C$9990,$J$2)),"")</f>
        <v>0</v>
      </c>
    </row>
    <row r="5" spans="1:10">
      <c r="A5" s="58">
        <f>IF($B5="","",(ROW($A4)))</f>
        <v>4</v>
      </c>
      <c r="B5" s="10" t="s">
        <v>184</v>
      </c>
      <c r="C5" s="59">
        <v>41638</v>
      </c>
      <c r="D5" s="2" t="s">
        <v>1323</v>
      </c>
      <c r="F5" s="56">
        <f>IF($B5&lt;&gt;"",(COUNTIFS(Rships!$B$2:$B$9990,$B5,Rships!$C$2:$C$9990,$J$2)),"")</f>
        <v>0</v>
      </c>
    </row>
    <row r="6" spans="1:10">
      <c r="A6" s="58">
        <f>IF($B6="","",(ROW($A5)))</f>
        <v>5</v>
      </c>
      <c r="B6" s="10" t="s">
        <v>921</v>
      </c>
      <c r="C6" s="59">
        <v>41610</v>
      </c>
      <c r="D6" s="2" t="s">
        <v>1323</v>
      </c>
      <c r="F6" s="56">
        <f>IF($B6&lt;&gt;"",(COUNTIFS(Rships!$B$2:$B$9990,$B6,Rships!$C$2:$C$9990,$J$2)),"")</f>
        <v>0</v>
      </c>
    </row>
    <row r="7" spans="1:10" s="10" customFormat="1">
      <c r="A7" s="58">
        <f t="shared" ref="A7:A70" si="0">IF($B7="","",(ROW($A6)))</f>
        <v>6</v>
      </c>
      <c r="B7" s="10" t="s">
        <v>55</v>
      </c>
      <c r="C7" s="55">
        <v>41619</v>
      </c>
      <c r="D7" s="10" t="s">
        <v>1323</v>
      </c>
      <c r="F7" s="56">
        <f>IF($B7&lt;&gt;"",(COUNTIFS(Rships!$B$2:$B$9990,$B7,Rships!$C$2:$C$9990,$J$2)),"")</f>
        <v>0</v>
      </c>
      <c r="G7" s="56"/>
    </row>
    <row r="8" spans="1:10">
      <c r="A8" s="58" t="str">
        <f t="shared" si="0"/>
        <v/>
      </c>
      <c r="B8" s="10"/>
    </row>
    <row r="9" spans="1:10">
      <c r="A9" s="58" t="str">
        <f t="shared" si="0"/>
        <v/>
      </c>
    </row>
    <row r="10" spans="1:10">
      <c r="A10" s="58" t="str">
        <f t="shared" si="0"/>
        <v/>
      </c>
      <c r="F10" s="56" t="str">
        <f>IF($B10&lt;&gt;"",(COUNTIFS(Rships!$B$2:$B$9990,$B10,Rships!$C$2:$C$9990,$J$2)),"")</f>
        <v/>
      </c>
    </row>
    <row r="11" spans="1:10">
      <c r="A11" s="58" t="str">
        <f t="shared" si="0"/>
        <v/>
      </c>
      <c r="F11" s="56" t="str">
        <f>IF($B11&lt;&gt;"",(COUNTIFS(Rships!$B$2:$B$9990,$B11,Rships!$C$2:$C$9990,$J$2)),"")</f>
        <v/>
      </c>
    </row>
    <row r="12" spans="1:10">
      <c r="A12" s="58" t="str">
        <f t="shared" si="0"/>
        <v/>
      </c>
      <c r="F12" s="56" t="str">
        <f>IF($B12&lt;&gt;"",(COUNTIFS(Rships!$B$2:$B$9990,$B12,Rships!$C$2:$C$9990,$J$2)),"")</f>
        <v/>
      </c>
    </row>
    <row r="13" spans="1:10">
      <c r="A13" s="58" t="str">
        <f t="shared" si="0"/>
        <v/>
      </c>
      <c r="F13" s="56" t="str">
        <f>IF($B13&lt;&gt;"",(COUNTIFS(Rships!$B$2:$B$9990,$B13,Rships!$C$2:$C$9990,$J$2)),"")</f>
        <v/>
      </c>
    </row>
    <row r="14" spans="1:10">
      <c r="A14" s="58" t="str">
        <f t="shared" si="0"/>
        <v/>
      </c>
      <c r="F14" s="56" t="str">
        <f>IF($B14&lt;&gt;"",(COUNTIFS(Rships!$B$2:$B$9990,$B14,Rships!$C$2:$C$9990,$J$2)),"")</f>
        <v/>
      </c>
    </row>
    <row r="15" spans="1:10">
      <c r="A15" s="58" t="str">
        <f t="shared" si="0"/>
        <v/>
      </c>
      <c r="F15" s="56" t="str">
        <f>IF($B15&lt;&gt;"",(COUNTIFS(Rships!$B$2:$B$9990,$B15,Rships!$C$2:$C$9990,$J$2)),"")</f>
        <v/>
      </c>
    </row>
    <row r="16" spans="1:10">
      <c r="A16" s="58" t="str">
        <f t="shared" si="0"/>
        <v/>
      </c>
      <c r="F16" s="56" t="str">
        <f>IF($B16&lt;&gt;"",(COUNTIFS(Rships!$B$2:$B$9990,$B16,Rships!$C$2:$C$9990,$J$2)),"")</f>
        <v/>
      </c>
    </row>
    <row r="17" spans="1:6">
      <c r="A17" s="58" t="str">
        <f t="shared" si="0"/>
        <v/>
      </c>
      <c r="F17" s="56" t="str">
        <f>IF($B17&lt;&gt;"",(COUNTIFS(Rships!$B$2:$B$9990,$B17,Rships!$C$2:$C$9990,$J$2)),"")</f>
        <v/>
      </c>
    </row>
    <row r="18" spans="1:6">
      <c r="A18" s="58" t="str">
        <f t="shared" si="0"/>
        <v/>
      </c>
      <c r="F18" s="56" t="str">
        <f>IF($B18&lt;&gt;"",(COUNTIFS(Rships!$B$2:$B$9990,$B18,Rships!$C$2:$C$9990,$J$2)),"")</f>
        <v/>
      </c>
    </row>
    <row r="19" spans="1:6">
      <c r="A19" s="58" t="str">
        <f t="shared" si="0"/>
        <v/>
      </c>
      <c r="F19" s="56" t="str">
        <f>IF($B19&lt;&gt;"",(COUNTIFS(Rships!$B$2:$B$9990,$B19,Rships!$C$2:$C$9990,$J$2)),"")</f>
        <v/>
      </c>
    </row>
    <row r="20" spans="1:6">
      <c r="A20" s="58" t="str">
        <f t="shared" si="0"/>
        <v/>
      </c>
      <c r="F20" s="56" t="str">
        <f>IF($B20&lt;&gt;"",(COUNTIFS(Rships!$B$2:$B$9990,$B20,Rships!$C$2:$C$9990,$J$2)),"")</f>
        <v/>
      </c>
    </row>
    <row r="21" spans="1:6">
      <c r="A21" s="58" t="str">
        <f t="shared" si="0"/>
        <v/>
      </c>
      <c r="F21" s="56" t="str">
        <f>IF($B21&lt;&gt;"",(COUNTIFS(Rships!$B$2:$B$9990,$B21,Rships!$C$2:$C$9990,$J$2)),"")</f>
        <v/>
      </c>
    </row>
    <row r="22" spans="1:6">
      <c r="A22" s="58" t="str">
        <f t="shared" si="0"/>
        <v/>
      </c>
      <c r="F22" s="56" t="str">
        <f>IF($B22&lt;&gt;"",(COUNTIFS(Rships!$B$2:$B$9990,$B22,Rships!$C$2:$C$9990,$J$2)),"")</f>
        <v/>
      </c>
    </row>
    <row r="23" spans="1:6">
      <c r="A23" s="58" t="str">
        <f t="shared" si="0"/>
        <v/>
      </c>
      <c r="F23" s="56" t="str">
        <f>IF($B23&lt;&gt;"",(COUNTIFS(Rships!$B$2:$B$9990,$B23,Rships!$C$2:$C$9990,$J$2)),"")</f>
        <v/>
      </c>
    </row>
    <row r="24" spans="1:6">
      <c r="A24" s="58" t="str">
        <f t="shared" si="0"/>
        <v/>
      </c>
      <c r="F24" s="56" t="str">
        <f>IF($B24&lt;&gt;"",(COUNTIFS(Rships!$B$2:$B$9990,$B24,Rships!$C$2:$C$9990,$J$2)),"")</f>
        <v/>
      </c>
    </row>
    <row r="25" spans="1:6">
      <c r="A25" s="58" t="str">
        <f t="shared" si="0"/>
        <v/>
      </c>
      <c r="F25" s="56" t="str">
        <f>IF($B25&lt;&gt;"",(COUNTIFS(Rships!$B$2:$B$9990,$B25,Rships!$C$2:$C$9990,$J$2)),"")</f>
        <v/>
      </c>
    </row>
    <row r="26" spans="1:6">
      <c r="A26" s="58" t="str">
        <f t="shared" si="0"/>
        <v/>
      </c>
      <c r="F26" s="56" t="str">
        <f>IF($B26&lt;&gt;"",(COUNTIFS(Rships!$B$2:$B$9990,$B26,Rships!$C$2:$C$9990,$J$2)),"")</f>
        <v/>
      </c>
    </row>
    <row r="27" spans="1:6">
      <c r="A27" s="58" t="str">
        <f t="shared" si="0"/>
        <v/>
      </c>
      <c r="F27" s="56" t="str">
        <f>IF($B27&lt;&gt;"",(COUNTIFS(Rships!$B$2:$B$9990,$B27,Rships!$C$2:$C$9990,$J$2)),"")</f>
        <v/>
      </c>
    </row>
    <row r="28" spans="1:6">
      <c r="A28" s="58" t="str">
        <f t="shared" si="0"/>
        <v/>
      </c>
      <c r="F28" s="56" t="str">
        <f>IF($B28&lt;&gt;"",(COUNTIFS(Rships!$B$2:$B$9990,$B28,Rships!$C$2:$C$9990,$J$2)),"")</f>
        <v/>
      </c>
    </row>
    <row r="29" spans="1:6">
      <c r="A29" s="58" t="str">
        <f t="shared" si="0"/>
        <v/>
      </c>
      <c r="F29" s="56" t="str">
        <f>IF($B29&lt;&gt;"",(COUNTIFS(Rships!$B$2:$B$9990,$B29,Rships!$C$2:$C$9990,$J$2)),"")</f>
        <v/>
      </c>
    </row>
    <row r="30" spans="1:6">
      <c r="A30" s="58" t="str">
        <f t="shared" si="0"/>
        <v/>
      </c>
      <c r="F30" s="56" t="str">
        <f>IF($B30&lt;&gt;"",(COUNTIFS(Rships!$B$2:$B$9990,$B30,Rships!$C$2:$C$9990,$J$2)),"")</f>
        <v/>
      </c>
    </row>
    <row r="31" spans="1:6">
      <c r="A31" s="58" t="str">
        <f t="shared" si="0"/>
        <v/>
      </c>
      <c r="F31" s="56" t="str">
        <f>IF($B31&lt;&gt;"",(COUNTIFS(Rships!$B$2:$B$9990,$B31,Rships!$C$2:$C$9990,$J$2)),"")</f>
        <v/>
      </c>
    </row>
    <row r="32" spans="1:6">
      <c r="A32" s="58" t="str">
        <f t="shared" si="0"/>
        <v/>
      </c>
      <c r="F32" s="56" t="str">
        <f>IF($B32&lt;&gt;"",(COUNTIFS(Rships!$B$2:$B$9990,$B32,Rships!$C$2:$C$9990,$J$2)),"")</f>
        <v/>
      </c>
    </row>
    <row r="33" spans="1:6">
      <c r="A33" s="58" t="str">
        <f t="shared" si="0"/>
        <v/>
      </c>
      <c r="F33" s="56" t="str">
        <f>IF($B33&lt;&gt;"",(COUNTIFS(Rships!$B$2:$B$9990,$B33,Rships!$C$2:$C$9990,$J$2)),"")</f>
        <v/>
      </c>
    </row>
    <row r="34" spans="1:6">
      <c r="A34" s="58" t="str">
        <f t="shared" si="0"/>
        <v/>
      </c>
      <c r="F34" s="56" t="str">
        <f>IF($B34&lt;&gt;"",(COUNTIFS(Rships!$B$2:$B$9990,$B34,Rships!$C$2:$C$9990,$J$2)),"")</f>
        <v/>
      </c>
    </row>
    <row r="35" spans="1:6">
      <c r="A35" s="58" t="str">
        <f t="shared" si="0"/>
        <v/>
      </c>
      <c r="F35" s="56" t="str">
        <f>IF($B35&lt;&gt;"",(COUNTIFS(Rships!$B$2:$B$9990,$B35,Rships!$C$2:$C$9990,$J$2)),"")</f>
        <v/>
      </c>
    </row>
    <row r="36" spans="1:6">
      <c r="A36" s="58" t="str">
        <f t="shared" si="0"/>
        <v/>
      </c>
      <c r="F36" s="56" t="str">
        <f>IF($B36&lt;&gt;"",(COUNTIFS(Rships!$B$2:$B$9990,$B36,Rships!$C$2:$C$9990,$J$2)),"")</f>
        <v/>
      </c>
    </row>
    <row r="37" spans="1:6">
      <c r="A37" s="58" t="str">
        <f t="shared" si="0"/>
        <v/>
      </c>
      <c r="F37" s="56" t="str">
        <f>IF($B37&lt;&gt;"",(COUNTIFS(Rships!$B$2:$B$9990,$B37,Rships!$C$2:$C$9990,$J$2)),"")</f>
        <v/>
      </c>
    </row>
    <row r="38" spans="1:6">
      <c r="A38" s="58" t="str">
        <f t="shared" si="0"/>
        <v/>
      </c>
      <c r="F38" s="56" t="str">
        <f>IF($B38&lt;&gt;"",(COUNTIFS(Rships!$B$2:$B$9990,$B38,Rships!$C$2:$C$9990,$J$2)),"")</f>
        <v/>
      </c>
    </row>
    <row r="39" spans="1:6">
      <c r="A39" s="58" t="str">
        <f t="shared" si="0"/>
        <v/>
      </c>
      <c r="F39" s="56" t="str">
        <f>IF($B39&lt;&gt;"",(COUNTIFS(Rships!$B$2:$B$9990,$B39,Rships!$C$2:$C$9990,$J$2)),"")</f>
        <v/>
      </c>
    </row>
    <row r="40" spans="1:6">
      <c r="A40" s="58" t="str">
        <f t="shared" si="0"/>
        <v/>
      </c>
      <c r="F40" s="56" t="str">
        <f>IF($B40&lt;&gt;"",(COUNTIFS(Rships!$B$2:$B$9990,$B40,Rships!$C$2:$C$9990,$J$2)),"")</f>
        <v/>
      </c>
    </row>
    <row r="41" spans="1:6">
      <c r="A41" s="58" t="str">
        <f t="shared" si="0"/>
        <v/>
      </c>
      <c r="F41" s="56" t="str">
        <f>IF($B41&lt;&gt;"",(COUNTIFS(Rships!$B$2:$B$9990,$B41,Rships!$C$2:$C$9990,$J$2)),"")</f>
        <v/>
      </c>
    </row>
    <row r="42" spans="1:6">
      <c r="A42" s="58" t="str">
        <f t="shared" si="0"/>
        <v/>
      </c>
      <c r="F42" s="56" t="str">
        <f>IF($B42&lt;&gt;"",(COUNTIFS(Rships!$B$2:$B$9990,$B42,Rships!$C$2:$C$9990,$J$2)),"")</f>
        <v/>
      </c>
    </row>
    <row r="43" spans="1:6">
      <c r="A43" s="58" t="str">
        <f t="shared" si="0"/>
        <v/>
      </c>
      <c r="F43" s="56" t="str">
        <f>IF($B43&lt;&gt;"",(COUNTIFS(Rships!$B$2:$B$9990,$B43,Rships!$C$2:$C$9990,$J$2)),"")</f>
        <v/>
      </c>
    </row>
    <row r="44" spans="1:6">
      <c r="A44" s="58" t="str">
        <f t="shared" si="0"/>
        <v/>
      </c>
      <c r="F44" s="56" t="str">
        <f>IF($B44&lt;&gt;"",(COUNTIFS(Rships!$B$2:$B$9990,$B44,Rships!$C$2:$C$9990,$J$2)),"")</f>
        <v/>
      </c>
    </row>
    <row r="45" spans="1:6">
      <c r="A45" s="58" t="str">
        <f t="shared" si="0"/>
        <v/>
      </c>
      <c r="F45" s="56" t="str">
        <f>IF($B45&lt;&gt;"",(COUNTIFS(Rships!$B$2:$B$9990,$B45,Rships!$C$2:$C$9990,$J$2)),"")</f>
        <v/>
      </c>
    </row>
    <row r="46" spans="1:6">
      <c r="A46" s="58" t="str">
        <f t="shared" si="0"/>
        <v/>
      </c>
      <c r="F46" s="56" t="str">
        <f>IF($B46&lt;&gt;"",(COUNTIFS(Rships!$B$2:$B$9990,$B46,Rships!$C$2:$C$9990,$J$2)),"")</f>
        <v/>
      </c>
    </row>
    <row r="47" spans="1:6">
      <c r="A47" s="58" t="str">
        <f t="shared" si="0"/>
        <v/>
      </c>
      <c r="F47" s="56" t="str">
        <f>IF($B47&lt;&gt;"",(COUNTIFS(Rships!$B$2:$B$9990,$B47,Rships!$C$2:$C$9990,$J$2)),"")</f>
        <v/>
      </c>
    </row>
    <row r="48" spans="1:6">
      <c r="A48" s="58" t="str">
        <f t="shared" si="0"/>
        <v/>
      </c>
      <c r="F48" s="56" t="str">
        <f>IF($B48&lt;&gt;"",(COUNTIFS(Rships!$B$2:$B$9990,$B48,Rships!$C$2:$C$9990,$J$2)),"")</f>
        <v/>
      </c>
    </row>
    <row r="49" spans="1:6">
      <c r="A49" s="58" t="str">
        <f t="shared" si="0"/>
        <v/>
      </c>
      <c r="F49" s="56" t="str">
        <f>IF($B49&lt;&gt;"",(COUNTIFS(Rships!$B$2:$B$9990,$B49,Rships!$C$2:$C$9990,$J$2)),"")</f>
        <v/>
      </c>
    </row>
    <row r="50" spans="1:6">
      <c r="A50" s="58" t="str">
        <f t="shared" si="0"/>
        <v/>
      </c>
      <c r="F50" s="56" t="str">
        <f>IF($B50&lt;&gt;"",(COUNTIFS(Rships!$B$2:$B$9990,$B50,Rships!$C$2:$C$9990,$J$2)),"")</f>
        <v/>
      </c>
    </row>
    <row r="51" spans="1:6">
      <c r="A51" s="58" t="str">
        <f t="shared" si="0"/>
        <v/>
      </c>
      <c r="F51" s="56" t="str">
        <f>IF($B51&lt;&gt;"",(COUNTIFS(Rships!$B$2:$B$9990,$B51,Rships!$C$2:$C$9990,$J$2)),"")</f>
        <v/>
      </c>
    </row>
    <row r="52" spans="1:6">
      <c r="A52" s="58" t="str">
        <f t="shared" si="0"/>
        <v/>
      </c>
      <c r="F52" s="56" t="str">
        <f>IF($B52&lt;&gt;"",(COUNTIFS(Rships!$B$2:$B$9990,$B52,Rships!$C$2:$C$9990,$J$2)),"")</f>
        <v/>
      </c>
    </row>
    <row r="53" spans="1:6">
      <c r="A53" s="58" t="str">
        <f t="shared" si="0"/>
        <v/>
      </c>
      <c r="F53" s="56" t="str">
        <f>IF($B53&lt;&gt;"",(COUNTIFS(Rships!$B$2:$B$9990,$B53,Rships!$C$2:$C$9990,$J$2)),"")</f>
        <v/>
      </c>
    </row>
    <row r="54" spans="1:6">
      <c r="A54" s="58" t="str">
        <f t="shared" si="0"/>
        <v/>
      </c>
      <c r="F54" s="56" t="str">
        <f>IF($B54&lt;&gt;"",(COUNTIFS(Rships!$B$2:$B$9990,$B54,Rships!$C$2:$C$9990,$J$2)),"")</f>
        <v/>
      </c>
    </row>
    <row r="55" spans="1:6">
      <c r="A55" s="58" t="str">
        <f t="shared" si="0"/>
        <v/>
      </c>
      <c r="F55" s="56" t="str">
        <f>IF($B55&lt;&gt;"",(COUNTIFS(Rships!$B$2:$B$9990,$B55,Rships!$C$2:$C$9990,$J$2)),"")</f>
        <v/>
      </c>
    </row>
    <row r="56" spans="1:6">
      <c r="A56" s="58" t="str">
        <f t="shared" si="0"/>
        <v/>
      </c>
      <c r="F56" s="56" t="str">
        <f>IF($B56&lt;&gt;"",(COUNTIFS(Rships!$B$2:$B$9990,$B56,Rships!$C$2:$C$9990,$J$2)),"")</f>
        <v/>
      </c>
    </row>
    <row r="57" spans="1:6">
      <c r="A57" s="58" t="str">
        <f t="shared" si="0"/>
        <v/>
      </c>
      <c r="F57" s="56" t="str">
        <f>IF($B57&lt;&gt;"",(COUNTIFS(Rships!$B$2:$B$9990,$B57,Rships!$C$2:$C$9990,$J$2)),"")</f>
        <v/>
      </c>
    </row>
    <row r="58" spans="1:6">
      <c r="A58" s="58" t="str">
        <f t="shared" si="0"/>
        <v/>
      </c>
      <c r="F58" s="56" t="str">
        <f>IF($B58&lt;&gt;"",(COUNTIFS(Rships!$B$2:$B$9990,$B58,Rships!$C$2:$C$9990,$J$2)),"")</f>
        <v/>
      </c>
    </row>
    <row r="59" spans="1:6">
      <c r="A59" s="58" t="str">
        <f t="shared" si="0"/>
        <v/>
      </c>
      <c r="F59" s="56" t="str">
        <f>IF($B59&lt;&gt;"",(COUNTIFS(Rships!$B$2:$B$9990,$B59,Rships!$C$2:$C$9990,$J$2)),"")</f>
        <v/>
      </c>
    </row>
    <row r="60" spans="1:6">
      <c r="A60" s="58" t="str">
        <f t="shared" si="0"/>
        <v/>
      </c>
      <c r="F60" s="56" t="str">
        <f>IF($B60&lt;&gt;"",(COUNTIFS(Rships!$B$2:$B$9990,$B60,Rships!$C$2:$C$9990,$J$2)),"")</f>
        <v/>
      </c>
    </row>
    <row r="61" spans="1:6">
      <c r="A61" s="58" t="str">
        <f t="shared" si="0"/>
        <v/>
      </c>
      <c r="F61" s="56" t="str">
        <f>IF($B61&lt;&gt;"",(COUNTIFS(Rships!$B$2:$B$9990,$B61,Rships!$C$2:$C$9990,$J$2)),"")</f>
        <v/>
      </c>
    </row>
    <row r="62" spans="1:6">
      <c r="A62" s="58" t="str">
        <f t="shared" si="0"/>
        <v/>
      </c>
      <c r="F62" s="56" t="str">
        <f>IF($B62&lt;&gt;"",(COUNTIFS(Rships!$B$2:$B$9990,$B62,Rships!$C$2:$C$9990,$J$2)),"")</f>
        <v/>
      </c>
    </row>
    <row r="63" spans="1:6">
      <c r="A63" s="58" t="str">
        <f t="shared" si="0"/>
        <v/>
      </c>
      <c r="F63" s="56" t="str">
        <f>IF($B63&lt;&gt;"",(COUNTIFS(Rships!$B$2:$B$9990,$B63,Rships!$C$2:$C$9990,$J$2)),"")</f>
        <v/>
      </c>
    </row>
    <row r="64" spans="1:6">
      <c r="A64" s="58" t="str">
        <f t="shared" si="0"/>
        <v/>
      </c>
      <c r="F64" s="56" t="str">
        <f>IF($B64&lt;&gt;"",(COUNTIFS(Rships!$B$2:$B$9990,$B64,Rships!$C$2:$C$9990,$J$2)),"")</f>
        <v/>
      </c>
    </row>
    <row r="65" spans="1:6">
      <c r="A65" s="58" t="str">
        <f t="shared" si="0"/>
        <v/>
      </c>
      <c r="F65" s="56" t="str">
        <f>IF($B65&lt;&gt;"",(COUNTIFS(Rships!$B$2:$B$9990,$B65,Rships!$C$2:$C$9990,$J$2)),"")</f>
        <v/>
      </c>
    </row>
    <row r="66" spans="1:6">
      <c r="A66" s="58" t="str">
        <f t="shared" si="0"/>
        <v/>
      </c>
      <c r="F66" s="56" t="str">
        <f>IF($B66&lt;&gt;"",(COUNTIFS(Rships!$B$2:$B$9990,$B66,Rships!$C$2:$C$9990,$J$2)),"")</f>
        <v/>
      </c>
    </row>
    <row r="67" spans="1:6">
      <c r="A67" s="58" t="str">
        <f t="shared" si="0"/>
        <v/>
      </c>
      <c r="F67" s="56" t="str">
        <f>IF($B67&lt;&gt;"",(COUNTIFS(Rships!$B$2:$B$9990,$B67,Rships!$C$2:$C$9990,$J$2)),"")</f>
        <v/>
      </c>
    </row>
    <row r="68" spans="1:6">
      <c r="A68" s="58" t="str">
        <f t="shared" si="0"/>
        <v/>
      </c>
      <c r="F68" s="56" t="str">
        <f>IF($B68&lt;&gt;"",(COUNTIFS(Rships!$B$2:$B$9990,$B68,Rships!$C$2:$C$9990,$J$2)),"")</f>
        <v/>
      </c>
    </row>
    <row r="69" spans="1:6">
      <c r="A69" s="58" t="str">
        <f t="shared" si="0"/>
        <v/>
      </c>
      <c r="F69" s="56" t="str">
        <f>IF($B69&lt;&gt;"",(COUNTIFS(Rships!$B$2:$B$9990,$B69,Rships!$C$2:$C$9990,$J$2)),"")</f>
        <v/>
      </c>
    </row>
    <row r="70" spans="1:6">
      <c r="A70" s="58" t="str">
        <f t="shared" si="0"/>
        <v/>
      </c>
      <c r="F70" s="56" t="str">
        <f>IF($B70&lt;&gt;"",(COUNTIFS(Rships!$B$2:$B$9990,$B70,Rships!$C$2:$C$9990,$J$2)),"")</f>
        <v/>
      </c>
    </row>
    <row r="71" spans="1:6">
      <c r="A71" s="58" t="str">
        <f t="shared" ref="A71:A134" si="1">IF($B71="","",(ROW($A70)))</f>
        <v/>
      </c>
      <c r="F71" s="56" t="str">
        <f>IF($B71&lt;&gt;"",(COUNTIFS(Rships!$B$2:$B$9990,$B71,Rships!$C$2:$C$9990,$J$2)),"")</f>
        <v/>
      </c>
    </row>
    <row r="72" spans="1:6">
      <c r="A72" s="58" t="str">
        <f t="shared" si="1"/>
        <v/>
      </c>
      <c r="F72" s="56" t="str">
        <f>IF($B72&lt;&gt;"",(COUNTIFS(Rships!$B$2:$B$9990,$B72,Rships!$C$2:$C$9990,$J$2)),"")</f>
        <v/>
      </c>
    </row>
    <row r="73" spans="1:6">
      <c r="A73" s="58" t="str">
        <f t="shared" si="1"/>
        <v/>
      </c>
      <c r="F73" s="56" t="str">
        <f>IF($B73&lt;&gt;"",(COUNTIFS(Rships!$B$2:$B$9990,$B73,Rships!$C$2:$C$9990,$J$2)),"")</f>
        <v/>
      </c>
    </row>
    <row r="74" spans="1:6">
      <c r="A74" s="58" t="str">
        <f t="shared" si="1"/>
        <v/>
      </c>
      <c r="F74" s="56" t="str">
        <f>IF($B74&lt;&gt;"",(COUNTIFS(Rships!$B$2:$B$9990,$B74,Rships!$C$2:$C$9990,$J$2)),"")</f>
        <v/>
      </c>
    </row>
    <row r="75" spans="1:6">
      <c r="A75" s="58" t="str">
        <f t="shared" si="1"/>
        <v/>
      </c>
      <c r="F75" s="56" t="str">
        <f>IF($B75&lt;&gt;"",(COUNTIFS(Rships!$B$2:$B$9990,$B75,Rships!$C$2:$C$9990,$J$2)),"")</f>
        <v/>
      </c>
    </row>
    <row r="76" spans="1:6">
      <c r="A76" s="58" t="str">
        <f t="shared" si="1"/>
        <v/>
      </c>
      <c r="F76" s="56" t="str">
        <f>IF($B76&lt;&gt;"",(COUNTIFS(Rships!$B$2:$B$9990,$B76,Rships!$C$2:$C$9990,$J$2)),"")</f>
        <v/>
      </c>
    </row>
    <row r="77" spans="1:6">
      <c r="A77" s="58" t="str">
        <f t="shared" si="1"/>
        <v/>
      </c>
      <c r="F77" s="56" t="str">
        <f>IF($B77&lt;&gt;"",(COUNTIFS(Rships!$B$2:$B$9990,$B77,Rships!$C$2:$C$9990,$J$2)),"")</f>
        <v/>
      </c>
    </row>
    <row r="78" spans="1:6">
      <c r="A78" s="58" t="str">
        <f t="shared" si="1"/>
        <v/>
      </c>
      <c r="F78" s="56" t="str">
        <f>IF($B78&lt;&gt;"",(COUNTIFS(Rships!$B$2:$B$9990,$B78,Rships!$C$2:$C$9990,$J$2)),"")</f>
        <v/>
      </c>
    </row>
    <row r="79" spans="1:6">
      <c r="A79" s="58" t="str">
        <f t="shared" si="1"/>
        <v/>
      </c>
      <c r="F79" s="56" t="str">
        <f>IF($B79&lt;&gt;"",(COUNTIFS(Rships!$B$2:$B$9990,$B79,Rships!$C$2:$C$9990,$J$2)),"")</f>
        <v/>
      </c>
    </row>
    <row r="80" spans="1:6">
      <c r="A80" s="58" t="str">
        <f t="shared" si="1"/>
        <v/>
      </c>
      <c r="F80" s="56" t="str">
        <f>IF($B80&lt;&gt;"",(COUNTIFS(Rships!$B$2:$B$9990,$B80,Rships!$C$2:$C$9990,$J$2)),"")</f>
        <v/>
      </c>
    </row>
    <row r="81" spans="1:6">
      <c r="A81" s="58" t="str">
        <f t="shared" si="1"/>
        <v/>
      </c>
      <c r="F81" s="56" t="str">
        <f>IF($B81&lt;&gt;"",(COUNTIFS(Rships!$B$2:$B$9990,$B81,Rships!$C$2:$C$9990,$J$2)),"")</f>
        <v/>
      </c>
    </row>
    <row r="82" spans="1:6">
      <c r="A82" s="58" t="str">
        <f t="shared" si="1"/>
        <v/>
      </c>
      <c r="F82" s="56" t="str">
        <f>IF($B82&lt;&gt;"",(COUNTIFS(Rships!$B$2:$B$9990,$B82,Rships!$C$2:$C$9990,$J$2)),"")</f>
        <v/>
      </c>
    </row>
    <row r="83" spans="1:6">
      <c r="A83" s="58" t="str">
        <f t="shared" si="1"/>
        <v/>
      </c>
      <c r="F83" s="56" t="str">
        <f>IF($B83&lt;&gt;"",(COUNTIFS(Rships!$B$2:$B$9990,$B83,Rships!$C$2:$C$9990,$J$2)),"")</f>
        <v/>
      </c>
    </row>
    <row r="84" spans="1:6">
      <c r="A84" s="58" t="str">
        <f t="shared" si="1"/>
        <v/>
      </c>
      <c r="F84" s="56" t="str">
        <f>IF($B84&lt;&gt;"",(COUNTIFS(Rships!$B$2:$B$9990,$B84,Rships!$C$2:$C$9990,$J$2)),"")</f>
        <v/>
      </c>
    </row>
    <row r="85" spans="1:6">
      <c r="A85" s="58" t="str">
        <f t="shared" si="1"/>
        <v/>
      </c>
      <c r="F85" s="56" t="str">
        <f>IF($B85&lt;&gt;"",(COUNTIFS(Rships!$B$2:$B$9990,$B85,Rships!$C$2:$C$9990,$J$2)),"")</f>
        <v/>
      </c>
    </row>
    <row r="86" spans="1:6">
      <c r="A86" s="58" t="str">
        <f t="shared" si="1"/>
        <v/>
      </c>
      <c r="F86" s="56" t="str">
        <f>IF($B86&lt;&gt;"",(COUNTIFS(Rships!$B$2:$B$9990,$B86,Rships!$C$2:$C$9990,$J$2)),"")</f>
        <v/>
      </c>
    </row>
    <row r="87" spans="1:6">
      <c r="A87" s="58" t="str">
        <f t="shared" si="1"/>
        <v/>
      </c>
      <c r="F87" s="56" t="str">
        <f>IF($B87&lt;&gt;"",(COUNTIFS(Rships!$B$2:$B$9990,$B87,Rships!$C$2:$C$9990,$J$2)),"")</f>
        <v/>
      </c>
    </row>
    <row r="88" spans="1:6">
      <c r="A88" s="58" t="str">
        <f t="shared" si="1"/>
        <v/>
      </c>
      <c r="F88" s="56" t="str">
        <f>IF($B88&lt;&gt;"",(COUNTIFS(Rships!$B$2:$B$9990,$B88,Rships!$C$2:$C$9990,$J$2)),"")</f>
        <v/>
      </c>
    </row>
    <row r="89" spans="1:6">
      <c r="A89" s="58" t="str">
        <f t="shared" si="1"/>
        <v/>
      </c>
      <c r="F89" s="56" t="str">
        <f>IF($B89&lt;&gt;"",(COUNTIFS(Rships!$B$2:$B$9990,$B89,Rships!$C$2:$C$9990,$J$2)),"")</f>
        <v/>
      </c>
    </row>
    <row r="90" spans="1:6">
      <c r="A90" s="58" t="str">
        <f t="shared" si="1"/>
        <v/>
      </c>
      <c r="F90" s="56" t="str">
        <f>IF($B90&lt;&gt;"",(COUNTIFS(Rships!$B$2:$B$9990,$B90,Rships!$C$2:$C$9990,$J$2)),"")</f>
        <v/>
      </c>
    </row>
    <row r="91" spans="1:6">
      <c r="A91" s="58" t="str">
        <f t="shared" si="1"/>
        <v/>
      </c>
      <c r="F91" s="56" t="str">
        <f>IF($B91&lt;&gt;"",(COUNTIFS(Rships!$B$2:$B$9990,$B91,Rships!$C$2:$C$9990,$J$2)),"")</f>
        <v/>
      </c>
    </row>
    <row r="92" spans="1:6">
      <c r="A92" s="58" t="str">
        <f t="shared" si="1"/>
        <v/>
      </c>
      <c r="F92" s="56" t="str">
        <f>IF($B92&lt;&gt;"",(COUNTIFS(Rships!$B$2:$B$9990,$B92,Rships!$C$2:$C$9990,$J$2)),"")</f>
        <v/>
      </c>
    </row>
    <row r="93" spans="1:6">
      <c r="A93" s="58" t="str">
        <f t="shared" si="1"/>
        <v/>
      </c>
      <c r="F93" s="56" t="str">
        <f>IF($B93&lt;&gt;"",(COUNTIFS(Rships!$B$2:$B$9990,$B93,Rships!$C$2:$C$9990,$J$2)),"")</f>
        <v/>
      </c>
    </row>
    <row r="94" spans="1:6">
      <c r="A94" s="58" t="str">
        <f t="shared" si="1"/>
        <v/>
      </c>
      <c r="F94" s="56" t="str">
        <f>IF($B94&lt;&gt;"",(COUNTIFS(Rships!$B$2:$B$9990,$B94,Rships!$C$2:$C$9990,$J$2)),"")</f>
        <v/>
      </c>
    </row>
    <row r="95" spans="1:6">
      <c r="A95" s="58" t="str">
        <f t="shared" si="1"/>
        <v/>
      </c>
      <c r="F95" s="56" t="str">
        <f>IF($B95&lt;&gt;"",(COUNTIFS(Rships!$B$2:$B$9990,$B95,Rships!$C$2:$C$9990,$J$2)),"")</f>
        <v/>
      </c>
    </row>
    <row r="96" spans="1:6">
      <c r="A96" s="58" t="str">
        <f t="shared" si="1"/>
        <v/>
      </c>
      <c r="F96" s="56" t="str">
        <f>IF($B96&lt;&gt;"",(COUNTIFS(Rships!$B$2:$B$9990,$B96,Rships!$C$2:$C$9990,$J$2)),"")</f>
        <v/>
      </c>
    </row>
    <row r="97" spans="1:6">
      <c r="A97" s="58" t="str">
        <f t="shared" si="1"/>
        <v/>
      </c>
      <c r="F97" s="56" t="str">
        <f>IF($B97&lt;&gt;"",(COUNTIFS(Rships!$B$2:$B$9990,$B97,Rships!$C$2:$C$9990,$J$2)),"")</f>
        <v/>
      </c>
    </row>
    <row r="98" spans="1:6">
      <c r="A98" s="58" t="str">
        <f t="shared" si="1"/>
        <v/>
      </c>
      <c r="F98" s="56" t="str">
        <f>IF($B98&lt;&gt;"",(COUNTIFS(Rships!$B$2:$B$9990,$B98,Rships!$C$2:$C$9990,$J$2)),"")</f>
        <v/>
      </c>
    </row>
    <row r="99" spans="1:6">
      <c r="A99" s="58" t="str">
        <f t="shared" si="1"/>
        <v/>
      </c>
      <c r="F99" s="56" t="str">
        <f>IF($B99&lt;&gt;"",(COUNTIFS(Rships!$B$2:$B$9990,$B99,Rships!$C$2:$C$9990,$J$2)),"")</f>
        <v/>
      </c>
    </row>
    <row r="100" spans="1:6">
      <c r="A100" s="58" t="str">
        <f t="shared" si="1"/>
        <v/>
      </c>
      <c r="F100" s="56" t="str">
        <f>IF($B100&lt;&gt;"",(COUNTIFS(Rships!$B$2:$B$9990,$B100,Rships!$C$2:$C$9990,$J$2)),"")</f>
        <v/>
      </c>
    </row>
    <row r="101" spans="1:6">
      <c r="A101" s="58" t="str">
        <f t="shared" si="1"/>
        <v/>
      </c>
      <c r="F101" s="56" t="str">
        <f>IF($B101&lt;&gt;"",(COUNTIFS(Rships!$B$2:$B$9990,$B101,Rships!$C$2:$C$9990,$J$2)),"")</f>
        <v/>
      </c>
    </row>
    <row r="102" spans="1:6">
      <c r="A102" s="58" t="str">
        <f t="shared" si="1"/>
        <v/>
      </c>
      <c r="F102" s="56" t="str">
        <f>IF($B102&lt;&gt;"",(COUNTIFS(Rships!$B$2:$B$9990,$B102,Rships!$C$2:$C$9990,$J$2)),"")</f>
        <v/>
      </c>
    </row>
    <row r="103" spans="1:6">
      <c r="A103" s="58" t="str">
        <f t="shared" si="1"/>
        <v/>
      </c>
      <c r="F103" s="56" t="str">
        <f>IF($B103&lt;&gt;"",(COUNTIFS(Rships!$B$2:$B$9990,$B103,Rships!$C$2:$C$9990,$J$2)),"")</f>
        <v/>
      </c>
    </row>
    <row r="104" spans="1:6">
      <c r="A104" s="58" t="str">
        <f t="shared" si="1"/>
        <v/>
      </c>
      <c r="F104" s="56" t="str">
        <f>IF($B104&lt;&gt;"",(COUNTIFS(Rships!$B$2:$B$9990,$B104,Rships!$C$2:$C$9990,$J$2)),"")</f>
        <v/>
      </c>
    </row>
    <row r="105" spans="1:6">
      <c r="A105" s="58" t="str">
        <f t="shared" si="1"/>
        <v/>
      </c>
      <c r="F105" s="56" t="str">
        <f>IF($B105&lt;&gt;"",(COUNTIFS(Rships!$B$2:$B$9990,$B105,Rships!$C$2:$C$9990,$J$2)),"")</f>
        <v/>
      </c>
    </row>
    <row r="106" spans="1:6">
      <c r="A106" s="58" t="str">
        <f t="shared" si="1"/>
        <v/>
      </c>
      <c r="F106" s="56" t="str">
        <f>IF($B106&lt;&gt;"",(COUNTIFS(Rships!$B$2:$B$9990,$B106,Rships!$C$2:$C$9990,$J$2)),"")</f>
        <v/>
      </c>
    </row>
    <row r="107" spans="1:6">
      <c r="A107" s="58" t="str">
        <f t="shared" si="1"/>
        <v/>
      </c>
      <c r="F107" s="56" t="str">
        <f>IF($B107&lt;&gt;"",(COUNTIFS(Rships!$B$2:$B$9990,$B107,Rships!$C$2:$C$9990,$J$2)),"")</f>
        <v/>
      </c>
    </row>
    <row r="108" spans="1:6">
      <c r="A108" s="58" t="str">
        <f t="shared" si="1"/>
        <v/>
      </c>
      <c r="F108" s="56" t="str">
        <f>IF($B108&lt;&gt;"",(COUNTIFS(Rships!$B$2:$B$9990,$B108,Rships!$C$2:$C$9990,$J$2)),"")</f>
        <v/>
      </c>
    </row>
    <row r="109" spans="1:6">
      <c r="A109" s="58" t="str">
        <f t="shared" si="1"/>
        <v/>
      </c>
      <c r="F109" s="56" t="str">
        <f>IF($B109&lt;&gt;"",(COUNTIFS(Rships!$B$2:$B$9990,$B109,Rships!$C$2:$C$9990,$J$2)),"")</f>
        <v/>
      </c>
    </row>
    <row r="110" spans="1:6">
      <c r="A110" s="58" t="str">
        <f t="shared" si="1"/>
        <v/>
      </c>
      <c r="F110" s="56" t="str">
        <f>IF($B110&lt;&gt;"",(COUNTIFS(Rships!$B$2:$B$9990,$B110,Rships!$C$2:$C$9990,$J$2)),"")</f>
        <v/>
      </c>
    </row>
    <row r="111" spans="1:6">
      <c r="A111" s="58" t="str">
        <f t="shared" si="1"/>
        <v/>
      </c>
      <c r="F111" s="56" t="str">
        <f>IF($B111&lt;&gt;"",(COUNTIFS(Rships!$B$2:$B$9990,$B111,Rships!$C$2:$C$9990,$J$2)),"")</f>
        <v/>
      </c>
    </row>
    <row r="112" spans="1:6">
      <c r="A112" s="58" t="str">
        <f t="shared" si="1"/>
        <v/>
      </c>
      <c r="F112" s="56" t="str">
        <f>IF($B112&lt;&gt;"",(COUNTIFS(Rships!$B$2:$B$9990,$B112,Rships!$C$2:$C$9990,$J$2)),"")</f>
        <v/>
      </c>
    </row>
    <row r="113" spans="1:6">
      <c r="A113" s="58" t="str">
        <f t="shared" si="1"/>
        <v/>
      </c>
      <c r="F113" s="56" t="str">
        <f>IF($B113&lt;&gt;"",(COUNTIFS(Rships!$B$2:$B$9990,$B113,Rships!$C$2:$C$9990,$J$2)),"")</f>
        <v/>
      </c>
    </row>
    <row r="114" spans="1:6">
      <c r="A114" s="58" t="str">
        <f t="shared" si="1"/>
        <v/>
      </c>
      <c r="F114" s="56" t="str">
        <f>IF($B114&lt;&gt;"",(COUNTIFS(Rships!$B$2:$B$9990,$B114,Rships!$C$2:$C$9990,$J$2)),"")</f>
        <v/>
      </c>
    </row>
    <row r="115" spans="1:6">
      <c r="A115" s="58" t="str">
        <f t="shared" si="1"/>
        <v/>
      </c>
      <c r="F115" s="56" t="str">
        <f>IF($B115&lt;&gt;"",(COUNTIFS(Rships!$B$2:$B$9990,$B115,Rships!$C$2:$C$9990,$J$2)),"")</f>
        <v/>
      </c>
    </row>
    <row r="116" spans="1:6">
      <c r="A116" s="58" t="str">
        <f t="shared" si="1"/>
        <v/>
      </c>
      <c r="F116" s="56" t="str">
        <f>IF($B116&lt;&gt;"",(COUNTIFS(Rships!$B$2:$B$9990,$B116,Rships!$C$2:$C$9990,$J$2)),"")</f>
        <v/>
      </c>
    </row>
    <row r="117" spans="1:6">
      <c r="A117" s="58" t="str">
        <f t="shared" si="1"/>
        <v/>
      </c>
      <c r="F117" s="56" t="str">
        <f>IF($B117&lt;&gt;"",(COUNTIFS(Rships!$B$2:$B$9990,$B117,Rships!$C$2:$C$9990,$J$2)),"")</f>
        <v/>
      </c>
    </row>
    <row r="118" spans="1:6">
      <c r="A118" s="58" t="str">
        <f t="shared" si="1"/>
        <v/>
      </c>
      <c r="F118" s="56" t="str">
        <f>IF($B118&lt;&gt;"",(COUNTIFS(Rships!$B$2:$B$9990,$B118,Rships!$C$2:$C$9990,$J$2)),"")</f>
        <v/>
      </c>
    </row>
    <row r="119" spans="1:6">
      <c r="A119" s="58" t="str">
        <f t="shared" si="1"/>
        <v/>
      </c>
      <c r="F119" s="56" t="str">
        <f>IF($B119&lt;&gt;"",(COUNTIFS(Rships!$B$2:$B$9990,$B119,Rships!$C$2:$C$9990,$J$2)),"")</f>
        <v/>
      </c>
    </row>
    <row r="120" spans="1:6">
      <c r="A120" s="58" t="str">
        <f t="shared" si="1"/>
        <v/>
      </c>
      <c r="F120" s="56" t="str">
        <f>IF($B120&lt;&gt;"",(COUNTIFS(Rships!$B$2:$B$9990,$B120,Rships!$C$2:$C$9990,$J$2)),"")</f>
        <v/>
      </c>
    </row>
    <row r="121" spans="1:6">
      <c r="A121" s="58" t="str">
        <f t="shared" si="1"/>
        <v/>
      </c>
      <c r="F121" s="56" t="str">
        <f>IF($B121&lt;&gt;"",(COUNTIFS(Rships!$B$2:$B$9990,$B121,Rships!$C$2:$C$9990,$J$2)),"")</f>
        <v/>
      </c>
    </row>
    <row r="122" spans="1:6">
      <c r="A122" s="58" t="str">
        <f t="shared" si="1"/>
        <v/>
      </c>
      <c r="F122" s="56" t="str">
        <f>IF($B122&lt;&gt;"",(COUNTIFS(Rships!$B$2:$B$9990,$B122,Rships!$C$2:$C$9990,$J$2)),"")</f>
        <v/>
      </c>
    </row>
    <row r="123" spans="1:6">
      <c r="A123" s="58" t="str">
        <f t="shared" si="1"/>
        <v/>
      </c>
      <c r="F123" s="56" t="str">
        <f>IF($B123&lt;&gt;"",(COUNTIFS(Rships!$B$2:$B$9990,$B123,Rships!$C$2:$C$9990,$J$2)),"")</f>
        <v/>
      </c>
    </row>
    <row r="124" spans="1:6">
      <c r="A124" s="58" t="str">
        <f t="shared" si="1"/>
        <v/>
      </c>
      <c r="F124" s="56" t="str">
        <f>IF($B124&lt;&gt;"",(COUNTIFS(Rships!$B$2:$B$9990,$B124,Rships!$C$2:$C$9990,$J$2)),"")</f>
        <v/>
      </c>
    </row>
    <row r="125" spans="1:6">
      <c r="A125" s="58" t="str">
        <f t="shared" si="1"/>
        <v/>
      </c>
      <c r="F125" s="56" t="str">
        <f>IF($B125&lt;&gt;"",(COUNTIFS(Rships!$B$2:$B$9990,$B125,Rships!$C$2:$C$9990,$J$2)),"")</f>
        <v/>
      </c>
    </row>
    <row r="126" spans="1:6">
      <c r="A126" s="58" t="str">
        <f t="shared" si="1"/>
        <v/>
      </c>
      <c r="F126" s="56" t="str">
        <f>IF($B126&lt;&gt;"",(COUNTIFS(Rships!$B$2:$B$9990,$B126,Rships!$C$2:$C$9990,$J$2)),"")</f>
        <v/>
      </c>
    </row>
    <row r="127" spans="1:6">
      <c r="A127" s="58" t="str">
        <f t="shared" si="1"/>
        <v/>
      </c>
      <c r="F127" s="56" t="str">
        <f>IF($B127&lt;&gt;"",(COUNTIFS(Rships!$B$2:$B$9990,$B127,Rships!$C$2:$C$9990,$J$2)),"")</f>
        <v/>
      </c>
    </row>
    <row r="128" spans="1:6">
      <c r="A128" s="58" t="str">
        <f t="shared" si="1"/>
        <v/>
      </c>
      <c r="F128" s="56" t="str">
        <f>IF($B128&lt;&gt;"",(COUNTIFS(Rships!$B$2:$B$9990,$B128,Rships!$C$2:$C$9990,$J$2)),"")</f>
        <v/>
      </c>
    </row>
    <row r="129" spans="1:6">
      <c r="A129" s="58" t="str">
        <f t="shared" si="1"/>
        <v/>
      </c>
      <c r="F129" s="56" t="str">
        <f>IF($B129&lt;&gt;"",(COUNTIFS(Rships!$B$2:$B$9990,$B129,Rships!$C$2:$C$9990,$J$2)),"")</f>
        <v/>
      </c>
    </row>
    <row r="130" spans="1:6">
      <c r="A130" s="58" t="str">
        <f t="shared" si="1"/>
        <v/>
      </c>
      <c r="F130" s="56" t="str">
        <f>IF($B130&lt;&gt;"",(COUNTIFS(Rships!$B$2:$B$9990,$B130,Rships!$C$2:$C$9990,$J$2)),"")</f>
        <v/>
      </c>
    </row>
    <row r="131" spans="1:6">
      <c r="A131" s="58" t="str">
        <f t="shared" si="1"/>
        <v/>
      </c>
      <c r="F131" s="56" t="str">
        <f>IF($B131&lt;&gt;"",(COUNTIFS(Rships!$B$2:$B$9990,$B131,Rships!$C$2:$C$9990,$J$2)),"")</f>
        <v/>
      </c>
    </row>
    <row r="132" spans="1:6">
      <c r="A132" s="58" t="str">
        <f t="shared" si="1"/>
        <v/>
      </c>
      <c r="F132" s="56" t="str">
        <f>IF($B132&lt;&gt;"",(COUNTIFS(Rships!$B$2:$B$9990,$B132,Rships!$C$2:$C$9990,$J$2)),"")</f>
        <v/>
      </c>
    </row>
    <row r="133" spans="1:6">
      <c r="A133" s="58" t="str">
        <f t="shared" si="1"/>
        <v/>
      </c>
      <c r="F133" s="56" t="str">
        <f>IF($B133&lt;&gt;"",(COUNTIFS(Rships!$B$2:$B$9990,$B133,Rships!$C$2:$C$9990,$J$2)),"")</f>
        <v/>
      </c>
    </row>
    <row r="134" spans="1:6">
      <c r="A134" s="58" t="str">
        <f t="shared" si="1"/>
        <v/>
      </c>
      <c r="F134" s="56" t="str">
        <f>IF($B134&lt;&gt;"",(COUNTIFS(Rships!$B$2:$B$9990,$B134,Rships!$C$2:$C$9990,$J$2)),"")</f>
        <v/>
      </c>
    </row>
    <row r="135" spans="1:6">
      <c r="A135" s="58" t="str">
        <f t="shared" ref="A135:A193" si="2">IF($B135="","",(ROW($A134)))</f>
        <v/>
      </c>
      <c r="F135" s="56" t="str">
        <f>IF($B135&lt;&gt;"",(COUNTIFS(Rships!$B$2:$B$9990,$B135,Rships!$C$2:$C$9990,$J$2)),"")</f>
        <v/>
      </c>
    </row>
    <row r="136" spans="1:6">
      <c r="A136" s="58" t="str">
        <f t="shared" si="2"/>
        <v/>
      </c>
      <c r="F136" s="56" t="str">
        <f>IF($B136&lt;&gt;"",(COUNTIFS(Rships!$B$2:$B$9990,$B136,Rships!$C$2:$C$9990,$J$2)),"")</f>
        <v/>
      </c>
    </row>
    <row r="137" spans="1:6">
      <c r="A137" s="58" t="str">
        <f t="shared" si="2"/>
        <v/>
      </c>
      <c r="F137" s="56" t="str">
        <f>IF($B137&lt;&gt;"",(COUNTIFS(Rships!$B$2:$B$9990,$B137,Rships!$C$2:$C$9990,$J$2)),"")</f>
        <v/>
      </c>
    </row>
    <row r="138" spans="1:6">
      <c r="A138" s="58" t="str">
        <f t="shared" si="2"/>
        <v/>
      </c>
      <c r="F138" s="56" t="str">
        <f>IF($B138&lt;&gt;"",(COUNTIFS(Rships!$B$2:$B$9990,$B138,Rships!$C$2:$C$9990,$J$2)),"")</f>
        <v/>
      </c>
    </row>
    <row r="139" spans="1:6">
      <c r="A139" s="58" t="str">
        <f t="shared" si="2"/>
        <v/>
      </c>
      <c r="F139" s="56" t="str">
        <f>IF($B139&lt;&gt;"",(COUNTIFS(Rships!$B$2:$B$9990,$B139,Rships!$C$2:$C$9990,$J$2)),"")</f>
        <v/>
      </c>
    </row>
    <row r="140" spans="1:6">
      <c r="A140" s="58" t="str">
        <f t="shared" si="2"/>
        <v/>
      </c>
      <c r="F140" s="56" t="str">
        <f>IF($B140&lt;&gt;"",(COUNTIFS(Rships!$B$2:$B$9990,$B140,Rships!$C$2:$C$9990,$J$2)),"")</f>
        <v/>
      </c>
    </row>
    <row r="141" spans="1:6">
      <c r="A141" s="58" t="str">
        <f t="shared" si="2"/>
        <v/>
      </c>
      <c r="F141" s="56" t="str">
        <f>IF($B141&lt;&gt;"",(COUNTIFS(Rships!$B$2:$B$9990,$B141,Rships!$C$2:$C$9990,$J$2)),"")</f>
        <v/>
      </c>
    </row>
    <row r="142" spans="1:6">
      <c r="A142" s="58" t="str">
        <f t="shared" si="2"/>
        <v/>
      </c>
      <c r="F142" s="56" t="str">
        <f>IF($B142&lt;&gt;"",(COUNTIFS(Rships!$B$2:$B$9990,$B142,Rships!$C$2:$C$9990,$J$2)),"")</f>
        <v/>
      </c>
    </row>
    <row r="143" spans="1:6">
      <c r="A143" s="58" t="str">
        <f t="shared" si="2"/>
        <v/>
      </c>
      <c r="F143" s="56" t="str">
        <f>IF($B143&lt;&gt;"",(COUNTIFS(Rships!$B$2:$B$9990,$B143,Rships!$C$2:$C$9990,$J$2)),"")</f>
        <v/>
      </c>
    </row>
    <row r="144" spans="1:6">
      <c r="A144" s="58" t="str">
        <f t="shared" si="2"/>
        <v/>
      </c>
      <c r="F144" s="56" t="str">
        <f>IF($B144&lt;&gt;"",(COUNTIFS(Rships!$B$2:$B$9990,$B144,Rships!$C$2:$C$9990,$J$2)),"")</f>
        <v/>
      </c>
    </row>
    <row r="145" spans="1:6">
      <c r="A145" s="58" t="str">
        <f t="shared" si="2"/>
        <v/>
      </c>
      <c r="F145" s="56" t="str">
        <f>IF($B145&lt;&gt;"",(COUNTIFS(Rships!$B$2:$B$9990,$B145,Rships!$C$2:$C$9990,$J$2)),"")</f>
        <v/>
      </c>
    </row>
    <row r="146" spans="1:6">
      <c r="A146" s="58" t="str">
        <f t="shared" si="2"/>
        <v/>
      </c>
      <c r="F146" s="56" t="str">
        <f>IF($B146&lt;&gt;"",(COUNTIFS(Rships!$B$2:$B$9990,$B146,Rships!$C$2:$C$9990,$J$2)),"")</f>
        <v/>
      </c>
    </row>
    <row r="147" spans="1:6">
      <c r="A147" s="58" t="str">
        <f t="shared" si="2"/>
        <v/>
      </c>
      <c r="F147" s="56" t="str">
        <f>IF($B147&lt;&gt;"",(COUNTIFS(Rships!$B$2:$B$9990,$B147,Rships!$C$2:$C$9990,$J$2)),"")</f>
        <v/>
      </c>
    </row>
    <row r="148" spans="1:6">
      <c r="A148" s="58" t="str">
        <f t="shared" si="2"/>
        <v/>
      </c>
      <c r="F148" s="56" t="str">
        <f>IF($B148&lt;&gt;"",(COUNTIFS(Rships!$B$2:$B$9990,$B148,Rships!$C$2:$C$9990,$J$2)),"")</f>
        <v/>
      </c>
    </row>
    <row r="149" spans="1:6">
      <c r="A149" s="58" t="str">
        <f t="shared" si="2"/>
        <v/>
      </c>
      <c r="F149" s="56" t="str">
        <f>IF($B149&lt;&gt;"",(COUNTIFS(Rships!$B$2:$B$9990,$B149,Rships!$C$2:$C$9990,$J$2)),"")</f>
        <v/>
      </c>
    </row>
    <row r="150" spans="1:6">
      <c r="A150" s="58" t="str">
        <f t="shared" si="2"/>
        <v/>
      </c>
      <c r="F150" s="56" t="str">
        <f>IF($B150&lt;&gt;"",(COUNTIFS(Rships!$B$2:$B$9990,$B150,Rships!$C$2:$C$9990,$J$2)),"")</f>
        <v/>
      </c>
    </row>
    <row r="151" spans="1:6">
      <c r="A151" s="58" t="str">
        <f t="shared" si="2"/>
        <v/>
      </c>
      <c r="F151" s="56" t="str">
        <f>IF($B151&lt;&gt;"",(COUNTIFS(Rships!$B$2:$B$9990,$B151,Rships!$C$2:$C$9990,$J$2)),"")</f>
        <v/>
      </c>
    </row>
    <row r="152" spans="1:6">
      <c r="A152" s="58" t="str">
        <f t="shared" si="2"/>
        <v/>
      </c>
      <c r="F152" s="56" t="str">
        <f>IF($B152&lt;&gt;"",(COUNTIFS(Rships!$B$2:$B$9990,$B152,Rships!$C$2:$C$9990,$J$2)),"")</f>
        <v/>
      </c>
    </row>
    <row r="153" spans="1:6">
      <c r="A153" s="58" t="str">
        <f t="shared" si="2"/>
        <v/>
      </c>
      <c r="F153" s="56" t="str">
        <f>IF($B153&lt;&gt;"",(COUNTIFS(Rships!$B$2:$B$9990,$B153,Rships!$C$2:$C$9990,$J$2)),"")</f>
        <v/>
      </c>
    </row>
    <row r="154" spans="1:6">
      <c r="A154" s="58" t="str">
        <f t="shared" si="2"/>
        <v/>
      </c>
      <c r="F154" s="56" t="str">
        <f>IF($B154&lt;&gt;"",(COUNTIFS(Rships!$B$2:$B$9990,$B154,Rships!$C$2:$C$9990,$J$2)),"")</f>
        <v/>
      </c>
    </row>
    <row r="155" spans="1:6">
      <c r="A155" s="58" t="str">
        <f t="shared" si="2"/>
        <v/>
      </c>
      <c r="F155" s="56" t="str">
        <f>IF($B155&lt;&gt;"",(COUNTIFS(Rships!$B$2:$B$9990,$B155,Rships!$C$2:$C$9990,$J$2)),"")</f>
        <v/>
      </c>
    </row>
    <row r="156" spans="1:6">
      <c r="A156" s="58" t="str">
        <f t="shared" si="2"/>
        <v/>
      </c>
      <c r="F156" s="56" t="str">
        <f>IF($B156&lt;&gt;"",(COUNTIFS(Rships!$B$2:$B$9990,$B156,Rships!$C$2:$C$9990,$J$2)),"")</f>
        <v/>
      </c>
    </row>
    <row r="157" spans="1:6">
      <c r="A157" s="58" t="str">
        <f t="shared" si="2"/>
        <v/>
      </c>
      <c r="F157" s="56" t="str">
        <f>IF($B157&lt;&gt;"",(COUNTIFS(Rships!$B$2:$B$9990,$B157,Rships!$C$2:$C$9990,$J$2)),"")</f>
        <v/>
      </c>
    </row>
    <row r="158" spans="1:6">
      <c r="A158" s="58" t="str">
        <f t="shared" si="2"/>
        <v/>
      </c>
      <c r="F158" s="56" t="str">
        <f>IF($B158&lt;&gt;"",(COUNTIFS(Rships!$B$2:$B$9990,$B158,Rships!$C$2:$C$9990,$J$2)),"")</f>
        <v/>
      </c>
    </row>
    <row r="159" spans="1:6">
      <c r="A159" s="58" t="str">
        <f t="shared" si="2"/>
        <v/>
      </c>
      <c r="F159" s="56" t="str">
        <f>IF($B159&lt;&gt;"",(COUNTIFS(Rships!$B$2:$B$9990,$B159,Rships!$C$2:$C$9990,$J$2)),"")</f>
        <v/>
      </c>
    </row>
    <row r="160" spans="1:6">
      <c r="A160" s="58" t="str">
        <f t="shared" si="2"/>
        <v/>
      </c>
      <c r="F160" s="56" t="str">
        <f>IF($B160&lt;&gt;"",(COUNTIFS(Rships!$B$2:$B$9990,$B160,Rships!$C$2:$C$9990,$J$2)),"")</f>
        <v/>
      </c>
    </row>
    <row r="161" spans="1:6">
      <c r="A161" s="58" t="str">
        <f t="shared" si="2"/>
        <v/>
      </c>
      <c r="F161" s="56" t="str">
        <f>IF($B161&lt;&gt;"",(COUNTIFS(Rships!$B$2:$B$9990,$B161,Rships!$C$2:$C$9990,$J$2)),"")</f>
        <v/>
      </c>
    </row>
    <row r="162" spans="1:6">
      <c r="A162" s="58" t="str">
        <f t="shared" si="2"/>
        <v/>
      </c>
      <c r="F162" s="56" t="str">
        <f>IF($B162&lt;&gt;"",(COUNTIFS(Rships!$B$2:$B$9990,$B162,Rships!$C$2:$C$9990,$J$2)),"")</f>
        <v/>
      </c>
    </row>
    <row r="163" spans="1:6">
      <c r="A163" s="58" t="str">
        <f t="shared" si="2"/>
        <v/>
      </c>
      <c r="F163" s="56" t="str">
        <f>IF($B163&lt;&gt;"",(COUNTIFS(Rships!$B$2:$B$9990,$B163,Rships!$C$2:$C$9990,$J$2)),"")</f>
        <v/>
      </c>
    </row>
    <row r="164" spans="1:6">
      <c r="A164" s="58" t="str">
        <f t="shared" si="2"/>
        <v/>
      </c>
      <c r="F164" s="56" t="str">
        <f>IF($B164&lt;&gt;"",(COUNTIFS(Rships!$B$2:$B$9990,$B164,Rships!$C$2:$C$9990,$J$2)),"")</f>
        <v/>
      </c>
    </row>
    <row r="165" spans="1:6">
      <c r="A165" s="58" t="str">
        <f t="shared" si="2"/>
        <v/>
      </c>
      <c r="F165" s="56" t="str">
        <f>IF($B165&lt;&gt;"",(COUNTIFS(Rships!$B$2:$B$9990,$B165,Rships!$C$2:$C$9990,$J$2)),"")</f>
        <v/>
      </c>
    </row>
    <row r="166" spans="1:6">
      <c r="A166" s="58" t="str">
        <f t="shared" si="2"/>
        <v/>
      </c>
      <c r="F166" s="56" t="str">
        <f>IF($B166&lt;&gt;"",(COUNTIFS(Rships!$B$2:$B$9990,$B166,Rships!$C$2:$C$9990,$J$2)),"")</f>
        <v/>
      </c>
    </row>
    <row r="167" spans="1:6">
      <c r="A167" s="58" t="str">
        <f t="shared" si="2"/>
        <v/>
      </c>
      <c r="F167" s="56" t="str">
        <f>IF($B167&lt;&gt;"",(COUNTIFS(Rships!$B$2:$B$9990,$B167,Rships!$C$2:$C$9990,$J$2)),"")</f>
        <v/>
      </c>
    </row>
    <row r="168" spans="1:6">
      <c r="A168" s="58" t="str">
        <f t="shared" si="2"/>
        <v/>
      </c>
      <c r="F168" s="56" t="str">
        <f>IF($B168&lt;&gt;"",(COUNTIFS(Rships!$B$2:$B$9990,$B168,Rships!$C$2:$C$9990,$J$2)),"")</f>
        <v/>
      </c>
    </row>
    <row r="169" spans="1:6">
      <c r="A169" s="58" t="str">
        <f t="shared" si="2"/>
        <v/>
      </c>
      <c r="F169" s="56" t="str">
        <f>IF($B169&lt;&gt;"",(COUNTIFS(Rships!$B$2:$B$9990,$B169,Rships!$C$2:$C$9990,$J$2)),"")</f>
        <v/>
      </c>
    </row>
    <row r="170" spans="1:6">
      <c r="A170" s="58" t="str">
        <f t="shared" si="2"/>
        <v/>
      </c>
      <c r="F170" s="56" t="str">
        <f>IF($B170&lt;&gt;"",(COUNTIFS(Rships!$B$2:$B$9990,$B170,Rships!$C$2:$C$9990,$J$2)),"")</f>
        <v/>
      </c>
    </row>
    <row r="171" spans="1:6">
      <c r="A171" s="58" t="str">
        <f t="shared" si="2"/>
        <v/>
      </c>
      <c r="F171" s="56" t="str">
        <f>IF($B171&lt;&gt;"",(COUNTIFS(Rships!$B$2:$B$9990,$B171,Rships!$C$2:$C$9990,$J$2)),"")</f>
        <v/>
      </c>
    </row>
    <row r="172" spans="1:6">
      <c r="A172" s="58" t="str">
        <f t="shared" si="2"/>
        <v/>
      </c>
      <c r="F172" s="56" t="str">
        <f>IF($B172&lt;&gt;"",(COUNTIFS(Rships!$B$2:$B$9990,$B172,Rships!$C$2:$C$9990,$J$2)),"")</f>
        <v/>
      </c>
    </row>
    <row r="173" spans="1:6">
      <c r="A173" s="58" t="str">
        <f t="shared" si="2"/>
        <v/>
      </c>
      <c r="F173" s="56" t="str">
        <f>IF($B173&lt;&gt;"",(COUNTIFS(Rships!$B$2:$B$9990,$B173,Rships!$C$2:$C$9990,$J$2)),"")</f>
        <v/>
      </c>
    </row>
    <row r="174" spans="1:6">
      <c r="A174" s="58" t="str">
        <f t="shared" si="2"/>
        <v/>
      </c>
      <c r="F174" s="56" t="str">
        <f>IF($B174&lt;&gt;"",(COUNTIFS(Rships!$B$2:$B$9990,$B174,Rships!$C$2:$C$9990,$J$2)),"")</f>
        <v/>
      </c>
    </row>
    <row r="175" spans="1:6">
      <c r="A175" s="58" t="str">
        <f t="shared" si="2"/>
        <v/>
      </c>
      <c r="F175" s="56" t="str">
        <f>IF($B175&lt;&gt;"",(COUNTIFS(Rships!$B$2:$B$9990,$B175,Rships!$C$2:$C$9990,$J$2)),"")</f>
        <v/>
      </c>
    </row>
    <row r="176" spans="1:6">
      <c r="A176" s="58" t="str">
        <f t="shared" si="2"/>
        <v/>
      </c>
      <c r="F176" s="56" t="str">
        <f>IF($B176&lt;&gt;"",(COUNTIFS(Rships!$B$2:$B$9990,$B176,Rships!$C$2:$C$9990,$J$2)),"")</f>
        <v/>
      </c>
    </row>
    <row r="177" spans="1:6">
      <c r="A177" s="58" t="str">
        <f t="shared" si="2"/>
        <v/>
      </c>
      <c r="F177" s="56" t="str">
        <f>IF($B177&lt;&gt;"",(COUNTIFS(Rships!$B$2:$B$9990,$B177,Rships!$C$2:$C$9990,$J$2)),"")</f>
        <v/>
      </c>
    </row>
    <row r="178" spans="1:6">
      <c r="A178" s="58" t="str">
        <f t="shared" si="2"/>
        <v/>
      </c>
      <c r="F178" s="56" t="str">
        <f>IF($B178&lt;&gt;"",(COUNTIFS(Rships!$B$2:$B$9990,$B178,Rships!$C$2:$C$9990,$J$2)),"")</f>
        <v/>
      </c>
    </row>
    <row r="179" spans="1:6">
      <c r="A179" s="58" t="str">
        <f t="shared" si="2"/>
        <v/>
      </c>
      <c r="F179" s="56" t="str">
        <f>IF($B179&lt;&gt;"",(COUNTIFS(Rships!$B$2:$B$9990,$B179,Rships!$C$2:$C$9990,$J$2)),"")</f>
        <v/>
      </c>
    </row>
    <row r="180" spans="1:6">
      <c r="A180" s="58" t="str">
        <f t="shared" si="2"/>
        <v/>
      </c>
      <c r="F180" s="56" t="str">
        <f>IF($B180&lt;&gt;"",(COUNTIFS(Rships!$B$2:$B$9990,$B180,Rships!$C$2:$C$9990,$J$2)),"")</f>
        <v/>
      </c>
    </row>
    <row r="181" spans="1:6">
      <c r="A181" s="58" t="str">
        <f t="shared" si="2"/>
        <v/>
      </c>
      <c r="F181" s="56" t="str">
        <f>IF($B181&lt;&gt;"",(COUNTIFS(Rships!$B$2:$B$9990,$B181,Rships!$C$2:$C$9990,$J$2)),"")</f>
        <v/>
      </c>
    </row>
    <row r="182" spans="1:6">
      <c r="A182" s="58" t="str">
        <f t="shared" si="2"/>
        <v/>
      </c>
      <c r="F182" s="56" t="str">
        <f>IF($B182&lt;&gt;"",(COUNTIFS(Rships!$B$2:$B$9990,$B182,Rships!$C$2:$C$9990,$J$2)),"")</f>
        <v/>
      </c>
    </row>
    <row r="183" spans="1:6">
      <c r="A183" s="58" t="str">
        <f>IF($B183="","",(ROW($A6)))</f>
        <v/>
      </c>
      <c r="F183" s="56" t="str">
        <f>IF($B183&lt;&gt;"",(COUNTIFS(Rships!$B$2:$B$9990,$B183,Rships!$C$2:$C$9990,$J$2)),"")</f>
        <v/>
      </c>
    </row>
    <row r="184" spans="1:6">
      <c r="A184" s="58" t="str">
        <f t="shared" si="2"/>
        <v/>
      </c>
      <c r="F184" s="56" t="str">
        <f>IF($B184&lt;&gt;"",(COUNTIFS(Rships!$B$2:$B$9990,$B184,Rships!$C$2:$C$9990,$J$2)),"")</f>
        <v/>
      </c>
    </row>
    <row r="185" spans="1:6">
      <c r="A185" s="58" t="str">
        <f t="shared" si="2"/>
        <v/>
      </c>
      <c r="F185" s="56" t="str">
        <f>IF($B185&lt;&gt;"",(COUNTIFS(Rships!$B$2:$B$9990,$B185,Rships!$C$2:$C$9990,$J$2)),"")</f>
        <v/>
      </c>
    </row>
    <row r="186" spans="1:6">
      <c r="A186" s="58" t="str">
        <f t="shared" si="2"/>
        <v/>
      </c>
      <c r="F186" s="56" t="str">
        <f>IF($B186&lt;&gt;"",(COUNTIFS(Rships!$B$2:$B$9990,$B186,Rships!$C$2:$C$9990,$J$2)),"")</f>
        <v/>
      </c>
    </row>
    <row r="187" spans="1:6">
      <c r="A187" s="58" t="str">
        <f t="shared" si="2"/>
        <v/>
      </c>
      <c r="F187" s="56" t="str">
        <f>IF($B187&lt;&gt;"",(COUNTIFS(Rships!$B$2:$B$9990,$B187,Rships!$C$2:$C$9990,$J$2)),"")</f>
        <v/>
      </c>
    </row>
    <row r="188" spans="1:6">
      <c r="A188" s="58" t="str">
        <f t="shared" si="2"/>
        <v/>
      </c>
      <c r="F188" s="56" t="str">
        <f>IF($B188&lt;&gt;"",(COUNTIFS(Rships!$B$2:$B$9990,$B188,Rships!$C$2:$C$9990,$J$2)),"")</f>
        <v/>
      </c>
    </row>
    <row r="189" spans="1:6">
      <c r="A189" s="58" t="str">
        <f t="shared" si="2"/>
        <v/>
      </c>
      <c r="F189" s="56" t="str">
        <f>IF($B189&lt;&gt;"",(COUNTIFS(Rships!$B$2:$B$9990,$B189,Rships!$C$2:$C$9990,$J$2)),"")</f>
        <v/>
      </c>
    </row>
    <row r="190" spans="1:6">
      <c r="A190" s="58" t="str">
        <f t="shared" si="2"/>
        <v/>
      </c>
      <c r="F190" s="56" t="str">
        <f>IF($B190&lt;&gt;"",(COUNTIFS(Rships!$B$2:$B$9990,$B190,Rships!$C$2:$C$9990,$J$2)),"")</f>
        <v/>
      </c>
    </row>
    <row r="191" spans="1:6">
      <c r="A191" s="58" t="str">
        <f t="shared" si="2"/>
        <v/>
      </c>
      <c r="F191" s="56" t="str">
        <f>IF($B191&lt;&gt;"",(COUNTIFS(Rships!$B$2:$B$9990,$B191,Rships!$C$2:$C$9990,$J$2)),"")</f>
        <v/>
      </c>
    </row>
    <row r="192" spans="1:6">
      <c r="A192" s="58" t="str">
        <f t="shared" si="2"/>
        <v/>
      </c>
      <c r="F192" s="56" t="str">
        <f>IF($B192&lt;&gt;"",(COUNTIFS(Rships!$B$2:$B$9990,$B192,Rships!$C$2:$C$9990,$J$2)),"")</f>
        <v/>
      </c>
    </row>
    <row r="193" spans="1:6">
      <c r="A193" s="58" t="str">
        <f t="shared" si="2"/>
        <v/>
      </c>
      <c r="F193" s="56" t="str">
        <f>IF($B193&lt;&gt;"",(COUNTIFS(Rships!$B$2:$B$9990,$B193,Rships!$C$2:$C$9990,$J$2)),"")</f>
        <v/>
      </c>
    </row>
    <row r="194" spans="1:6">
      <c r="A194" s="58" t="str">
        <f t="shared" ref="A194:A200" si="3">IF($B194="","",(ROW($A193)))</f>
        <v/>
      </c>
      <c r="F194" s="56" t="str">
        <f>IF($B194&lt;&gt;"",(COUNTIFS(Rships!$B$2:$B$9990,$B194,Rships!$C$2:$C$9990,$J$2)),"")</f>
        <v/>
      </c>
    </row>
    <row r="195" spans="1:6">
      <c r="A195" s="58" t="str">
        <f t="shared" si="3"/>
        <v/>
      </c>
      <c r="F195" s="56" t="str">
        <f>IF($B195&lt;&gt;"",(COUNTIFS(Rships!$B$2:$B$9990,$B195,Rships!$C$2:$C$9990,$J$2)),"")</f>
        <v/>
      </c>
    </row>
    <row r="196" spans="1:6">
      <c r="A196" s="58" t="str">
        <f t="shared" si="3"/>
        <v/>
      </c>
      <c r="F196" s="56" t="str">
        <f>IF($B196&lt;&gt;"",(COUNTIFS(Rships!$B$2:$B$9990,$B196,Rships!$C$2:$C$9990,$J$2)),"")</f>
        <v/>
      </c>
    </row>
    <row r="197" spans="1:6">
      <c r="A197" s="58" t="str">
        <f t="shared" si="3"/>
        <v/>
      </c>
      <c r="F197" s="56" t="str">
        <f>IF($B197&lt;&gt;"",(COUNTIFS(Rships!$B$2:$B$9990,$B197,Rships!$C$2:$C$9990,$J$2)),"")</f>
        <v/>
      </c>
    </row>
    <row r="198" spans="1:6">
      <c r="A198" s="58" t="str">
        <f t="shared" si="3"/>
        <v/>
      </c>
      <c r="F198" s="56" t="str">
        <f>IF($B198&lt;&gt;"",(COUNTIFS(Rships!$B$2:$B$9990,$B198,Rships!$C$2:$C$9990,$J$2)),"")</f>
        <v/>
      </c>
    </row>
    <row r="199" spans="1:6">
      <c r="A199" s="58" t="str">
        <f t="shared" si="3"/>
        <v/>
      </c>
      <c r="F199" s="56" t="str">
        <f>IF($B199&lt;&gt;"",(COUNTIFS(Rships!$B$2:$B$9990,$B199,Rships!$C$2:$C$9990,$J$2)),"")</f>
        <v/>
      </c>
    </row>
    <row r="200" spans="1:6">
      <c r="A200" s="58" t="str">
        <f t="shared" si="3"/>
        <v/>
      </c>
      <c r="F200" s="56" t="str">
        <f>IF($B200&lt;&gt;"",(COUNTIFS(Rships!$B$2:$B$9990,$B200,Rships!$C$2:$C$9990,$J$2)),"")</f>
        <v/>
      </c>
    </row>
  </sheetData>
  <dataValidations count="1">
    <dataValidation type="list" allowBlank="1" showInputMessage="1" showErrorMessage="1" sqref="J2">
      <formula1>Cus!$A$2:$A$1000</formula1>
    </dataValidation>
  </dataValidations>
  <pageMargins left="0.7" right="0.7" top="0.75" bottom="0.75" header="0.3" footer="0.3"/>
  <pageSetup paperSize="9" orientation="portrait" horizontalDpi="4294967293" verticalDpi="0" r:id="rId1"/>
  <legacyDrawing r:id="rId2"/>
</worksheet>
</file>

<file path=xl/worksheets/sheet7.xml><?xml version="1.0" encoding="utf-8"?>
<worksheet xmlns="http://schemas.openxmlformats.org/spreadsheetml/2006/main" xmlns:r="http://schemas.openxmlformats.org/officeDocument/2006/relationships">
  <sheetPr codeName="Sheet4"/>
  <dimension ref="A1:AH1003"/>
  <sheetViews>
    <sheetView topLeftCell="T1" workbookViewId="0">
      <pane ySplit="1" topLeftCell="A2" activePane="bottomLeft" state="frozen"/>
      <selection pane="bottomLeft"/>
    </sheetView>
  </sheetViews>
  <sheetFormatPr defaultColWidth="9.140625" defaultRowHeight="12.75"/>
  <cols>
    <col min="1" max="1" width="10.7109375" style="27" bestFit="1" customWidth="1"/>
    <col min="2" max="2" width="12.28515625" style="13" bestFit="1" customWidth="1"/>
    <col min="3" max="3" width="4.85546875" style="11" bestFit="1" customWidth="1"/>
    <col min="4" max="4" width="5" style="11" bestFit="1" customWidth="1"/>
    <col min="5" max="5" width="6.7109375" style="11" bestFit="1" customWidth="1"/>
    <col min="6" max="6" width="26" style="11" bestFit="1" customWidth="1"/>
    <col min="7" max="7" width="24.7109375" style="11" customWidth="1"/>
    <col min="8" max="8" width="14.140625" style="16" bestFit="1" customWidth="1"/>
    <col min="9" max="9" width="12.5703125" style="11" bestFit="1" customWidth="1"/>
    <col min="10" max="10" width="27.140625" style="15" bestFit="1" customWidth="1"/>
    <col min="11" max="11" width="50.7109375" style="11" customWidth="1"/>
    <col min="12" max="12" width="8.85546875" style="16" bestFit="1" customWidth="1"/>
    <col min="13" max="13" width="50.7109375" style="11" customWidth="1"/>
    <col min="14" max="14" width="8.85546875" style="16" bestFit="1" customWidth="1"/>
    <col min="15" max="15" width="8.5703125" style="11" bestFit="1" customWidth="1"/>
    <col min="16" max="16" width="11.5703125" style="18" bestFit="1" customWidth="1"/>
    <col min="17" max="20" width="24.7109375" style="11" customWidth="1"/>
    <col min="21" max="21" width="14.5703125" style="16" bestFit="1" customWidth="1"/>
    <col min="22" max="22" width="12.85546875" style="11" bestFit="1" customWidth="1"/>
    <col min="23" max="23" width="13.7109375" style="26" customWidth="1"/>
    <col min="24" max="24" width="15.140625" style="46" bestFit="1" customWidth="1"/>
    <col min="25" max="25" width="10.140625" style="64" bestFit="1" customWidth="1"/>
    <col min="26" max="26" width="24.7109375" style="11" customWidth="1"/>
    <col min="27" max="27" width="11.7109375" style="64" bestFit="1" customWidth="1"/>
    <col min="28" max="34" width="12.7109375" style="64" customWidth="1"/>
    <col min="35" max="16384" width="9.140625" style="11"/>
  </cols>
  <sheetData>
    <row r="1" spans="1:34" s="14" customFormat="1" ht="38.25">
      <c r="A1" s="47" t="s">
        <v>2</v>
      </c>
      <c r="B1" s="9" t="s">
        <v>3</v>
      </c>
      <c r="C1" s="9" t="s">
        <v>4</v>
      </c>
      <c r="D1" s="9" t="s">
        <v>5</v>
      </c>
      <c r="E1" s="9" t="s">
        <v>6</v>
      </c>
      <c r="F1" s="9" t="s">
        <v>0</v>
      </c>
      <c r="G1" s="9" t="s">
        <v>1</v>
      </c>
      <c r="H1" s="9" t="s">
        <v>7</v>
      </c>
      <c r="I1" s="9" t="s">
        <v>8</v>
      </c>
      <c r="J1" s="9" t="s">
        <v>9</v>
      </c>
      <c r="K1" s="9" t="s">
        <v>114</v>
      </c>
      <c r="L1" s="66" t="s">
        <v>10</v>
      </c>
      <c r="M1" s="9" t="s">
        <v>11</v>
      </c>
      <c r="N1" s="66" t="s">
        <v>10</v>
      </c>
      <c r="O1" s="9" t="s">
        <v>12</v>
      </c>
      <c r="P1" s="9" t="s">
        <v>115</v>
      </c>
      <c r="Q1" s="9" t="s">
        <v>13</v>
      </c>
      <c r="R1" s="9" t="s">
        <v>16</v>
      </c>
      <c r="S1" s="9" t="s">
        <v>14</v>
      </c>
      <c r="T1" s="9" t="s">
        <v>28</v>
      </c>
      <c r="U1" s="66" t="s">
        <v>15</v>
      </c>
      <c r="V1" s="9" t="s">
        <v>17</v>
      </c>
      <c r="W1" s="9" t="s">
        <v>34</v>
      </c>
      <c r="X1" s="9" t="s">
        <v>1343</v>
      </c>
      <c r="Y1" s="65" t="s">
        <v>116</v>
      </c>
      <c r="Z1" s="14" t="s">
        <v>18</v>
      </c>
      <c r="AA1" s="63" t="s">
        <v>117</v>
      </c>
      <c r="AB1" s="63" t="s">
        <v>93</v>
      </c>
      <c r="AC1" s="63" t="s">
        <v>108</v>
      </c>
      <c r="AD1" s="63" t="s">
        <v>109</v>
      </c>
      <c r="AE1" s="63" t="s">
        <v>110</v>
      </c>
      <c r="AF1" s="63" t="s">
        <v>111</v>
      </c>
      <c r="AG1" s="63" t="s">
        <v>112</v>
      </c>
      <c r="AH1" s="63" t="s">
        <v>113</v>
      </c>
    </row>
    <row r="2" spans="1:34">
      <c r="A2" s="1" t="s">
        <v>55</v>
      </c>
      <c r="B2" s="12" t="s">
        <v>89</v>
      </c>
      <c r="C2" s="11" t="s">
        <v>19</v>
      </c>
      <c r="D2" s="11" t="s">
        <v>21</v>
      </c>
      <c r="E2" s="11" t="s">
        <v>118</v>
      </c>
      <c r="F2" s="15" t="s">
        <v>119</v>
      </c>
      <c r="G2" s="15" t="s">
        <v>120</v>
      </c>
      <c r="H2" s="16">
        <v>6204145985083</v>
      </c>
      <c r="I2" s="17">
        <v>824641779</v>
      </c>
      <c r="J2" s="15" t="s">
        <v>121</v>
      </c>
      <c r="K2" s="11" t="s">
        <v>122</v>
      </c>
      <c r="L2" s="16">
        <v>9301</v>
      </c>
      <c r="M2" s="11" t="s">
        <v>122</v>
      </c>
      <c r="N2" s="16">
        <v>9301</v>
      </c>
      <c r="O2" s="11" t="s">
        <v>27</v>
      </c>
      <c r="P2" s="18">
        <v>0</v>
      </c>
      <c r="R2" s="11" t="s">
        <v>58</v>
      </c>
      <c r="S2" s="11" t="s">
        <v>124</v>
      </c>
      <c r="T2" s="11" t="s">
        <v>125</v>
      </c>
      <c r="U2" s="16">
        <v>1102487481</v>
      </c>
      <c r="V2" s="11" t="s">
        <v>30</v>
      </c>
      <c r="W2" s="26">
        <v>41623</v>
      </c>
      <c r="X2" s="26">
        <v>41574</v>
      </c>
      <c r="Y2" s="64">
        <f t="shared" ref="Y2:Y49" si="0">SUMIF($B$2:$B$100,$A2,$AA$2:$AA$100)</f>
        <v>9</v>
      </c>
      <c r="Z2" s="11" t="s">
        <v>123</v>
      </c>
      <c r="AA2" s="64">
        <f>SUM($AB2:$AH2)</f>
        <v>30</v>
      </c>
      <c r="AB2" s="64">
        <f>IF($B2="","",(COUNTIFS(Rships!$C$2:$C$9990,$A2,Rships!$D$2:$D$9990,1)))</f>
        <v>7</v>
      </c>
      <c r="AC2" s="64">
        <f>IF($B2="","",(COUNTIFS(Rships!$C$2:$C$9990,$A2,Rships!$D$2:$D$9990,2)))</f>
        <v>17</v>
      </c>
      <c r="AD2" s="64">
        <f>IF($B2="","",(COUNTIFS(Rships!$C$2:$C$9990,$A2,Rships!$D$2:$D$9990,3)))</f>
        <v>3</v>
      </c>
      <c r="AE2" s="64">
        <f>IF($B2="","",(COUNTIFS(Rships!$C$2:$C$9990,$A2,Rships!$D$2:$D$9990,4)))</f>
        <v>2</v>
      </c>
      <c r="AF2" s="64">
        <f>IF($B2="","",(COUNTIFS(Rships!$C$2:$C$9990,$A2,Rships!$D$2:$D$9990,5)))</f>
        <v>1</v>
      </c>
      <c r="AG2" s="64">
        <f>IF($B2="","",(COUNTIFS(Rships!$C$2:$C$9990,$A2,Rships!$D$2:$D$9990,6)))</f>
        <v>0</v>
      </c>
      <c r="AH2" s="64">
        <f>IF($B2="","",(COUNTIFS(Rships!$C$2:$C$9990,$A2,Rships!$D$2:$D$9990,7)))</f>
        <v>0</v>
      </c>
    </row>
    <row r="3" spans="1:34" s="29" customFormat="1">
      <c r="A3" s="1" t="s">
        <v>57</v>
      </c>
      <c r="B3" s="28" t="s">
        <v>126</v>
      </c>
      <c r="C3" s="29" t="s">
        <v>19</v>
      </c>
      <c r="D3" s="29" t="s">
        <v>21</v>
      </c>
      <c r="E3" s="29" t="s">
        <v>127</v>
      </c>
      <c r="F3" s="30" t="s">
        <v>129</v>
      </c>
      <c r="G3" s="30" t="s">
        <v>130</v>
      </c>
      <c r="H3" s="31">
        <v>7210115943084</v>
      </c>
      <c r="I3" s="32">
        <v>787722864</v>
      </c>
      <c r="J3" s="15" t="s">
        <v>128</v>
      </c>
      <c r="K3" s="29" t="s">
        <v>131</v>
      </c>
      <c r="L3" s="31"/>
      <c r="M3" s="29" t="s">
        <v>131</v>
      </c>
      <c r="N3" s="31"/>
      <c r="O3" s="29" t="s">
        <v>27</v>
      </c>
      <c r="P3" s="34">
        <v>0</v>
      </c>
      <c r="U3" s="31"/>
      <c r="W3" s="26">
        <v>41623</v>
      </c>
      <c r="X3" s="48"/>
      <c r="Y3" s="64">
        <f t="shared" si="0"/>
        <v>0</v>
      </c>
      <c r="AA3" s="64">
        <f t="shared" ref="AA3:AA66" si="1">SUM($AB3:$AH3)</f>
        <v>6</v>
      </c>
      <c r="AB3" s="64">
        <f>IF($B3="","",(COUNTIFS(Rships!$C$2:$C$9990,$A3,Rships!$D$2:$D$9990,1)))</f>
        <v>3</v>
      </c>
      <c r="AC3" s="64">
        <f>IF($B3="","",(COUNTIFS(Rships!$C$2:$C$9990,$A3,Rships!$D$2:$D$9990,2)))</f>
        <v>0</v>
      </c>
      <c r="AD3" s="64">
        <f>IF($B3="","",(COUNTIFS(Rships!$C$2:$C$9990,$A3,Rships!$D$2:$D$9990,3)))</f>
        <v>2</v>
      </c>
      <c r="AE3" s="64">
        <f>IF($B3="","",(COUNTIFS(Rships!$C$2:$C$9990,$A3,Rships!$D$2:$D$9990,4)))</f>
        <v>1</v>
      </c>
      <c r="AF3" s="64">
        <f>IF($B3="","",(COUNTIFS(Rships!$C$2:$C$9990,$A3,Rships!$D$2:$D$9990,5)))</f>
        <v>0</v>
      </c>
      <c r="AG3" s="64">
        <f>IF($B3="","",(COUNTIFS(Rships!$C$2:$C$9990,$A3,Rships!$D$2:$D$9990,6)))</f>
        <v>0</v>
      </c>
      <c r="AH3" s="64">
        <f>IF($B3="","",(COUNTIFS(Rships!$C$2:$C$9990,$A3,Rships!$D$2:$D$9990,7)))</f>
        <v>0</v>
      </c>
    </row>
    <row r="4" spans="1:34" s="29" customFormat="1">
      <c r="A4" s="1" t="s">
        <v>257</v>
      </c>
      <c r="B4" s="28" t="s">
        <v>126</v>
      </c>
      <c r="C4" s="29" t="s">
        <v>19</v>
      </c>
      <c r="D4" s="29" t="s">
        <v>22</v>
      </c>
      <c r="E4" s="29" t="s">
        <v>1453</v>
      </c>
      <c r="F4" s="30" t="s">
        <v>133</v>
      </c>
      <c r="G4" s="15" t="s">
        <v>120</v>
      </c>
      <c r="H4" s="31">
        <v>6608300353083</v>
      </c>
      <c r="I4" s="32">
        <v>726797173</v>
      </c>
      <c r="J4" s="15" t="s">
        <v>121</v>
      </c>
      <c r="K4" s="29" t="s">
        <v>132</v>
      </c>
      <c r="L4" s="16">
        <v>9301</v>
      </c>
      <c r="M4" s="29" t="s">
        <v>132</v>
      </c>
      <c r="N4" s="31">
        <v>9301</v>
      </c>
      <c r="O4" s="29" t="s">
        <v>26</v>
      </c>
      <c r="P4" s="34"/>
      <c r="Q4" s="29" t="s">
        <v>134</v>
      </c>
      <c r="R4" s="29" t="s">
        <v>135</v>
      </c>
      <c r="S4" s="11" t="s">
        <v>124</v>
      </c>
      <c r="T4" s="29" t="s">
        <v>136</v>
      </c>
      <c r="U4" s="31"/>
      <c r="W4" s="26">
        <v>41623</v>
      </c>
      <c r="X4" s="48"/>
      <c r="Y4" s="64">
        <f t="shared" si="0"/>
        <v>0</v>
      </c>
      <c r="AA4" s="64">
        <f t="shared" si="1"/>
        <v>0</v>
      </c>
      <c r="AB4" s="64">
        <f>IF($B4="","",(COUNTIFS(Rships!$C$2:$C$9990,$A4,Rships!$D$2:$D$9990,1)))</f>
        <v>0</v>
      </c>
      <c r="AC4" s="64">
        <f>IF($B4="","",(COUNTIFS(Rships!$C$2:$C$9990,$A4,Rships!$D$2:$D$9990,2)))</f>
        <v>0</v>
      </c>
      <c r="AD4" s="64">
        <f>IF($B4="","",(COUNTIFS(Rships!$C$2:$C$9990,$A4,Rships!$D$2:$D$9990,3)))</f>
        <v>0</v>
      </c>
      <c r="AE4" s="64">
        <f>IF($B4="","",(COUNTIFS(Rships!$C$2:$C$9990,$A4,Rships!$D$2:$D$9990,4)))</f>
        <v>0</v>
      </c>
      <c r="AF4" s="64">
        <f>IF($B4="","",(COUNTIFS(Rships!$C$2:$C$9990,$A4,Rships!$D$2:$D$9990,5)))</f>
        <v>0</v>
      </c>
      <c r="AG4" s="64">
        <f>IF($B4="","",(COUNTIFS(Rships!$C$2:$C$9990,$A4,Rships!$D$2:$D$9990,6)))</f>
        <v>0</v>
      </c>
      <c r="AH4" s="64">
        <f>IF($B4="","",(COUNTIFS(Rships!$C$2:$C$9990,$A4,Rships!$D$2:$D$9990,7)))</f>
        <v>0</v>
      </c>
    </row>
    <row r="5" spans="1:34">
      <c r="A5" s="1" t="s">
        <v>261</v>
      </c>
      <c r="C5" s="11" t="s">
        <v>19</v>
      </c>
      <c r="D5" s="11" t="s">
        <v>21</v>
      </c>
      <c r="F5" s="15"/>
      <c r="G5" s="15"/>
      <c r="I5" s="17"/>
      <c r="O5" s="11" t="s">
        <v>26</v>
      </c>
      <c r="V5" s="11" t="s">
        <v>29</v>
      </c>
      <c r="X5" s="26"/>
      <c r="Y5" s="64">
        <f t="shared" si="0"/>
        <v>0</v>
      </c>
      <c r="AA5" s="64">
        <f t="shared" si="1"/>
        <v>0</v>
      </c>
      <c r="AB5" s="64" t="str">
        <f>IF($B5="","",(COUNTIFS(Rships!$C$2:$C$9990,$A5,Rships!$D$2:$D$9990,1)))</f>
        <v/>
      </c>
      <c r="AC5" s="64" t="str">
        <f>IF($B5="","",(COUNTIFS(Rships!$C$2:$C$9990,$A5,Rships!$D$2:$D$9990,2)))</f>
        <v/>
      </c>
      <c r="AD5" s="64" t="str">
        <f>IF($B5="","",(COUNTIFS(Rships!$C$2:$C$9990,$A5,Rships!$D$2:$D$9990,3)))</f>
        <v/>
      </c>
      <c r="AE5" s="64" t="str">
        <f>IF($B5="","",(COUNTIFS(Rships!$C$2:$C$9990,$A5,Rships!$D$2:$D$9990,4)))</f>
        <v/>
      </c>
      <c r="AF5" s="64" t="str">
        <f>IF($B5="","",(COUNTIFS(Rships!$C$2:$C$9990,$A5,Rships!$D$2:$D$9990,5)))</f>
        <v/>
      </c>
      <c r="AG5" s="64" t="str">
        <f>IF($B5="","",(COUNTIFS(Rships!$C$2:$C$9990,$A5,Rships!$D$2:$D$9990,6)))</f>
        <v/>
      </c>
      <c r="AH5" s="64" t="str">
        <f>IF($B5="","",(COUNTIFS(Rships!$C$2:$C$9990,$A5,Rships!$D$2:$D$9990,7)))</f>
        <v/>
      </c>
    </row>
    <row r="6" spans="1:34">
      <c r="A6" s="1" t="s">
        <v>263</v>
      </c>
      <c r="B6" s="12"/>
      <c r="C6" s="11" t="s">
        <v>19</v>
      </c>
      <c r="D6" s="11" t="s">
        <v>21</v>
      </c>
      <c r="F6" s="15"/>
      <c r="G6" s="15"/>
      <c r="I6" s="17"/>
      <c r="O6" s="11" t="s">
        <v>26</v>
      </c>
      <c r="V6" s="11" t="s">
        <v>29</v>
      </c>
      <c r="X6" s="26"/>
      <c r="Y6" s="64">
        <f t="shared" si="0"/>
        <v>0</v>
      </c>
      <c r="AA6" s="64">
        <f t="shared" si="1"/>
        <v>0</v>
      </c>
      <c r="AB6" s="64" t="str">
        <f>IF($B6="","",(COUNTIFS(Rships!$C$2:$C$9990,$A6,Rships!$D$2:$D$9990,1)))</f>
        <v/>
      </c>
      <c r="AC6" s="64" t="str">
        <f>IF($B6="","",(COUNTIFS(Rships!$C$2:$C$9990,$A6,Rships!$D$2:$D$9990,2)))</f>
        <v/>
      </c>
      <c r="AD6" s="64" t="str">
        <f>IF($B6="","",(COUNTIFS(Rships!$C$2:$C$9990,$A6,Rships!$D$2:$D$9990,3)))</f>
        <v/>
      </c>
      <c r="AE6" s="64" t="str">
        <f>IF($B6="","",(COUNTIFS(Rships!$C$2:$C$9990,$A6,Rships!$D$2:$D$9990,4)))</f>
        <v/>
      </c>
      <c r="AF6" s="64" t="str">
        <f>IF($B6="","",(COUNTIFS(Rships!$C$2:$C$9990,$A6,Rships!$D$2:$D$9990,5)))</f>
        <v/>
      </c>
      <c r="AG6" s="64" t="str">
        <f>IF($B6="","",(COUNTIFS(Rships!$C$2:$C$9990,$A6,Rships!$D$2:$D$9990,6)))</f>
        <v/>
      </c>
      <c r="AH6" s="64" t="str">
        <f>IF($B6="","",(COUNTIFS(Rships!$C$2:$C$9990,$A6,Rships!$D$2:$D$9990,7)))</f>
        <v/>
      </c>
    </row>
    <row r="7" spans="1:34">
      <c r="A7" s="1" t="s">
        <v>262</v>
      </c>
      <c r="B7" s="13" t="s">
        <v>55</v>
      </c>
      <c r="C7" s="11" t="s">
        <v>19</v>
      </c>
      <c r="D7" s="11" t="s">
        <v>21</v>
      </c>
      <c r="E7" s="11" t="s">
        <v>1388</v>
      </c>
      <c r="F7" s="15" t="s">
        <v>1389</v>
      </c>
      <c r="G7" s="15" t="s">
        <v>1390</v>
      </c>
      <c r="H7" s="16">
        <v>8808175073087</v>
      </c>
      <c r="I7" s="17">
        <v>727415768</v>
      </c>
      <c r="J7" s="15" t="s">
        <v>1391</v>
      </c>
      <c r="K7" s="11" t="s">
        <v>1392</v>
      </c>
      <c r="L7" s="16">
        <v>1759</v>
      </c>
      <c r="M7" s="11" t="s">
        <v>1392</v>
      </c>
      <c r="N7" s="16">
        <v>1759</v>
      </c>
      <c r="O7" s="11" t="s">
        <v>26</v>
      </c>
      <c r="Q7" s="11" t="s">
        <v>164</v>
      </c>
      <c r="R7" s="11" t="s">
        <v>238</v>
      </c>
      <c r="S7" s="11" t="s">
        <v>1386</v>
      </c>
      <c r="T7" s="11" t="s">
        <v>1393</v>
      </c>
      <c r="U7" s="16">
        <v>1190949057</v>
      </c>
      <c r="V7" s="11" t="s">
        <v>31</v>
      </c>
      <c r="W7" s="26">
        <v>41633</v>
      </c>
      <c r="X7" s="46">
        <v>41576</v>
      </c>
      <c r="Y7" s="64">
        <f t="shared" si="0"/>
        <v>0</v>
      </c>
      <c r="AA7" s="64">
        <f t="shared" si="1"/>
        <v>3</v>
      </c>
      <c r="AB7" s="64">
        <f>IF($B7="","",(COUNTIFS(Rships!$C$2:$C$9990,$A7,Rships!$D$2:$D$9990,1)))</f>
        <v>2</v>
      </c>
      <c r="AC7" s="64">
        <f>IF($B7="","",(COUNTIFS(Rships!$C$2:$C$9990,$A7,Rships!$D$2:$D$9990,2)))</f>
        <v>1</v>
      </c>
      <c r="AD7" s="64">
        <f>IF($B7="","",(COUNTIFS(Rships!$C$2:$C$9990,$A7,Rships!$D$2:$D$9990,3)))</f>
        <v>0</v>
      </c>
      <c r="AE7" s="64">
        <f>IF($B7="","",(COUNTIFS(Rships!$C$2:$C$9990,$A7,Rships!$D$2:$D$9990,4)))</f>
        <v>0</v>
      </c>
      <c r="AF7" s="64">
        <f>IF($B7="","",(COUNTIFS(Rships!$C$2:$C$9990,$A7,Rships!$D$2:$D$9990,5)))</f>
        <v>0</v>
      </c>
      <c r="AG7" s="64">
        <f>IF($B7="","",(COUNTIFS(Rships!$C$2:$C$9990,$A7,Rships!$D$2:$D$9990,6)))</f>
        <v>0</v>
      </c>
      <c r="AH7" s="64">
        <f>IF($B7="","",(COUNTIFS(Rships!$C$2:$C$9990,$A7,Rships!$D$2:$D$9990,7)))</f>
        <v>0</v>
      </c>
    </row>
    <row r="8" spans="1:34">
      <c r="A8" s="1" t="s">
        <v>264</v>
      </c>
      <c r="C8" s="11" t="s">
        <v>19</v>
      </c>
      <c r="D8" s="11" t="s">
        <v>21</v>
      </c>
      <c r="F8" s="15"/>
      <c r="G8" s="15"/>
      <c r="I8" s="17"/>
      <c r="O8" s="11" t="s">
        <v>27</v>
      </c>
      <c r="Y8" s="64">
        <f t="shared" si="0"/>
        <v>0</v>
      </c>
      <c r="AA8" s="64">
        <f t="shared" si="1"/>
        <v>0</v>
      </c>
      <c r="AB8" s="64" t="str">
        <f>IF($B8="","",(COUNTIFS(Rships!$C$2:$C$9990,$A8,Rships!$D$2:$D$9990,1)))</f>
        <v/>
      </c>
      <c r="AC8" s="64" t="str">
        <f>IF($B8="","",(COUNTIFS(Rships!$C$2:$C$9990,$A8,Rships!$D$2:$D$9990,2)))</f>
        <v/>
      </c>
      <c r="AD8" s="64" t="str">
        <f>IF($B8="","",(COUNTIFS(Rships!$C$2:$C$9990,$A8,Rships!$D$2:$D$9990,3)))</f>
        <v/>
      </c>
      <c r="AE8" s="64" t="str">
        <f>IF($B8="","",(COUNTIFS(Rships!$C$2:$C$9990,$A8,Rships!$D$2:$D$9990,4)))</f>
        <v/>
      </c>
      <c r="AF8" s="64" t="str">
        <f>IF($B8="","",(COUNTIFS(Rships!$C$2:$C$9990,$A8,Rships!$D$2:$D$9990,5)))</f>
        <v/>
      </c>
      <c r="AG8" s="64" t="str">
        <f>IF($B8="","",(COUNTIFS(Rships!$C$2:$C$9990,$A8,Rships!$D$2:$D$9990,6)))</f>
        <v/>
      </c>
      <c r="AH8" s="64" t="str">
        <f>IF($B8="","",(COUNTIFS(Rships!$C$2:$C$9990,$A8,Rships!$D$2:$D$9990,7)))</f>
        <v/>
      </c>
    </row>
    <row r="9" spans="1:34">
      <c r="A9" s="1" t="s">
        <v>265</v>
      </c>
      <c r="C9" s="11" t="s">
        <v>19</v>
      </c>
      <c r="D9" s="11" t="s">
        <v>21</v>
      </c>
      <c r="F9" s="15"/>
      <c r="G9" s="15"/>
      <c r="I9" s="17"/>
      <c r="O9" s="11" t="s">
        <v>27</v>
      </c>
      <c r="Y9" s="64">
        <f t="shared" si="0"/>
        <v>0</v>
      </c>
      <c r="AA9" s="64">
        <f t="shared" si="1"/>
        <v>0</v>
      </c>
      <c r="AB9" s="64" t="str">
        <f>IF($B9="","",(COUNTIFS(Rships!$C$2:$C$9990,$A9,Rships!$D$2:$D$9990,1)))</f>
        <v/>
      </c>
      <c r="AC9" s="64" t="str">
        <f>IF($B9="","",(COUNTIFS(Rships!$C$2:$C$9990,$A9,Rships!$D$2:$D$9990,2)))</f>
        <v/>
      </c>
      <c r="AD9" s="64" t="str">
        <f>IF($B9="","",(COUNTIFS(Rships!$C$2:$C$9990,$A9,Rships!$D$2:$D$9990,3)))</f>
        <v/>
      </c>
      <c r="AE9" s="64" t="str">
        <f>IF($B9="","",(COUNTIFS(Rships!$C$2:$C$9990,$A9,Rships!$D$2:$D$9990,4)))</f>
        <v/>
      </c>
      <c r="AF9" s="64" t="str">
        <f>IF($B9="","",(COUNTIFS(Rships!$C$2:$C$9990,$A9,Rships!$D$2:$D$9990,5)))</f>
        <v/>
      </c>
      <c r="AG9" s="64" t="str">
        <f>IF($B9="","",(COUNTIFS(Rships!$C$2:$C$9990,$A9,Rships!$D$2:$D$9990,6)))</f>
        <v/>
      </c>
      <c r="AH9" s="64" t="str">
        <f>IF($B9="","",(COUNTIFS(Rships!$C$2:$C$9990,$A9,Rships!$D$2:$D$9990,7)))</f>
        <v/>
      </c>
    </row>
    <row r="10" spans="1:34">
      <c r="A10" s="1" t="s">
        <v>258</v>
      </c>
      <c r="C10" s="11" t="s">
        <v>19</v>
      </c>
      <c r="D10" s="11" t="s">
        <v>21</v>
      </c>
      <c r="F10" s="15"/>
      <c r="G10" s="15"/>
      <c r="I10" s="17"/>
      <c r="O10" s="11" t="s">
        <v>27</v>
      </c>
      <c r="Y10" s="64">
        <f t="shared" si="0"/>
        <v>0</v>
      </c>
      <c r="AA10" s="64">
        <f t="shared" si="1"/>
        <v>0</v>
      </c>
      <c r="AB10" s="64" t="str">
        <f>IF($B10="","",(COUNTIFS(Rships!$C$2:$C$9990,$A10,Rships!$D$2:$D$9990,1)))</f>
        <v/>
      </c>
      <c r="AC10" s="64" t="str">
        <f>IF($B10="","",(COUNTIFS(Rships!$C$2:$C$9990,$A10,Rships!$D$2:$D$9990,2)))</f>
        <v/>
      </c>
      <c r="AD10" s="64" t="str">
        <f>IF($B10="","",(COUNTIFS(Rships!$C$2:$C$9990,$A10,Rships!$D$2:$D$9990,3)))</f>
        <v/>
      </c>
      <c r="AE10" s="64" t="str">
        <f>IF($B10="","",(COUNTIFS(Rships!$C$2:$C$9990,$A10,Rships!$D$2:$D$9990,4)))</f>
        <v/>
      </c>
      <c r="AF10" s="64" t="str">
        <f>IF($B10="","",(COUNTIFS(Rships!$C$2:$C$9990,$A10,Rships!$D$2:$D$9990,5)))</f>
        <v/>
      </c>
      <c r="AG10" s="64" t="str">
        <f>IF($B10="","",(COUNTIFS(Rships!$C$2:$C$9990,$A10,Rships!$D$2:$D$9990,6)))</f>
        <v/>
      </c>
      <c r="AH10" s="64" t="str">
        <f>IF($B10="","",(COUNTIFS(Rships!$C$2:$C$9990,$A10,Rships!$D$2:$D$9990,7)))</f>
        <v/>
      </c>
    </row>
    <row r="11" spans="1:34">
      <c r="A11" s="1" t="s">
        <v>266</v>
      </c>
      <c r="C11" s="11" t="s">
        <v>19</v>
      </c>
      <c r="D11" s="11" t="s">
        <v>21</v>
      </c>
      <c r="F11" s="15"/>
      <c r="G11" s="15"/>
      <c r="I11" s="17"/>
      <c r="O11" s="11" t="s">
        <v>27</v>
      </c>
      <c r="Y11" s="64">
        <f t="shared" si="0"/>
        <v>0</v>
      </c>
      <c r="AA11" s="64">
        <f t="shared" si="1"/>
        <v>0</v>
      </c>
      <c r="AB11" s="64" t="str">
        <f>IF($B11="","",(COUNTIFS(Rships!$C$2:$C$9990,$A11,Rships!$D$2:$D$9990,1)))</f>
        <v/>
      </c>
      <c r="AC11" s="64" t="str">
        <f>IF($B11="","",(COUNTIFS(Rships!$C$2:$C$9990,$A11,Rships!$D$2:$D$9990,2)))</f>
        <v/>
      </c>
      <c r="AD11" s="64" t="str">
        <f>IF($B11="","",(COUNTIFS(Rships!$C$2:$C$9990,$A11,Rships!$D$2:$D$9990,3)))</f>
        <v/>
      </c>
      <c r="AE11" s="64" t="str">
        <f>IF($B11="","",(COUNTIFS(Rships!$C$2:$C$9990,$A11,Rships!$D$2:$D$9990,4)))</f>
        <v/>
      </c>
      <c r="AF11" s="64" t="str">
        <f>IF($B11="","",(COUNTIFS(Rships!$C$2:$C$9990,$A11,Rships!$D$2:$D$9990,5)))</f>
        <v/>
      </c>
      <c r="AG11" s="64" t="str">
        <f>IF($B11="","",(COUNTIFS(Rships!$C$2:$C$9990,$A11,Rships!$D$2:$D$9990,6)))</f>
        <v/>
      </c>
      <c r="AH11" s="64" t="str">
        <f>IF($B11="","",(COUNTIFS(Rships!$C$2:$C$9990,$A11,Rships!$D$2:$D$9990,7)))</f>
        <v/>
      </c>
    </row>
    <row r="12" spans="1:34" s="29" customFormat="1">
      <c r="A12" s="1" t="s">
        <v>146</v>
      </c>
      <c r="B12" s="35" t="s">
        <v>137</v>
      </c>
      <c r="C12" s="29" t="s">
        <v>19</v>
      </c>
      <c r="D12" s="29" t="s">
        <v>21</v>
      </c>
      <c r="E12" s="29" t="s">
        <v>138</v>
      </c>
      <c r="F12" s="30" t="s">
        <v>140</v>
      </c>
      <c r="G12" s="30" t="s">
        <v>141</v>
      </c>
      <c r="H12" s="31">
        <v>7401045515080</v>
      </c>
      <c r="I12" s="32">
        <v>799518855</v>
      </c>
      <c r="J12" s="30" t="s">
        <v>139</v>
      </c>
      <c r="K12" s="29" t="s">
        <v>142</v>
      </c>
      <c r="L12" s="31">
        <v>9781</v>
      </c>
      <c r="M12" s="29" t="s">
        <v>142</v>
      </c>
      <c r="N12" s="31">
        <v>9781</v>
      </c>
      <c r="O12" s="29" t="s">
        <v>26</v>
      </c>
      <c r="P12" s="34"/>
      <c r="Q12" s="29" t="s">
        <v>143</v>
      </c>
      <c r="R12" s="29" t="s">
        <v>238</v>
      </c>
      <c r="S12" s="29" t="s">
        <v>144</v>
      </c>
      <c r="T12" s="29" t="s">
        <v>145</v>
      </c>
      <c r="U12" s="31">
        <v>1150790790</v>
      </c>
      <c r="V12" s="29" t="s">
        <v>31</v>
      </c>
      <c r="W12" s="26">
        <v>41608</v>
      </c>
      <c r="X12" s="48">
        <v>41591</v>
      </c>
      <c r="Y12" s="64">
        <f t="shared" si="0"/>
        <v>0</v>
      </c>
      <c r="Z12" s="29" t="s">
        <v>123</v>
      </c>
      <c r="AA12" s="64">
        <f t="shared" si="1"/>
        <v>1</v>
      </c>
      <c r="AB12" s="64">
        <f>IF($B12="","",(COUNTIFS(Rships!$C$2:$C$9990,$A12,Rships!$D$2:$D$9990,1)))</f>
        <v>1</v>
      </c>
      <c r="AC12" s="64">
        <f>IF($B12="","",(COUNTIFS(Rships!$C$2:$C$9990,$A12,Rships!$D$2:$D$9990,2)))</f>
        <v>0</v>
      </c>
      <c r="AD12" s="64">
        <f>IF($B12="","",(COUNTIFS(Rships!$C$2:$C$9990,$A12,Rships!$D$2:$D$9990,3)))</f>
        <v>0</v>
      </c>
      <c r="AE12" s="64">
        <f>IF($B12="","",(COUNTIFS(Rships!$C$2:$C$9990,$A12,Rships!$D$2:$D$9990,4)))</f>
        <v>0</v>
      </c>
      <c r="AF12" s="64">
        <f>IF($B12="","",(COUNTIFS(Rships!$C$2:$C$9990,$A12,Rships!$D$2:$D$9990,5)))</f>
        <v>0</v>
      </c>
      <c r="AG12" s="64">
        <f>IF($B12="","",(COUNTIFS(Rships!$C$2:$C$9990,$A12,Rships!$D$2:$D$9990,6)))</f>
        <v>0</v>
      </c>
      <c r="AH12" s="64">
        <f>IF($B12="","",(COUNTIFS(Rships!$C$2:$C$9990,$A12,Rships!$D$2:$D$9990,7)))</f>
        <v>0</v>
      </c>
    </row>
    <row r="13" spans="1:34">
      <c r="A13" s="1" t="s">
        <v>267</v>
      </c>
      <c r="C13" s="11" t="s">
        <v>19</v>
      </c>
      <c r="D13" s="11" t="s">
        <v>21</v>
      </c>
      <c r="F13" s="15"/>
      <c r="G13" s="15"/>
      <c r="I13" s="17"/>
      <c r="O13" s="11" t="s">
        <v>27</v>
      </c>
      <c r="Y13" s="64">
        <f t="shared" si="0"/>
        <v>0</v>
      </c>
      <c r="AA13" s="64">
        <f t="shared" si="1"/>
        <v>0</v>
      </c>
      <c r="AB13" s="64" t="str">
        <f>IF($B13="","",(COUNTIFS(Rships!$C$2:$C$9990,$A13,Rships!$D$2:$D$9990,1)))</f>
        <v/>
      </c>
      <c r="AC13" s="64" t="str">
        <f>IF($B13="","",(COUNTIFS(Rships!$C$2:$C$9990,$A13,Rships!$D$2:$D$9990,2)))</f>
        <v/>
      </c>
      <c r="AD13" s="64" t="str">
        <f>IF($B13="","",(COUNTIFS(Rships!$C$2:$C$9990,$A13,Rships!$D$2:$D$9990,3)))</f>
        <v/>
      </c>
      <c r="AE13" s="64" t="str">
        <f>IF($B13="","",(COUNTIFS(Rships!$C$2:$C$9990,$A13,Rships!$D$2:$D$9990,4)))</f>
        <v/>
      </c>
      <c r="AF13" s="64" t="str">
        <f>IF($B13="","",(COUNTIFS(Rships!$C$2:$C$9990,$A13,Rships!$D$2:$D$9990,5)))</f>
        <v/>
      </c>
      <c r="AG13" s="64" t="str">
        <f>IF($B13="","",(COUNTIFS(Rships!$C$2:$C$9990,$A13,Rships!$D$2:$D$9990,6)))</f>
        <v/>
      </c>
      <c r="AH13" s="64" t="str">
        <f>IF($B13="","",(COUNTIFS(Rships!$C$2:$C$9990,$A13,Rships!$D$2:$D$9990,7)))</f>
        <v/>
      </c>
    </row>
    <row r="14" spans="1:34" ht="15">
      <c r="A14" s="1" t="s">
        <v>259</v>
      </c>
      <c r="C14" s="11" t="s">
        <v>19</v>
      </c>
      <c r="D14" s="11" t="s">
        <v>21</v>
      </c>
      <c r="F14" s="30"/>
      <c r="G14" s="15"/>
      <c r="I14" s="17"/>
      <c r="J14" s="33"/>
      <c r="O14" s="11" t="s">
        <v>27</v>
      </c>
      <c r="Y14" s="64">
        <f t="shared" si="0"/>
        <v>0</v>
      </c>
      <c r="AA14" s="64">
        <f t="shared" si="1"/>
        <v>0</v>
      </c>
      <c r="AB14" s="64" t="str">
        <f>IF($B14="","",(COUNTIFS(Rships!$C$2:$C$9990,$A14,Rships!$D$2:$D$9990,1)))</f>
        <v/>
      </c>
      <c r="AC14" s="64" t="str">
        <f>IF($B14="","",(COUNTIFS(Rships!$C$2:$C$9990,$A14,Rships!$D$2:$D$9990,2)))</f>
        <v/>
      </c>
      <c r="AD14" s="64" t="str">
        <f>IF($B14="","",(COUNTIFS(Rships!$C$2:$C$9990,$A14,Rships!$D$2:$D$9990,3)))</f>
        <v/>
      </c>
      <c r="AE14" s="64" t="str">
        <f>IF($B14="","",(COUNTIFS(Rships!$C$2:$C$9990,$A14,Rships!$D$2:$D$9990,4)))</f>
        <v/>
      </c>
      <c r="AF14" s="64" t="str">
        <f>IF($B14="","",(COUNTIFS(Rships!$C$2:$C$9990,$A14,Rships!$D$2:$D$9990,5)))</f>
        <v/>
      </c>
      <c r="AG14" s="64" t="str">
        <f>IF($B14="","",(COUNTIFS(Rships!$C$2:$C$9990,$A14,Rships!$D$2:$D$9990,6)))</f>
        <v/>
      </c>
      <c r="AH14" s="64" t="str">
        <f>IF($B14="","",(COUNTIFS(Rships!$C$2:$C$9990,$A14,Rships!$D$2:$D$9990,7)))</f>
        <v/>
      </c>
    </row>
    <row r="15" spans="1:34" s="29" customFormat="1">
      <c r="A15" s="1" t="s">
        <v>260</v>
      </c>
      <c r="B15" s="35" t="s">
        <v>89</v>
      </c>
      <c r="C15" s="29" t="s">
        <v>19</v>
      </c>
      <c r="D15" s="29" t="s">
        <v>21</v>
      </c>
      <c r="E15" s="29" t="s">
        <v>162</v>
      </c>
      <c r="F15" s="29" t="s">
        <v>165</v>
      </c>
      <c r="G15" s="30" t="s">
        <v>166</v>
      </c>
      <c r="H15" s="31">
        <v>7206190433082</v>
      </c>
      <c r="I15" s="32">
        <v>726365426</v>
      </c>
      <c r="J15" s="29" t="s">
        <v>163</v>
      </c>
      <c r="K15" s="29" t="s">
        <v>167</v>
      </c>
      <c r="L15" s="31">
        <v>9323</v>
      </c>
      <c r="M15" s="29" t="s">
        <v>167</v>
      </c>
      <c r="N15" s="31">
        <v>9323</v>
      </c>
      <c r="O15" s="29" t="s">
        <v>27</v>
      </c>
      <c r="P15" s="34"/>
      <c r="Q15" s="29" t="s">
        <v>164</v>
      </c>
      <c r="R15" s="29" t="s">
        <v>90</v>
      </c>
      <c r="S15" s="29" t="s">
        <v>168</v>
      </c>
      <c r="T15" s="29" t="s">
        <v>169</v>
      </c>
      <c r="U15" s="31">
        <v>4080182185</v>
      </c>
      <c r="V15" s="29" t="s">
        <v>29</v>
      </c>
      <c r="W15" s="26">
        <v>41654</v>
      </c>
      <c r="X15" s="48">
        <v>41591</v>
      </c>
      <c r="Y15" s="64">
        <f t="shared" si="0"/>
        <v>0</v>
      </c>
      <c r="Z15" s="29" t="s">
        <v>123</v>
      </c>
      <c r="AA15" s="64">
        <f t="shared" si="1"/>
        <v>0</v>
      </c>
      <c r="AB15" s="64">
        <f>IF($B15="","",(COUNTIFS(Rships!$C$2:$C$9990,$A15,Rships!$D$2:$D$9990,1)))</f>
        <v>0</v>
      </c>
      <c r="AC15" s="64">
        <f>IF($B15="","",(COUNTIFS(Rships!$C$2:$C$9990,$A15,Rships!$D$2:$D$9990,2)))</f>
        <v>0</v>
      </c>
      <c r="AD15" s="64">
        <f>IF($B15="","",(COUNTIFS(Rships!$C$2:$C$9990,$A15,Rships!$D$2:$D$9990,3)))</f>
        <v>0</v>
      </c>
      <c r="AE15" s="64">
        <f>IF($B15="","",(COUNTIFS(Rships!$C$2:$C$9990,$A15,Rships!$D$2:$D$9990,4)))</f>
        <v>0</v>
      </c>
      <c r="AF15" s="64">
        <f>IF($B15="","",(COUNTIFS(Rships!$C$2:$C$9990,$A15,Rships!$D$2:$D$9990,5)))</f>
        <v>0</v>
      </c>
      <c r="AG15" s="64">
        <f>IF($B15="","",(COUNTIFS(Rships!$C$2:$C$9990,$A15,Rships!$D$2:$D$9990,6)))</f>
        <v>0</v>
      </c>
      <c r="AH15" s="64">
        <f>IF($B15="","",(COUNTIFS(Rships!$C$2:$C$9990,$A15,Rships!$D$2:$D$9990,7)))</f>
        <v>0</v>
      </c>
    </row>
    <row r="16" spans="1:34">
      <c r="A16" s="1" t="s">
        <v>268</v>
      </c>
      <c r="C16" s="11" t="s">
        <v>19</v>
      </c>
      <c r="D16" s="11" t="s">
        <v>21</v>
      </c>
      <c r="F16" s="15"/>
      <c r="G16" s="15"/>
      <c r="I16" s="17"/>
      <c r="O16" s="11" t="s">
        <v>27</v>
      </c>
      <c r="Y16" s="64">
        <f t="shared" si="0"/>
        <v>0</v>
      </c>
      <c r="AA16" s="64">
        <f t="shared" si="1"/>
        <v>0</v>
      </c>
      <c r="AB16" s="64" t="str">
        <f>IF($B16="","",(COUNTIFS(Rships!$C$2:$C$9990,$A16,Rships!$D$2:$D$9990,1)))</f>
        <v/>
      </c>
      <c r="AC16" s="64" t="str">
        <f>IF($B16="","",(COUNTIFS(Rships!$C$2:$C$9990,$A16,Rships!$D$2:$D$9990,2)))</f>
        <v/>
      </c>
      <c r="AD16" s="64" t="str">
        <f>IF($B16="","",(COUNTIFS(Rships!$C$2:$C$9990,$A16,Rships!$D$2:$D$9990,3)))</f>
        <v/>
      </c>
      <c r="AE16" s="64" t="str">
        <f>IF($B16="","",(COUNTIFS(Rships!$C$2:$C$9990,$A16,Rships!$D$2:$D$9990,4)))</f>
        <v/>
      </c>
      <c r="AF16" s="64" t="str">
        <f>IF($B16="","",(COUNTIFS(Rships!$C$2:$C$9990,$A16,Rships!$D$2:$D$9990,5)))</f>
        <v/>
      </c>
      <c r="AG16" s="64" t="str">
        <f>IF($B16="","",(COUNTIFS(Rships!$C$2:$C$9990,$A16,Rships!$D$2:$D$9990,6)))</f>
        <v/>
      </c>
      <c r="AH16" s="64" t="str">
        <f>IF($B16="","",(COUNTIFS(Rships!$C$2:$C$9990,$A16,Rships!$D$2:$D$9990,7)))</f>
        <v/>
      </c>
    </row>
    <row r="17" spans="1:34">
      <c r="A17" s="1" t="s">
        <v>269</v>
      </c>
      <c r="C17" s="11" t="s">
        <v>19</v>
      </c>
      <c r="D17" s="11" t="s">
        <v>21</v>
      </c>
      <c r="F17" s="15"/>
      <c r="G17" s="15"/>
      <c r="I17" s="17"/>
      <c r="O17" s="11" t="s">
        <v>27</v>
      </c>
      <c r="Y17" s="64">
        <f t="shared" si="0"/>
        <v>0</v>
      </c>
      <c r="AA17" s="64">
        <f t="shared" si="1"/>
        <v>0</v>
      </c>
      <c r="AB17" s="64" t="str">
        <f>IF($B17="","",(COUNTIFS(Rships!$C$2:$C$9990,$A17,Rships!$D$2:$D$9990,1)))</f>
        <v/>
      </c>
      <c r="AC17" s="64" t="str">
        <f>IF($B17="","",(COUNTIFS(Rships!$C$2:$C$9990,$A17,Rships!$D$2:$D$9990,2)))</f>
        <v/>
      </c>
      <c r="AD17" s="64" t="str">
        <f>IF($B17="","",(COUNTIFS(Rships!$C$2:$C$9990,$A17,Rships!$D$2:$D$9990,3)))</f>
        <v/>
      </c>
      <c r="AE17" s="64" t="str">
        <f>IF($B17="","",(COUNTIFS(Rships!$C$2:$C$9990,$A17,Rships!$D$2:$D$9990,4)))</f>
        <v/>
      </c>
      <c r="AF17" s="64" t="str">
        <f>IF($B17="","",(COUNTIFS(Rships!$C$2:$C$9990,$A17,Rships!$D$2:$D$9990,5)))</f>
        <v/>
      </c>
      <c r="AG17" s="64" t="str">
        <f>IF($B17="","",(COUNTIFS(Rships!$C$2:$C$9990,$A17,Rships!$D$2:$D$9990,6)))</f>
        <v/>
      </c>
      <c r="AH17" s="64" t="str">
        <f>IF($B17="","",(COUNTIFS(Rships!$C$2:$C$9990,$A17,Rships!$D$2:$D$9990,7)))</f>
        <v/>
      </c>
    </row>
    <row r="18" spans="1:34">
      <c r="A18" s="1" t="s">
        <v>270</v>
      </c>
      <c r="C18" s="11" t="s">
        <v>19</v>
      </c>
      <c r="D18" s="11" t="s">
        <v>21</v>
      </c>
      <c r="F18" s="15"/>
      <c r="G18" s="15"/>
      <c r="I18" s="17"/>
      <c r="O18" s="11" t="s">
        <v>27</v>
      </c>
      <c r="Y18" s="64">
        <f t="shared" si="0"/>
        <v>0</v>
      </c>
      <c r="AA18" s="64">
        <f t="shared" si="1"/>
        <v>0</v>
      </c>
      <c r="AB18" s="64" t="str">
        <f>IF($B18="","",(COUNTIFS(Rships!$C$2:$C$9990,$A18,Rships!$D$2:$D$9990,1)))</f>
        <v/>
      </c>
      <c r="AC18" s="64" t="str">
        <f>IF($B18="","",(COUNTIFS(Rships!$C$2:$C$9990,$A18,Rships!$D$2:$D$9990,2)))</f>
        <v/>
      </c>
      <c r="AD18" s="64" t="str">
        <f>IF($B18="","",(COUNTIFS(Rships!$C$2:$C$9990,$A18,Rships!$D$2:$D$9990,3)))</f>
        <v/>
      </c>
      <c r="AE18" s="64" t="str">
        <f>IF($B18="","",(COUNTIFS(Rships!$C$2:$C$9990,$A18,Rships!$D$2:$D$9990,4)))</f>
        <v/>
      </c>
      <c r="AF18" s="64" t="str">
        <f>IF($B18="","",(COUNTIFS(Rships!$C$2:$C$9990,$A18,Rships!$D$2:$D$9990,5)))</f>
        <v/>
      </c>
      <c r="AG18" s="64" t="str">
        <f>IF($B18="","",(COUNTIFS(Rships!$C$2:$C$9990,$A18,Rships!$D$2:$D$9990,6)))</f>
        <v/>
      </c>
      <c r="AH18" s="64" t="str">
        <f>IF($B18="","",(COUNTIFS(Rships!$C$2:$C$9990,$A18,Rships!$D$2:$D$9990,7)))</f>
        <v/>
      </c>
    </row>
    <row r="19" spans="1:34">
      <c r="A19" s="1" t="s">
        <v>271</v>
      </c>
      <c r="C19" s="11" t="s">
        <v>19</v>
      </c>
      <c r="D19" s="11" t="s">
        <v>21</v>
      </c>
      <c r="F19" s="30"/>
      <c r="G19" s="15"/>
      <c r="I19" s="17"/>
      <c r="O19" s="11" t="s">
        <v>27</v>
      </c>
      <c r="W19" s="36"/>
      <c r="Y19" s="64">
        <f t="shared" si="0"/>
        <v>0</v>
      </c>
      <c r="AA19" s="64">
        <f t="shared" si="1"/>
        <v>0</v>
      </c>
      <c r="AB19" s="64" t="str">
        <f>IF($B19="","",(COUNTIFS(Rships!$C$2:$C$9990,$A19,Rships!$D$2:$D$9990,1)))</f>
        <v/>
      </c>
      <c r="AC19" s="64" t="str">
        <f>IF($B19="","",(COUNTIFS(Rships!$C$2:$C$9990,$A19,Rships!$D$2:$D$9990,2)))</f>
        <v/>
      </c>
      <c r="AD19" s="64" t="str">
        <f>IF($B19="","",(COUNTIFS(Rships!$C$2:$C$9990,$A19,Rships!$D$2:$D$9990,3)))</f>
        <v/>
      </c>
      <c r="AE19" s="64" t="str">
        <f>IF($B19="","",(COUNTIFS(Rships!$C$2:$C$9990,$A19,Rships!$D$2:$D$9990,4)))</f>
        <v/>
      </c>
      <c r="AF19" s="64" t="str">
        <f>IF($B19="","",(COUNTIFS(Rships!$C$2:$C$9990,$A19,Rships!$D$2:$D$9990,5)))</f>
        <v/>
      </c>
      <c r="AG19" s="64" t="str">
        <f>IF($B19="","",(COUNTIFS(Rships!$C$2:$C$9990,$A19,Rships!$D$2:$D$9990,6)))</f>
        <v/>
      </c>
      <c r="AH19" s="64" t="str">
        <f>IF($B19="","",(COUNTIFS(Rships!$C$2:$C$9990,$A19,Rships!$D$2:$D$9990,7)))</f>
        <v/>
      </c>
    </row>
    <row r="20" spans="1:34" s="29" customFormat="1">
      <c r="A20" s="1" t="s">
        <v>272</v>
      </c>
      <c r="B20" s="35" t="s">
        <v>137</v>
      </c>
      <c r="C20" s="29" t="s">
        <v>19</v>
      </c>
      <c r="D20" s="29" t="s">
        <v>20</v>
      </c>
      <c r="E20" s="29" t="s">
        <v>170</v>
      </c>
      <c r="F20" s="29" t="s">
        <v>172</v>
      </c>
      <c r="G20" s="30" t="s">
        <v>173</v>
      </c>
      <c r="H20" s="31">
        <v>8011200386083</v>
      </c>
      <c r="I20" s="32">
        <v>749265894</v>
      </c>
      <c r="J20" s="30" t="s">
        <v>174</v>
      </c>
      <c r="K20" s="29" t="s">
        <v>175</v>
      </c>
      <c r="L20" s="31">
        <v>9323</v>
      </c>
      <c r="M20" s="29" t="s">
        <v>175</v>
      </c>
      <c r="N20" s="31">
        <v>9323</v>
      </c>
      <c r="O20" s="29" t="s">
        <v>26</v>
      </c>
      <c r="P20" s="34"/>
      <c r="Q20" s="29" t="s">
        <v>156</v>
      </c>
      <c r="R20" s="29" t="s">
        <v>238</v>
      </c>
      <c r="S20" s="29" t="s">
        <v>171</v>
      </c>
      <c r="T20" s="29" t="s">
        <v>176</v>
      </c>
      <c r="U20" s="31">
        <v>1174698517</v>
      </c>
      <c r="V20" s="29" t="s">
        <v>31</v>
      </c>
      <c r="W20" s="26">
        <v>41608</v>
      </c>
      <c r="X20" s="48">
        <v>41591</v>
      </c>
      <c r="Y20" s="64">
        <f t="shared" si="0"/>
        <v>0</v>
      </c>
      <c r="Z20" s="29" t="s">
        <v>123</v>
      </c>
      <c r="AA20" s="64">
        <f t="shared" si="1"/>
        <v>0</v>
      </c>
      <c r="AB20" s="64">
        <f>IF($B20="","",(COUNTIFS(Rships!$C$2:$C$9990,$A20,Rships!$D$2:$D$9990,1)))</f>
        <v>0</v>
      </c>
      <c r="AC20" s="64">
        <f>IF($B20="","",(COUNTIFS(Rships!$C$2:$C$9990,$A20,Rships!$D$2:$D$9990,2)))</f>
        <v>0</v>
      </c>
      <c r="AD20" s="64">
        <f>IF($B20="","",(COUNTIFS(Rships!$C$2:$C$9990,$A20,Rships!$D$2:$D$9990,3)))</f>
        <v>0</v>
      </c>
      <c r="AE20" s="64">
        <f>IF($B20="","",(COUNTIFS(Rships!$C$2:$C$9990,$A20,Rships!$D$2:$D$9990,4)))</f>
        <v>0</v>
      </c>
      <c r="AF20" s="64">
        <f>IF($B20="","",(COUNTIFS(Rships!$C$2:$C$9990,$A20,Rships!$D$2:$D$9990,5)))</f>
        <v>0</v>
      </c>
      <c r="AG20" s="64">
        <f>IF($B20="","",(COUNTIFS(Rships!$C$2:$C$9990,$A20,Rships!$D$2:$D$9990,6)))</f>
        <v>0</v>
      </c>
      <c r="AH20" s="64">
        <f>IF($B20="","",(COUNTIFS(Rships!$C$2:$C$9990,$A20,Rships!$D$2:$D$9990,7)))</f>
        <v>0</v>
      </c>
    </row>
    <row r="21" spans="1:34">
      <c r="A21" s="1" t="s">
        <v>273</v>
      </c>
      <c r="C21" s="11" t="s">
        <v>19</v>
      </c>
      <c r="D21" s="11" t="s">
        <v>21</v>
      </c>
      <c r="F21" s="15"/>
      <c r="G21" s="15"/>
      <c r="I21" s="17"/>
      <c r="O21" s="11" t="s">
        <v>27</v>
      </c>
      <c r="Y21" s="64">
        <f t="shared" si="0"/>
        <v>0</v>
      </c>
      <c r="AA21" s="64">
        <f t="shared" si="1"/>
        <v>0</v>
      </c>
      <c r="AB21" s="64" t="str">
        <f>IF($B21="","",(COUNTIFS(Rships!$C$2:$C$9990,$A21,Rships!$D$2:$D$9990,1)))</f>
        <v/>
      </c>
      <c r="AC21" s="64" t="str">
        <f>IF($B21="","",(COUNTIFS(Rships!$C$2:$C$9990,$A21,Rships!$D$2:$D$9990,2)))</f>
        <v/>
      </c>
      <c r="AD21" s="64" t="str">
        <f>IF($B21="","",(COUNTIFS(Rships!$C$2:$C$9990,$A21,Rships!$D$2:$D$9990,3)))</f>
        <v/>
      </c>
      <c r="AE21" s="64" t="str">
        <f>IF($B21="","",(COUNTIFS(Rships!$C$2:$C$9990,$A21,Rships!$D$2:$D$9990,4)))</f>
        <v/>
      </c>
      <c r="AF21" s="64" t="str">
        <f>IF($B21="","",(COUNTIFS(Rships!$C$2:$C$9990,$A21,Rships!$D$2:$D$9990,5)))</f>
        <v/>
      </c>
      <c r="AG21" s="64" t="str">
        <f>IF($B21="","",(COUNTIFS(Rships!$C$2:$C$9990,$A21,Rships!$D$2:$D$9990,6)))</f>
        <v/>
      </c>
      <c r="AH21" s="64" t="str">
        <f>IF($B21="","",(COUNTIFS(Rships!$C$2:$C$9990,$A21,Rships!$D$2:$D$9990,7)))</f>
        <v/>
      </c>
    </row>
    <row r="22" spans="1:34">
      <c r="A22" s="1" t="s">
        <v>274</v>
      </c>
      <c r="C22" s="11" t="s">
        <v>19</v>
      </c>
      <c r="D22" s="11" t="s">
        <v>21</v>
      </c>
      <c r="F22" s="15"/>
      <c r="G22" s="15"/>
      <c r="I22" s="17"/>
      <c r="O22" s="11" t="s">
        <v>27</v>
      </c>
      <c r="Y22" s="64">
        <f t="shared" si="0"/>
        <v>0</v>
      </c>
      <c r="AA22" s="64">
        <f t="shared" si="1"/>
        <v>0</v>
      </c>
      <c r="AB22" s="64" t="str">
        <f>IF($B22="","",(COUNTIFS(Rships!$C$2:$C$9990,$A22,Rships!$D$2:$D$9990,1)))</f>
        <v/>
      </c>
      <c r="AC22" s="64" t="str">
        <f>IF($B22="","",(COUNTIFS(Rships!$C$2:$C$9990,$A22,Rships!$D$2:$D$9990,2)))</f>
        <v/>
      </c>
      <c r="AD22" s="64" t="str">
        <f>IF($B22="","",(COUNTIFS(Rships!$C$2:$C$9990,$A22,Rships!$D$2:$D$9990,3)))</f>
        <v/>
      </c>
      <c r="AE22" s="64" t="str">
        <f>IF($B22="","",(COUNTIFS(Rships!$C$2:$C$9990,$A22,Rships!$D$2:$D$9990,4)))</f>
        <v/>
      </c>
      <c r="AF22" s="64" t="str">
        <f>IF($B22="","",(COUNTIFS(Rships!$C$2:$C$9990,$A22,Rships!$D$2:$D$9990,5)))</f>
        <v/>
      </c>
      <c r="AG22" s="64" t="str">
        <f>IF($B22="","",(COUNTIFS(Rships!$C$2:$C$9990,$A22,Rships!$D$2:$D$9990,6)))</f>
        <v/>
      </c>
      <c r="AH22" s="64" t="str">
        <f>IF($B22="","",(COUNTIFS(Rships!$C$2:$C$9990,$A22,Rships!$D$2:$D$9990,7)))</f>
        <v/>
      </c>
    </row>
    <row r="23" spans="1:34">
      <c r="A23" s="1" t="s">
        <v>275</v>
      </c>
      <c r="C23" s="11" t="s">
        <v>19</v>
      </c>
      <c r="D23" s="11" t="s">
        <v>21</v>
      </c>
      <c r="F23" s="15"/>
      <c r="G23" s="15"/>
      <c r="I23" s="17"/>
      <c r="O23" s="11" t="s">
        <v>27</v>
      </c>
      <c r="Y23" s="64">
        <f t="shared" si="0"/>
        <v>0</v>
      </c>
      <c r="AA23" s="64">
        <f t="shared" si="1"/>
        <v>0</v>
      </c>
      <c r="AB23" s="64" t="str">
        <f>IF($B23="","",(COUNTIFS(Rships!$C$2:$C$9990,$A23,Rships!$D$2:$D$9990,1)))</f>
        <v/>
      </c>
      <c r="AC23" s="64" t="str">
        <f>IF($B23="","",(COUNTIFS(Rships!$C$2:$C$9990,$A23,Rships!$D$2:$D$9990,2)))</f>
        <v/>
      </c>
      <c r="AD23" s="64" t="str">
        <f>IF($B23="","",(COUNTIFS(Rships!$C$2:$C$9990,$A23,Rships!$D$2:$D$9990,3)))</f>
        <v/>
      </c>
      <c r="AE23" s="64" t="str">
        <f>IF($B23="","",(COUNTIFS(Rships!$C$2:$C$9990,$A23,Rships!$D$2:$D$9990,4)))</f>
        <v/>
      </c>
      <c r="AF23" s="64" t="str">
        <f>IF($B23="","",(COUNTIFS(Rships!$C$2:$C$9990,$A23,Rships!$D$2:$D$9990,5)))</f>
        <v/>
      </c>
      <c r="AG23" s="64" t="str">
        <f>IF($B23="","",(COUNTIFS(Rships!$C$2:$C$9990,$A23,Rships!$D$2:$D$9990,6)))</f>
        <v/>
      </c>
      <c r="AH23" s="64" t="str">
        <f>IF($B23="","",(COUNTIFS(Rships!$C$2:$C$9990,$A23,Rships!$D$2:$D$9990,7)))</f>
        <v/>
      </c>
    </row>
    <row r="24" spans="1:34">
      <c r="A24" s="1" t="s">
        <v>276</v>
      </c>
      <c r="C24" s="11" t="s">
        <v>19</v>
      </c>
      <c r="D24" s="11" t="s">
        <v>21</v>
      </c>
      <c r="F24" s="15"/>
      <c r="G24" s="15"/>
      <c r="I24" s="17"/>
      <c r="O24" s="11" t="s">
        <v>27</v>
      </c>
      <c r="Y24" s="64">
        <f t="shared" si="0"/>
        <v>0</v>
      </c>
      <c r="AA24" s="64">
        <f t="shared" si="1"/>
        <v>0</v>
      </c>
      <c r="AB24" s="64" t="str">
        <f>IF($B24="","",(COUNTIFS(Rships!$C$2:$C$9990,$A24,Rships!$D$2:$D$9990,1)))</f>
        <v/>
      </c>
      <c r="AC24" s="64" t="str">
        <f>IF($B24="","",(COUNTIFS(Rships!$C$2:$C$9990,$A24,Rships!$D$2:$D$9990,2)))</f>
        <v/>
      </c>
      <c r="AD24" s="64" t="str">
        <f>IF($B24="","",(COUNTIFS(Rships!$C$2:$C$9990,$A24,Rships!$D$2:$D$9990,3)))</f>
        <v/>
      </c>
      <c r="AE24" s="64" t="str">
        <f>IF($B24="","",(COUNTIFS(Rships!$C$2:$C$9990,$A24,Rships!$D$2:$D$9990,4)))</f>
        <v/>
      </c>
      <c r="AF24" s="64" t="str">
        <f>IF($B24="","",(COUNTIFS(Rships!$C$2:$C$9990,$A24,Rships!$D$2:$D$9990,5)))</f>
        <v/>
      </c>
      <c r="AG24" s="64" t="str">
        <f>IF($B24="","",(COUNTIFS(Rships!$C$2:$C$9990,$A24,Rships!$D$2:$D$9990,6)))</f>
        <v/>
      </c>
      <c r="AH24" s="64" t="str">
        <f>IF($B24="","",(COUNTIFS(Rships!$C$2:$C$9990,$A24,Rships!$D$2:$D$9990,7)))</f>
        <v/>
      </c>
    </row>
    <row r="25" spans="1:34">
      <c r="A25" s="1" t="s">
        <v>277</v>
      </c>
      <c r="C25" s="11" t="s">
        <v>19</v>
      </c>
      <c r="D25" s="11" t="s">
        <v>21</v>
      </c>
      <c r="F25" s="15"/>
      <c r="G25" s="15"/>
      <c r="I25" s="17"/>
      <c r="O25" s="11" t="s">
        <v>27</v>
      </c>
      <c r="Y25" s="64">
        <f t="shared" si="0"/>
        <v>0</v>
      </c>
      <c r="AA25" s="64">
        <f t="shared" si="1"/>
        <v>0</v>
      </c>
      <c r="AB25" s="64" t="str">
        <f>IF($B25="","",(COUNTIFS(Rships!$C$2:$C$9990,$A25,Rships!$D$2:$D$9990,1)))</f>
        <v/>
      </c>
      <c r="AC25" s="64" t="str">
        <f>IF($B25="","",(COUNTIFS(Rships!$C$2:$C$9990,$A25,Rships!$D$2:$D$9990,2)))</f>
        <v/>
      </c>
      <c r="AD25" s="64" t="str">
        <f>IF($B25="","",(COUNTIFS(Rships!$C$2:$C$9990,$A25,Rships!$D$2:$D$9990,3)))</f>
        <v/>
      </c>
      <c r="AE25" s="64" t="str">
        <f>IF($B25="","",(COUNTIFS(Rships!$C$2:$C$9990,$A25,Rships!$D$2:$D$9990,4)))</f>
        <v/>
      </c>
      <c r="AF25" s="64" t="str">
        <f>IF($B25="","",(COUNTIFS(Rships!$C$2:$C$9990,$A25,Rships!$D$2:$D$9990,5)))</f>
        <v/>
      </c>
      <c r="AG25" s="64" t="str">
        <f>IF($B25="","",(COUNTIFS(Rships!$C$2:$C$9990,$A25,Rships!$D$2:$D$9990,6)))</f>
        <v/>
      </c>
      <c r="AH25" s="64" t="str">
        <f>IF($B25="","",(COUNTIFS(Rships!$C$2:$C$9990,$A25,Rships!$D$2:$D$9990,7)))</f>
        <v/>
      </c>
    </row>
    <row r="26" spans="1:34">
      <c r="A26" s="1" t="s">
        <v>278</v>
      </c>
      <c r="C26" s="11" t="s">
        <v>19</v>
      </c>
      <c r="D26" s="11" t="s">
        <v>21</v>
      </c>
      <c r="F26" s="15"/>
      <c r="G26" s="15"/>
      <c r="I26" s="17"/>
      <c r="O26" s="11" t="s">
        <v>27</v>
      </c>
      <c r="Y26" s="64">
        <f t="shared" si="0"/>
        <v>0</v>
      </c>
      <c r="AA26" s="64">
        <f t="shared" si="1"/>
        <v>0</v>
      </c>
      <c r="AB26" s="64" t="str">
        <f>IF($B26="","",(COUNTIFS(Rships!$C$2:$C$9990,$A26,Rships!$D$2:$D$9990,1)))</f>
        <v/>
      </c>
      <c r="AC26" s="64" t="str">
        <f>IF($B26="","",(COUNTIFS(Rships!$C$2:$C$9990,$A26,Rships!$D$2:$D$9990,2)))</f>
        <v/>
      </c>
      <c r="AD26" s="64" t="str">
        <f>IF($B26="","",(COUNTIFS(Rships!$C$2:$C$9990,$A26,Rships!$D$2:$D$9990,3)))</f>
        <v/>
      </c>
      <c r="AE26" s="64" t="str">
        <f>IF($B26="","",(COUNTIFS(Rships!$C$2:$C$9990,$A26,Rships!$D$2:$D$9990,4)))</f>
        <v/>
      </c>
      <c r="AF26" s="64" t="str">
        <f>IF($B26="","",(COUNTIFS(Rships!$C$2:$C$9990,$A26,Rships!$D$2:$D$9990,5)))</f>
        <v/>
      </c>
      <c r="AG26" s="64" t="str">
        <f>IF($B26="","",(COUNTIFS(Rships!$C$2:$C$9990,$A26,Rships!$D$2:$D$9990,6)))</f>
        <v/>
      </c>
      <c r="AH26" s="64" t="str">
        <f>IF($B26="","",(COUNTIFS(Rships!$C$2:$C$9990,$A26,Rships!$D$2:$D$9990,7)))</f>
        <v/>
      </c>
    </row>
    <row r="27" spans="1:34">
      <c r="A27" s="1" t="s">
        <v>279</v>
      </c>
      <c r="C27" s="11" t="s">
        <v>19</v>
      </c>
      <c r="D27" s="11" t="s">
        <v>21</v>
      </c>
      <c r="F27" s="15"/>
      <c r="G27" s="15"/>
      <c r="I27" s="17"/>
      <c r="O27" s="11" t="s">
        <v>27</v>
      </c>
      <c r="Y27" s="64">
        <f t="shared" si="0"/>
        <v>0</v>
      </c>
      <c r="AA27" s="64">
        <f t="shared" si="1"/>
        <v>0</v>
      </c>
      <c r="AB27" s="64" t="str">
        <f>IF($B27="","",(COUNTIFS(Rships!$C$2:$C$9990,$A27,Rships!$D$2:$D$9990,1)))</f>
        <v/>
      </c>
      <c r="AC27" s="64" t="str">
        <f>IF($B27="","",(COUNTIFS(Rships!$C$2:$C$9990,$A27,Rships!$D$2:$D$9990,2)))</f>
        <v/>
      </c>
      <c r="AD27" s="64" t="str">
        <f>IF($B27="","",(COUNTIFS(Rships!$C$2:$C$9990,$A27,Rships!$D$2:$D$9990,3)))</f>
        <v/>
      </c>
      <c r="AE27" s="64" t="str">
        <f>IF($B27="","",(COUNTIFS(Rships!$C$2:$C$9990,$A27,Rships!$D$2:$D$9990,4)))</f>
        <v/>
      </c>
      <c r="AF27" s="64" t="str">
        <f>IF($B27="","",(COUNTIFS(Rships!$C$2:$C$9990,$A27,Rships!$D$2:$D$9990,5)))</f>
        <v/>
      </c>
      <c r="AG27" s="64" t="str">
        <f>IF($B27="","",(COUNTIFS(Rships!$C$2:$C$9990,$A27,Rships!$D$2:$D$9990,6)))</f>
        <v/>
      </c>
      <c r="AH27" s="64" t="str">
        <f>IF($B27="","",(COUNTIFS(Rships!$C$2:$C$9990,$A27,Rships!$D$2:$D$9990,7)))</f>
        <v/>
      </c>
    </row>
    <row r="28" spans="1:34">
      <c r="A28" s="1" t="s">
        <v>280</v>
      </c>
      <c r="C28" s="11" t="s">
        <v>19</v>
      </c>
      <c r="D28" s="11" t="s">
        <v>21</v>
      </c>
      <c r="F28" s="15"/>
      <c r="G28" s="15"/>
      <c r="I28" s="17"/>
      <c r="O28" s="11" t="s">
        <v>27</v>
      </c>
      <c r="Y28" s="64">
        <f t="shared" si="0"/>
        <v>0</v>
      </c>
      <c r="AA28" s="64">
        <f t="shared" si="1"/>
        <v>0</v>
      </c>
      <c r="AB28" s="64" t="str">
        <f>IF($B28="","",(COUNTIFS(Rships!$C$2:$C$9990,$A28,Rships!$D$2:$D$9990,1)))</f>
        <v/>
      </c>
      <c r="AC28" s="64" t="str">
        <f>IF($B28="","",(COUNTIFS(Rships!$C$2:$C$9990,$A28,Rships!$D$2:$D$9990,2)))</f>
        <v/>
      </c>
      <c r="AD28" s="64" t="str">
        <f>IF($B28="","",(COUNTIFS(Rships!$C$2:$C$9990,$A28,Rships!$D$2:$D$9990,3)))</f>
        <v/>
      </c>
      <c r="AE28" s="64" t="str">
        <f>IF($B28="","",(COUNTIFS(Rships!$C$2:$C$9990,$A28,Rships!$D$2:$D$9990,4)))</f>
        <v/>
      </c>
      <c r="AF28" s="64" t="str">
        <f>IF($B28="","",(COUNTIFS(Rships!$C$2:$C$9990,$A28,Rships!$D$2:$D$9990,5)))</f>
        <v/>
      </c>
      <c r="AG28" s="64" t="str">
        <f>IF($B28="","",(COUNTIFS(Rships!$C$2:$C$9990,$A28,Rships!$D$2:$D$9990,6)))</f>
        <v/>
      </c>
      <c r="AH28" s="64" t="str">
        <f>IF($B28="","",(COUNTIFS(Rships!$C$2:$C$9990,$A28,Rships!$D$2:$D$9990,7)))</f>
        <v/>
      </c>
    </row>
    <row r="29" spans="1:34">
      <c r="A29" s="1" t="s">
        <v>281</v>
      </c>
      <c r="C29" s="11" t="s">
        <v>19</v>
      </c>
      <c r="D29" s="11" t="s">
        <v>21</v>
      </c>
      <c r="F29" s="15"/>
      <c r="G29" s="15"/>
      <c r="I29" s="17"/>
      <c r="O29" s="11" t="s">
        <v>27</v>
      </c>
      <c r="Y29" s="64">
        <f t="shared" si="0"/>
        <v>0</v>
      </c>
      <c r="AA29" s="64">
        <f t="shared" si="1"/>
        <v>0</v>
      </c>
      <c r="AB29" s="64" t="str">
        <f>IF($B29="","",(COUNTIFS(Rships!$C$2:$C$9990,$A29,Rships!$D$2:$D$9990,1)))</f>
        <v/>
      </c>
      <c r="AC29" s="64" t="str">
        <f>IF($B29="","",(COUNTIFS(Rships!$C$2:$C$9990,$A29,Rships!$D$2:$D$9990,2)))</f>
        <v/>
      </c>
      <c r="AD29" s="64" t="str">
        <f>IF($B29="","",(COUNTIFS(Rships!$C$2:$C$9990,$A29,Rships!$D$2:$D$9990,3)))</f>
        <v/>
      </c>
      <c r="AE29" s="64" t="str">
        <f>IF($B29="","",(COUNTIFS(Rships!$C$2:$C$9990,$A29,Rships!$D$2:$D$9990,4)))</f>
        <v/>
      </c>
      <c r="AF29" s="64" t="str">
        <f>IF($B29="","",(COUNTIFS(Rships!$C$2:$C$9990,$A29,Rships!$D$2:$D$9990,5)))</f>
        <v/>
      </c>
      <c r="AG29" s="64" t="str">
        <f>IF($B29="","",(COUNTIFS(Rships!$C$2:$C$9990,$A29,Rships!$D$2:$D$9990,6)))</f>
        <v/>
      </c>
      <c r="AH29" s="64" t="str">
        <f>IF($B29="","",(COUNTIFS(Rships!$C$2:$C$9990,$A29,Rships!$D$2:$D$9990,7)))</f>
        <v/>
      </c>
    </row>
    <row r="30" spans="1:34">
      <c r="A30" s="1" t="s">
        <v>282</v>
      </c>
      <c r="C30" s="11" t="s">
        <v>19</v>
      </c>
      <c r="D30" s="11" t="s">
        <v>21</v>
      </c>
      <c r="F30" s="15"/>
      <c r="G30" s="15"/>
      <c r="I30" s="17"/>
      <c r="O30" s="11" t="s">
        <v>27</v>
      </c>
      <c r="Y30" s="64">
        <f t="shared" si="0"/>
        <v>0</v>
      </c>
      <c r="AA30" s="64">
        <f t="shared" si="1"/>
        <v>0</v>
      </c>
      <c r="AB30" s="64" t="str">
        <f>IF($B30="","",(COUNTIFS(Rships!$C$2:$C$9990,$A30,Rships!$D$2:$D$9990,1)))</f>
        <v/>
      </c>
      <c r="AC30" s="64" t="str">
        <f>IF($B30="","",(COUNTIFS(Rships!$C$2:$C$9990,$A30,Rships!$D$2:$D$9990,2)))</f>
        <v/>
      </c>
      <c r="AD30" s="64" t="str">
        <f>IF($B30="","",(COUNTIFS(Rships!$C$2:$C$9990,$A30,Rships!$D$2:$D$9990,3)))</f>
        <v/>
      </c>
      <c r="AE30" s="64" t="str">
        <f>IF($B30="","",(COUNTIFS(Rships!$C$2:$C$9990,$A30,Rships!$D$2:$D$9990,4)))</f>
        <v/>
      </c>
      <c r="AF30" s="64" t="str">
        <f>IF($B30="","",(COUNTIFS(Rships!$C$2:$C$9990,$A30,Rships!$D$2:$D$9990,5)))</f>
        <v/>
      </c>
      <c r="AG30" s="64" t="str">
        <f>IF($B30="","",(COUNTIFS(Rships!$C$2:$C$9990,$A30,Rships!$D$2:$D$9990,6)))</f>
        <v/>
      </c>
      <c r="AH30" s="64" t="str">
        <f>IF($B30="","",(COUNTIFS(Rships!$C$2:$C$9990,$A30,Rships!$D$2:$D$9990,7)))</f>
        <v/>
      </c>
    </row>
    <row r="31" spans="1:34">
      <c r="A31" s="1" t="s">
        <v>283</v>
      </c>
      <c r="C31" s="11" t="s">
        <v>19</v>
      </c>
      <c r="D31" s="11" t="s">
        <v>21</v>
      </c>
      <c r="F31" s="15"/>
      <c r="G31" s="15"/>
      <c r="I31" s="17"/>
      <c r="O31" s="11" t="s">
        <v>27</v>
      </c>
      <c r="Y31" s="64">
        <f t="shared" si="0"/>
        <v>0</v>
      </c>
      <c r="AA31" s="64">
        <f t="shared" si="1"/>
        <v>0</v>
      </c>
      <c r="AB31" s="64" t="str">
        <f>IF($B31="","",(COUNTIFS(Rships!$C$2:$C$9990,$A31,Rships!$D$2:$D$9990,1)))</f>
        <v/>
      </c>
      <c r="AC31" s="64" t="str">
        <f>IF($B31="","",(COUNTIFS(Rships!$C$2:$C$9990,$A31,Rships!$D$2:$D$9990,2)))</f>
        <v/>
      </c>
      <c r="AD31" s="64" t="str">
        <f>IF($B31="","",(COUNTIFS(Rships!$C$2:$C$9990,$A31,Rships!$D$2:$D$9990,3)))</f>
        <v/>
      </c>
      <c r="AE31" s="64" t="str">
        <f>IF($B31="","",(COUNTIFS(Rships!$C$2:$C$9990,$A31,Rships!$D$2:$D$9990,4)))</f>
        <v/>
      </c>
      <c r="AF31" s="64" t="str">
        <f>IF($B31="","",(COUNTIFS(Rships!$C$2:$C$9990,$A31,Rships!$D$2:$D$9990,5)))</f>
        <v/>
      </c>
      <c r="AG31" s="64" t="str">
        <f>IF($B31="","",(COUNTIFS(Rships!$C$2:$C$9990,$A31,Rships!$D$2:$D$9990,6)))</f>
        <v/>
      </c>
      <c r="AH31" s="64" t="str">
        <f>IF($B31="","",(COUNTIFS(Rships!$C$2:$C$9990,$A31,Rships!$D$2:$D$9990,7)))</f>
        <v/>
      </c>
    </row>
    <row r="32" spans="1:34">
      <c r="A32" s="1" t="s">
        <v>284</v>
      </c>
      <c r="C32" s="11" t="s">
        <v>19</v>
      </c>
      <c r="D32" s="11" t="s">
        <v>21</v>
      </c>
      <c r="F32" s="15"/>
      <c r="G32" s="15"/>
      <c r="I32" s="17"/>
      <c r="O32" s="11" t="s">
        <v>27</v>
      </c>
      <c r="Y32" s="64">
        <f t="shared" si="0"/>
        <v>0</v>
      </c>
      <c r="AA32" s="64">
        <f t="shared" si="1"/>
        <v>0</v>
      </c>
      <c r="AB32" s="64" t="str">
        <f>IF($B32="","",(COUNTIFS(Rships!$C$2:$C$9990,$A32,Rships!$D$2:$D$9990,1)))</f>
        <v/>
      </c>
      <c r="AC32" s="64" t="str">
        <f>IF($B32="","",(COUNTIFS(Rships!$C$2:$C$9990,$A32,Rships!$D$2:$D$9990,2)))</f>
        <v/>
      </c>
      <c r="AD32" s="64" t="str">
        <f>IF($B32="","",(COUNTIFS(Rships!$C$2:$C$9990,$A32,Rships!$D$2:$D$9990,3)))</f>
        <v/>
      </c>
      <c r="AE32" s="64" t="str">
        <f>IF($B32="","",(COUNTIFS(Rships!$C$2:$C$9990,$A32,Rships!$D$2:$D$9990,4)))</f>
        <v/>
      </c>
      <c r="AF32" s="64" t="str">
        <f>IF($B32="","",(COUNTIFS(Rships!$C$2:$C$9990,$A32,Rships!$D$2:$D$9990,5)))</f>
        <v/>
      </c>
      <c r="AG32" s="64" t="str">
        <f>IF($B32="","",(COUNTIFS(Rships!$C$2:$C$9990,$A32,Rships!$D$2:$D$9990,6)))</f>
        <v/>
      </c>
      <c r="AH32" s="64" t="str">
        <f>IF($B32="","",(COUNTIFS(Rships!$C$2:$C$9990,$A32,Rships!$D$2:$D$9990,7)))</f>
        <v/>
      </c>
    </row>
    <row r="33" spans="1:34">
      <c r="A33" s="1" t="s">
        <v>285</v>
      </c>
      <c r="C33" s="11" t="s">
        <v>19</v>
      </c>
      <c r="D33" s="11" t="s">
        <v>21</v>
      </c>
      <c r="F33" s="15"/>
      <c r="G33" s="15"/>
      <c r="I33" s="17"/>
      <c r="O33" s="11" t="s">
        <v>27</v>
      </c>
      <c r="Y33" s="64">
        <f t="shared" si="0"/>
        <v>0</v>
      </c>
      <c r="AA33" s="64">
        <f t="shared" si="1"/>
        <v>0</v>
      </c>
      <c r="AB33" s="64" t="str">
        <f>IF($B33="","",(COUNTIFS(Rships!$C$2:$C$9990,$A33,Rships!$D$2:$D$9990,1)))</f>
        <v/>
      </c>
      <c r="AC33" s="64" t="str">
        <f>IF($B33="","",(COUNTIFS(Rships!$C$2:$C$9990,$A33,Rships!$D$2:$D$9990,2)))</f>
        <v/>
      </c>
      <c r="AD33" s="64" t="str">
        <f>IF($B33="","",(COUNTIFS(Rships!$C$2:$C$9990,$A33,Rships!$D$2:$D$9990,3)))</f>
        <v/>
      </c>
      <c r="AE33" s="64" t="str">
        <f>IF($B33="","",(COUNTIFS(Rships!$C$2:$C$9990,$A33,Rships!$D$2:$D$9990,4)))</f>
        <v/>
      </c>
      <c r="AF33" s="64" t="str">
        <f>IF($B33="","",(COUNTIFS(Rships!$C$2:$C$9990,$A33,Rships!$D$2:$D$9990,5)))</f>
        <v/>
      </c>
      <c r="AG33" s="64" t="str">
        <f>IF($B33="","",(COUNTIFS(Rships!$C$2:$C$9990,$A33,Rships!$D$2:$D$9990,6)))</f>
        <v/>
      </c>
      <c r="AH33" s="64" t="str">
        <f>IF($B33="","",(COUNTIFS(Rships!$C$2:$C$9990,$A33,Rships!$D$2:$D$9990,7)))</f>
        <v/>
      </c>
    </row>
    <row r="34" spans="1:34">
      <c r="A34" s="1" t="s">
        <v>286</v>
      </c>
      <c r="C34" s="11" t="s">
        <v>19</v>
      </c>
      <c r="D34" s="11" t="s">
        <v>21</v>
      </c>
      <c r="F34" s="15"/>
      <c r="G34" s="15"/>
      <c r="I34" s="17"/>
      <c r="O34" s="11" t="s">
        <v>27</v>
      </c>
      <c r="Y34" s="64">
        <f t="shared" si="0"/>
        <v>0</v>
      </c>
      <c r="AA34" s="64">
        <f t="shared" si="1"/>
        <v>0</v>
      </c>
      <c r="AB34" s="64" t="str">
        <f>IF($B34="","",(COUNTIFS(Rships!$C$2:$C$9990,$A34,Rships!$D$2:$D$9990,1)))</f>
        <v/>
      </c>
      <c r="AC34" s="64" t="str">
        <f>IF($B34="","",(COUNTIFS(Rships!$C$2:$C$9990,$A34,Rships!$D$2:$D$9990,2)))</f>
        <v/>
      </c>
      <c r="AD34" s="64" t="str">
        <f>IF($B34="","",(COUNTIFS(Rships!$C$2:$C$9990,$A34,Rships!$D$2:$D$9990,3)))</f>
        <v/>
      </c>
      <c r="AE34" s="64" t="str">
        <f>IF($B34="","",(COUNTIFS(Rships!$C$2:$C$9990,$A34,Rships!$D$2:$D$9990,4)))</f>
        <v/>
      </c>
      <c r="AF34" s="64" t="str">
        <f>IF($B34="","",(COUNTIFS(Rships!$C$2:$C$9990,$A34,Rships!$D$2:$D$9990,5)))</f>
        <v/>
      </c>
      <c r="AG34" s="64" t="str">
        <f>IF($B34="","",(COUNTIFS(Rships!$C$2:$C$9990,$A34,Rships!$D$2:$D$9990,6)))</f>
        <v/>
      </c>
      <c r="AH34" s="64" t="str">
        <f>IF($B34="","",(COUNTIFS(Rships!$C$2:$C$9990,$A34,Rships!$D$2:$D$9990,7)))</f>
        <v/>
      </c>
    </row>
    <row r="35" spans="1:34">
      <c r="A35" s="1" t="s">
        <v>287</v>
      </c>
      <c r="C35" s="11" t="s">
        <v>19</v>
      </c>
      <c r="D35" s="11" t="s">
        <v>21</v>
      </c>
      <c r="F35" s="15"/>
      <c r="G35" s="15"/>
      <c r="I35" s="17"/>
      <c r="O35" s="11" t="s">
        <v>27</v>
      </c>
      <c r="Y35" s="64">
        <f t="shared" si="0"/>
        <v>0</v>
      </c>
      <c r="AA35" s="64">
        <f t="shared" si="1"/>
        <v>0</v>
      </c>
      <c r="AB35" s="64" t="str">
        <f>IF($B35="","",(COUNTIFS(Rships!$C$2:$C$9990,$A35,Rships!$D$2:$D$9990,1)))</f>
        <v/>
      </c>
      <c r="AC35" s="64" t="str">
        <f>IF($B35="","",(COUNTIFS(Rships!$C$2:$C$9990,$A35,Rships!$D$2:$D$9990,2)))</f>
        <v/>
      </c>
      <c r="AD35" s="64" t="str">
        <f>IF($B35="","",(COUNTIFS(Rships!$C$2:$C$9990,$A35,Rships!$D$2:$D$9990,3)))</f>
        <v/>
      </c>
      <c r="AE35" s="64" t="str">
        <f>IF($B35="","",(COUNTIFS(Rships!$C$2:$C$9990,$A35,Rships!$D$2:$D$9990,4)))</f>
        <v/>
      </c>
      <c r="AF35" s="64" t="str">
        <f>IF($B35="","",(COUNTIFS(Rships!$C$2:$C$9990,$A35,Rships!$D$2:$D$9990,5)))</f>
        <v/>
      </c>
      <c r="AG35" s="64" t="str">
        <f>IF($B35="","",(COUNTIFS(Rships!$C$2:$C$9990,$A35,Rships!$D$2:$D$9990,6)))</f>
        <v/>
      </c>
      <c r="AH35" s="64" t="str">
        <f>IF($B35="","",(COUNTIFS(Rships!$C$2:$C$9990,$A35,Rships!$D$2:$D$9990,7)))</f>
        <v/>
      </c>
    </row>
    <row r="36" spans="1:34">
      <c r="A36" s="1" t="s">
        <v>288</v>
      </c>
      <c r="C36" s="11" t="s">
        <v>19</v>
      </c>
      <c r="D36" s="11" t="s">
        <v>21</v>
      </c>
      <c r="F36" s="15"/>
      <c r="G36" s="15"/>
      <c r="I36" s="17"/>
      <c r="O36" s="11" t="s">
        <v>27</v>
      </c>
      <c r="Y36" s="64">
        <f t="shared" si="0"/>
        <v>0</v>
      </c>
      <c r="AA36" s="64">
        <f t="shared" si="1"/>
        <v>0</v>
      </c>
      <c r="AB36" s="64" t="str">
        <f>IF($B36="","",(COUNTIFS(Rships!$C$2:$C$9990,$A36,Rships!$D$2:$D$9990,1)))</f>
        <v/>
      </c>
      <c r="AC36" s="64" t="str">
        <f>IF($B36="","",(COUNTIFS(Rships!$C$2:$C$9990,$A36,Rships!$D$2:$D$9990,2)))</f>
        <v/>
      </c>
      <c r="AD36" s="64" t="str">
        <f>IF($B36="","",(COUNTIFS(Rships!$C$2:$C$9990,$A36,Rships!$D$2:$D$9990,3)))</f>
        <v/>
      </c>
      <c r="AE36" s="64" t="str">
        <f>IF($B36="","",(COUNTIFS(Rships!$C$2:$C$9990,$A36,Rships!$D$2:$D$9990,4)))</f>
        <v/>
      </c>
      <c r="AF36" s="64" t="str">
        <f>IF($B36="","",(COUNTIFS(Rships!$C$2:$C$9990,$A36,Rships!$D$2:$D$9990,5)))</f>
        <v/>
      </c>
      <c r="AG36" s="64" t="str">
        <f>IF($B36="","",(COUNTIFS(Rships!$C$2:$C$9990,$A36,Rships!$D$2:$D$9990,6)))</f>
        <v/>
      </c>
      <c r="AH36" s="64" t="str">
        <f>IF($B36="","",(COUNTIFS(Rships!$C$2:$C$9990,$A36,Rships!$D$2:$D$9990,7)))</f>
        <v/>
      </c>
    </row>
    <row r="37" spans="1:34">
      <c r="A37" s="1" t="s">
        <v>289</v>
      </c>
      <c r="C37" s="11" t="s">
        <v>19</v>
      </c>
      <c r="D37" s="11" t="s">
        <v>21</v>
      </c>
      <c r="F37" s="15"/>
      <c r="G37" s="15"/>
      <c r="I37" s="17"/>
      <c r="O37" s="11" t="s">
        <v>27</v>
      </c>
      <c r="Y37" s="64">
        <f t="shared" si="0"/>
        <v>0</v>
      </c>
      <c r="AA37" s="64">
        <f t="shared" si="1"/>
        <v>0</v>
      </c>
      <c r="AB37" s="64" t="str">
        <f>IF($B37="","",(COUNTIFS(Rships!$C$2:$C$9990,$A37,Rships!$D$2:$D$9990,1)))</f>
        <v/>
      </c>
      <c r="AC37" s="64" t="str">
        <f>IF($B37="","",(COUNTIFS(Rships!$C$2:$C$9990,$A37,Rships!$D$2:$D$9990,2)))</f>
        <v/>
      </c>
      <c r="AD37" s="64" t="str">
        <f>IF($B37="","",(COUNTIFS(Rships!$C$2:$C$9990,$A37,Rships!$D$2:$D$9990,3)))</f>
        <v/>
      </c>
      <c r="AE37" s="64" t="str">
        <f>IF($B37="","",(COUNTIFS(Rships!$C$2:$C$9990,$A37,Rships!$D$2:$D$9990,4)))</f>
        <v/>
      </c>
      <c r="AF37" s="64" t="str">
        <f>IF($B37="","",(COUNTIFS(Rships!$C$2:$C$9990,$A37,Rships!$D$2:$D$9990,5)))</f>
        <v/>
      </c>
      <c r="AG37" s="64" t="str">
        <f>IF($B37="","",(COUNTIFS(Rships!$C$2:$C$9990,$A37,Rships!$D$2:$D$9990,6)))</f>
        <v/>
      </c>
      <c r="AH37" s="64" t="str">
        <f>IF($B37="","",(COUNTIFS(Rships!$C$2:$C$9990,$A37,Rships!$D$2:$D$9990,7)))</f>
        <v/>
      </c>
    </row>
    <row r="38" spans="1:34">
      <c r="A38" s="1" t="s">
        <v>290</v>
      </c>
      <c r="C38" s="11" t="s">
        <v>19</v>
      </c>
      <c r="D38" s="11" t="s">
        <v>21</v>
      </c>
      <c r="F38" s="15"/>
      <c r="G38" s="15"/>
      <c r="I38" s="17"/>
      <c r="O38" s="11" t="s">
        <v>27</v>
      </c>
      <c r="Y38" s="64">
        <f t="shared" si="0"/>
        <v>0</v>
      </c>
      <c r="AA38" s="64">
        <f t="shared" si="1"/>
        <v>0</v>
      </c>
      <c r="AB38" s="64" t="str">
        <f>IF($B38="","",(COUNTIFS(Rships!$C$2:$C$9990,$A38,Rships!$D$2:$D$9990,1)))</f>
        <v/>
      </c>
      <c r="AC38" s="64" t="str">
        <f>IF($B38="","",(COUNTIFS(Rships!$C$2:$C$9990,$A38,Rships!$D$2:$D$9990,2)))</f>
        <v/>
      </c>
      <c r="AD38" s="64" t="str">
        <f>IF($B38="","",(COUNTIFS(Rships!$C$2:$C$9990,$A38,Rships!$D$2:$D$9990,3)))</f>
        <v/>
      </c>
      <c r="AE38" s="64" t="str">
        <f>IF($B38="","",(COUNTIFS(Rships!$C$2:$C$9990,$A38,Rships!$D$2:$D$9990,4)))</f>
        <v/>
      </c>
      <c r="AF38" s="64" t="str">
        <f>IF($B38="","",(COUNTIFS(Rships!$C$2:$C$9990,$A38,Rships!$D$2:$D$9990,5)))</f>
        <v/>
      </c>
      <c r="AG38" s="64" t="str">
        <f>IF($B38="","",(COUNTIFS(Rships!$C$2:$C$9990,$A38,Rships!$D$2:$D$9990,6)))</f>
        <v/>
      </c>
      <c r="AH38" s="64" t="str">
        <f>IF($B38="","",(COUNTIFS(Rships!$C$2:$C$9990,$A38,Rships!$D$2:$D$9990,7)))</f>
        <v/>
      </c>
    </row>
    <row r="39" spans="1:34">
      <c r="A39" s="1" t="s">
        <v>291</v>
      </c>
      <c r="C39" s="11" t="s">
        <v>19</v>
      </c>
      <c r="D39" s="11" t="s">
        <v>21</v>
      </c>
      <c r="F39" s="15"/>
      <c r="G39" s="15"/>
      <c r="I39" s="17"/>
      <c r="O39" s="11" t="s">
        <v>27</v>
      </c>
      <c r="Y39" s="64">
        <f t="shared" si="0"/>
        <v>0</v>
      </c>
      <c r="AA39" s="64">
        <f t="shared" si="1"/>
        <v>0</v>
      </c>
      <c r="AB39" s="64" t="str">
        <f>IF($B39="","",(COUNTIFS(Rships!$C$2:$C$9990,$A39,Rships!$D$2:$D$9990,1)))</f>
        <v/>
      </c>
      <c r="AC39" s="64" t="str">
        <f>IF($B39="","",(COUNTIFS(Rships!$C$2:$C$9990,$A39,Rships!$D$2:$D$9990,2)))</f>
        <v/>
      </c>
      <c r="AD39" s="64" t="str">
        <f>IF($B39="","",(COUNTIFS(Rships!$C$2:$C$9990,$A39,Rships!$D$2:$D$9990,3)))</f>
        <v/>
      </c>
      <c r="AE39" s="64" t="str">
        <f>IF($B39="","",(COUNTIFS(Rships!$C$2:$C$9990,$A39,Rships!$D$2:$D$9990,4)))</f>
        <v/>
      </c>
      <c r="AF39" s="64" t="str">
        <f>IF($B39="","",(COUNTIFS(Rships!$C$2:$C$9990,$A39,Rships!$D$2:$D$9990,5)))</f>
        <v/>
      </c>
      <c r="AG39" s="64" t="str">
        <f>IF($B39="","",(COUNTIFS(Rships!$C$2:$C$9990,$A39,Rships!$D$2:$D$9990,6)))</f>
        <v/>
      </c>
      <c r="AH39" s="64" t="str">
        <f>IF($B39="","",(COUNTIFS(Rships!$C$2:$C$9990,$A39,Rships!$D$2:$D$9990,7)))</f>
        <v/>
      </c>
    </row>
    <row r="40" spans="1:34">
      <c r="A40" s="1" t="s">
        <v>292</v>
      </c>
      <c r="C40" s="11" t="s">
        <v>19</v>
      </c>
      <c r="D40" s="11" t="s">
        <v>21</v>
      </c>
      <c r="F40" s="15"/>
      <c r="G40" s="15"/>
      <c r="I40" s="17"/>
      <c r="O40" s="11" t="s">
        <v>27</v>
      </c>
      <c r="Y40" s="64">
        <f t="shared" si="0"/>
        <v>0</v>
      </c>
      <c r="AA40" s="64">
        <f t="shared" si="1"/>
        <v>0</v>
      </c>
      <c r="AB40" s="64" t="str">
        <f>IF($B40="","",(COUNTIFS(Rships!$C$2:$C$9990,$A40,Rships!$D$2:$D$9990,1)))</f>
        <v/>
      </c>
      <c r="AC40" s="64" t="str">
        <f>IF($B40="","",(COUNTIFS(Rships!$C$2:$C$9990,$A40,Rships!$D$2:$D$9990,2)))</f>
        <v/>
      </c>
      <c r="AD40" s="64" t="str">
        <f>IF($B40="","",(COUNTIFS(Rships!$C$2:$C$9990,$A40,Rships!$D$2:$D$9990,3)))</f>
        <v/>
      </c>
      <c r="AE40" s="64" t="str">
        <f>IF($B40="","",(COUNTIFS(Rships!$C$2:$C$9990,$A40,Rships!$D$2:$D$9990,4)))</f>
        <v/>
      </c>
      <c r="AF40" s="64" t="str">
        <f>IF($B40="","",(COUNTIFS(Rships!$C$2:$C$9990,$A40,Rships!$D$2:$D$9990,5)))</f>
        <v/>
      </c>
      <c r="AG40" s="64" t="str">
        <f>IF($B40="","",(COUNTIFS(Rships!$C$2:$C$9990,$A40,Rships!$D$2:$D$9990,6)))</f>
        <v/>
      </c>
      <c r="AH40" s="64" t="str">
        <f>IF($B40="","",(COUNTIFS(Rships!$C$2:$C$9990,$A40,Rships!$D$2:$D$9990,7)))</f>
        <v/>
      </c>
    </row>
    <row r="41" spans="1:34">
      <c r="A41" s="1" t="s">
        <v>293</v>
      </c>
      <c r="C41" s="11" t="s">
        <v>19</v>
      </c>
      <c r="D41" s="11" t="s">
        <v>21</v>
      </c>
      <c r="F41" s="15"/>
      <c r="G41" s="15"/>
      <c r="I41" s="17"/>
      <c r="O41" s="11" t="s">
        <v>27</v>
      </c>
      <c r="Y41" s="64">
        <f t="shared" si="0"/>
        <v>0</v>
      </c>
      <c r="AA41" s="64">
        <f t="shared" si="1"/>
        <v>0</v>
      </c>
      <c r="AB41" s="64" t="str">
        <f>IF($B41="","",(COUNTIFS(Rships!$C$2:$C$9990,$A41,Rships!$D$2:$D$9990,1)))</f>
        <v/>
      </c>
      <c r="AC41" s="64" t="str">
        <f>IF($B41="","",(COUNTIFS(Rships!$C$2:$C$9990,$A41,Rships!$D$2:$D$9990,2)))</f>
        <v/>
      </c>
      <c r="AD41" s="64" t="str">
        <f>IF($B41="","",(COUNTIFS(Rships!$C$2:$C$9990,$A41,Rships!$D$2:$D$9990,3)))</f>
        <v/>
      </c>
      <c r="AE41" s="64" t="str">
        <f>IF($B41="","",(COUNTIFS(Rships!$C$2:$C$9990,$A41,Rships!$D$2:$D$9990,4)))</f>
        <v/>
      </c>
      <c r="AF41" s="64" t="str">
        <f>IF($B41="","",(COUNTIFS(Rships!$C$2:$C$9990,$A41,Rships!$D$2:$D$9990,5)))</f>
        <v/>
      </c>
      <c r="AG41" s="64" t="str">
        <f>IF($B41="","",(COUNTIFS(Rships!$C$2:$C$9990,$A41,Rships!$D$2:$D$9990,6)))</f>
        <v/>
      </c>
      <c r="AH41" s="64" t="str">
        <f>IF($B41="","",(COUNTIFS(Rships!$C$2:$C$9990,$A41,Rships!$D$2:$D$9990,7)))</f>
        <v/>
      </c>
    </row>
    <row r="42" spans="1:34">
      <c r="A42" s="1" t="s">
        <v>294</v>
      </c>
      <c r="C42" s="11" t="s">
        <v>19</v>
      </c>
      <c r="D42" s="11" t="s">
        <v>21</v>
      </c>
      <c r="F42" s="15"/>
      <c r="G42" s="15"/>
      <c r="I42" s="17"/>
      <c r="O42" s="11" t="s">
        <v>27</v>
      </c>
      <c r="Y42" s="64">
        <f t="shared" si="0"/>
        <v>0</v>
      </c>
      <c r="AA42" s="64">
        <f t="shared" si="1"/>
        <v>0</v>
      </c>
      <c r="AB42" s="64" t="str">
        <f>IF($B42="","",(COUNTIFS(Rships!$C$2:$C$9990,$A42,Rships!$D$2:$D$9990,1)))</f>
        <v/>
      </c>
      <c r="AC42" s="64" t="str">
        <f>IF($B42="","",(COUNTIFS(Rships!$C$2:$C$9990,$A42,Rships!$D$2:$D$9990,2)))</f>
        <v/>
      </c>
      <c r="AD42" s="64" t="str">
        <f>IF($B42="","",(COUNTIFS(Rships!$C$2:$C$9990,$A42,Rships!$D$2:$D$9990,3)))</f>
        <v/>
      </c>
      <c r="AE42" s="64" t="str">
        <f>IF($B42="","",(COUNTIFS(Rships!$C$2:$C$9990,$A42,Rships!$D$2:$D$9990,4)))</f>
        <v/>
      </c>
      <c r="AF42" s="64" t="str">
        <f>IF($B42="","",(COUNTIFS(Rships!$C$2:$C$9990,$A42,Rships!$D$2:$D$9990,5)))</f>
        <v/>
      </c>
      <c r="AG42" s="64" t="str">
        <f>IF($B42="","",(COUNTIFS(Rships!$C$2:$C$9990,$A42,Rships!$D$2:$D$9990,6)))</f>
        <v/>
      </c>
      <c r="AH42" s="64" t="str">
        <f>IF($B42="","",(COUNTIFS(Rships!$C$2:$C$9990,$A42,Rships!$D$2:$D$9990,7)))</f>
        <v/>
      </c>
    </row>
    <row r="43" spans="1:34">
      <c r="A43" s="1" t="s">
        <v>295</v>
      </c>
      <c r="C43" s="11" t="s">
        <v>19</v>
      </c>
      <c r="D43" s="11" t="s">
        <v>21</v>
      </c>
      <c r="F43" s="15"/>
      <c r="G43" s="15"/>
      <c r="I43" s="17"/>
      <c r="O43" s="11" t="s">
        <v>27</v>
      </c>
      <c r="Y43" s="64">
        <f t="shared" si="0"/>
        <v>0</v>
      </c>
      <c r="AA43" s="64">
        <f t="shared" si="1"/>
        <v>0</v>
      </c>
      <c r="AB43" s="64" t="str">
        <f>IF($B43="","",(COUNTIFS(Rships!$C$2:$C$9990,$A43,Rships!$D$2:$D$9990,1)))</f>
        <v/>
      </c>
      <c r="AC43" s="64" t="str">
        <f>IF($B43="","",(COUNTIFS(Rships!$C$2:$C$9990,$A43,Rships!$D$2:$D$9990,2)))</f>
        <v/>
      </c>
      <c r="AD43" s="64" t="str">
        <f>IF($B43="","",(COUNTIFS(Rships!$C$2:$C$9990,$A43,Rships!$D$2:$D$9990,3)))</f>
        <v/>
      </c>
      <c r="AE43" s="64" t="str">
        <f>IF($B43="","",(COUNTIFS(Rships!$C$2:$C$9990,$A43,Rships!$D$2:$D$9990,4)))</f>
        <v/>
      </c>
      <c r="AF43" s="64" t="str">
        <f>IF($B43="","",(COUNTIFS(Rships!$C$2:$C$9990,$A43,Rships!$D$2:$D$9990,5)))</f>
        <v/>
      </c>
      <c r="AG43" s="64" t="str">
        <f>IF($B43="","",(COUNTIFS(Rships!$C$2:$C$9990,$A43,Rships!$D$2:$D$9990,6)))</f>
        <v/>
      </c>
      <c r="AH43" s="64" t="str">
        <f>IF($B43="","",(COUNTIFS(Rships!$C$2:$C$9990,$A43,Rships!$D$2:$D$9990,7)))</f>
        <v/>
      </c>
    </row>
    <row r="44" spans="1:34">
      <c r="A44" s="1" t="s">
        <v>296</v>
      </c>
      <c r="C44" s="11" t="s">
        <v>19</v>
      </c>
      <c r="D44" s="11" t="s">
        <v>21</v>
      </c>
      <c r="F44" s="15"/>
      <c r="G44" s="15"/>
      <c r="I44" s="17"/>
      <c r="O44" s="11" t="s">
        <v>27</v>
      </c>
      <c r="Y44" s="64">
        <f t="shared" si="0"/>
        <v>0</v>
      </c>
      <c r="AA44" s="64">
        <f t="shared" si="1"/>
        <v>0</v>
      </c>
      <c r="AB44" s="64" t="str">
        <f>IF($B44="","",(COUNTIFS(Rships!$C$2:$C$9990,$A44,Rships!$D$2:$D$9990,1)))</f>
        <v/>
      </c>
      <c r="AC44" s="64" t="str">
        <f>IF($B44="","",(COUNTIFS(Rships!$C$2:$C$9990,$A44,Rships!$D$2:$D$9990,2)))</f>
        <v/>
      </c>
      <c r="AD44" s="64" t="str">
        <f>IF($B44="","",(COUNTIFS(Rships!$C$2:$C$9990,$A44,Rships!$D$2:$D$9990,3)))</f>
        <v/>
      </c>
      <c r="AE44" s="64" t="str">
        <f>IF($B44="","",(COUNTIFS(Rships!$C$2:$C$9990,$A44,Rships!$D$2:$D$9990,4)))</f>
        <v/>
      </c>
      <c r="AF44" s="64" t="str">
        <f>IF($B44="","",(COUNTIFS(Rships!$C$2:$C$9990,$A44,Rships!$D$2:$D$9990,5)))</f>
        <v/>
      </c>
      <c r="AG44" s="64" t="str">
        <f>IF($B44="","",(COUNTIFS(Rships!$C$2:$C$9990,$A44,Rships!$D$2:$D$9990,6)))</f>
        <v/>
      </c>
      <c r="AH44" s="64" t="str">
        <f>IF($B44="","",(COUNTIFS(Rships!$C$2:$C$9990,$A44,Rships!$D$2:$D$9990,7)))</f>
        <v/>
      </c>
    </row>
    <row r="45" spans="1:34">
      <c r="A45" s="1" t="s">
        <v>297</v>
      </c>
      <c r="C45" s="11" t="s">
        <v>19</v>
      </c>
      <c r="D45" s="11" t="s">
        <v>21</v>
      </c>
      <c r="F45" s="15"/>
      <c r="G45" s="15"/>
      <c r="I45" s="17"/>
      <c r="O45" s="11" t="s">
        <v>27</v>
      </c>
      <c r="Y45" s="64">
        <f t="shared" si="0"/>
        <v>0</v>
      </c>
      <c r="AA45" s="64">
        <f t="shared" si="1"/>
        <v>0</v>
      </c>
      <c r="AB45" s="64" t="str">
        <f>IF($B45="","",(COUNTIFS(Rships!$C$2:$C$9990,$A45,Rships!$D$2:$D$9990,1)))</f>
        <v/>
      </c>
      <c r="AC45" s="64" t="str">
        <f>IF($B45="","",(COUNTIFS(Rships!$C$2:$C$9990,$A45,Rships!$D$2:$D$9990,2)))</f>
        <v/>
      </c>
      <c r="AD45" s="64" t="str">
        <f>IF($B45="","",(COUNTIFS(Rships!$C$2:$C$9990,$A45,Rships!$D$2:$D$9990,3)))</f>
        <v/>
      </c>
      <c r="AE45" s="64" t="str">
        <f>IF($B45="","",(COUNTIFS(Rships!$C$2:$C$9990,$A45,Rships!$D$2:$D$9990,4)))</f>
        <v/>
      </c>
      <c r="AF45" s="64" t="str">
        <f>IF($B45="","",(COUNTIFS(Rships!$C$2:$C$9990,$A45,Rships!$D$2:$D$9990,5)))</f>
        <v/>
      </c>
      <c r="AG45" s="64" t="str">
        <f>IF($B45="","",(COUNTIFS(Rships!$C$2:$C$9990,$A45,Rships!$D$2:$D$9990,6)))</f>
        <v/>
      </c>
      <c r="AH45" s="64" t="str">
        <f>IF($B45="","",(COUNTIFS(Rships!$C$2:$C$9990,$A45,Rships!$D$2:$D$9990,7)))</f>
        <v/>
      </c>
    </row>
    <row r="46" spans="1:34">
      <c r="A46" s="1" t="s">
        <v>298</v>
      </c>
      <c r="C46" s="11" t="s">
        <v>19</v>
      </c>
      <c r="D46" s="11" t="s">
        <v>21</v>
      </c>
      <c r="F46" s="15"/>
      <c r="G46" s="15"/>
      <c r="I46" s="17"/>
      <c r="O46" s="11" t="s">
        <v>27</v>
      </c>
      <c r="Y46" s="64">
        <f t="shared" si="0"/>
        <v>0</v>
      </c>
      <c r="AA46" s="64">
        <f t="shared" si="1"/>
        <v>0</v>
      </c>
      <c r="AB46" s="64" t="str">
        <f>IF($B46="","",(COUNTIFS(Rships!$C$2:$C$9990,$A46,Rships!$D$2:$D$9990,1)))</f>
        <v/>
      </c>
      <c r="AC46" s="64" t="str">
        <f>IF($B46="","",(COUNTIFS(Rships!$C$2:$C$9990,$A46,Rships!$D$2:$D$9990,2)))</f>
        <v/>
      </c>
      <c r="AD46" s="64" t="str">
        <f>IF($B46="","",(COUNTIFS(Rships!$C$2:$C$9990,$A46,Rships!$D$2:$D$9990,3)))</f>
        <v/>
      </c>
      <c r="AE46" s="64" t="str">
        <f>IF($B46="","",(COUNTIFS(Rships!$C$2:$C$9990,$A46,Rships!$D$2:$D$9990,4)))</f>
        <v/>
      </c>
      <c r="AF46" s="64" t="str">
        <f>IF($B46="","",(COUNTIFS(Rships!$C$2:$C$9990,$A46,Rships!$D$2:$D$9990,5)))</f>
        <v/>
      </c>
      <c r="AG46" s="64" t="str">
        <f>IF($B46="","",(COUNTIFS(Rships!$C$2:$C$9990,$A46,Rships!$D$2:$D$9990,6)))</f>
        <v/>
      </c>
      <c r="AH46" s="64" t="str">
        <f>IF($B46="","",(COUNTIFS(Rships!$C$2:$C$9990,$A46,Rships!$D$2:$D$9990,7)))</f>
        <v/>
      </c>
    </row>
    <row r="47" spans="1:34">
      <c r="A47" s="1" t="s">
        <v>299</v>
      </c>
      <c r="C47" s="11" t="s">
        <v>19</v>
      </c>
      <c r="D47" s="11" t="s">
        <v>21</v>
      </c>
      <c r="F47" s="15"/>
      <c r="G47" s="15"/>
      <c r="I47" s="17"/>
      <c r="O47" s="11" t="s">
        <v>27</v>
      </c>
      <c r="Y47" s="64">
        <f t="shared" si="0"/>
        <v>0</v>
      </c>
      <c r="AA47" s="64">
        <f t="shared" si="1"/>
        <v>0</v>
      </c>
      <c r="AB47" s="64" t="str">
        <f>IF($B47="","",(COUNTIFS(Rships!$C$2:$C$9990,$A47,Rships!$D$2:$D$9990,1)))</f>
        <v/>
      </c>
      <c r="AC47" s="64" t="str">
        <f>IF($B47="","",(COUNTIFS(Rships!$C$2:$C$9990,$A47,Rships!$D$2:$D$9990,2)))</f>
        <v/>
      </c>
      <c r="AD47" s="64" t="str">
        <f>IF($B47="","",(COUNTIFS(Rships!$C$2:$C$9990,$A47,Rships!$D$2:$D$9990,3)))</f>
        <v/>
      </c>
      <c r="AE47" s="64" t="str">
        <f>IF($B47="","",(COUNTIFS(Rships!$C$2:$C$9990,$A47,Rships!$D$2:$D$9990,4)))</f>
        <v/>
      </c>
      <c r="AF47" s="64" t="str">
        <f>IF($B47="","",(COUNTIFS(Rships!$C$2:$C$9990,$A47,Rships!$D$2:$D$9990,5)))</f>
        <v/>
      </c>
      <c r="AG47" s="64" t="str">
        <f>IF($B47="","",(COUNTIFS(Rships!$C$2:$C$9990,$A47,Rships!$D$2:$D$9990,6)))</f>
        <v/>
      </c>
      <c r="AH47" s="64" t="str">
        <f>IF($B47="","",(COUNTIFS(Rships!$C$2:$C$9990,$A47,Rships!$D$2:$D$9990,7)))</f>
        <v/>
      </c>
    </row>
    <row r="48" spans="1:34">
      <c r="A48" s="1" t="s">
        <v>300</v>
      </c>
      <c r="C48" s="11" t="s">
        <v>19</v>
      </c>
      <c r="D48" s="11" t="s">
        <v>21</v>
      </c>
      <c r="F48" s="15"/>
      <c r="G48" s="15"/>
      <c r="I48" s="17"/>
      <c r="O48" s="11" t="s">
        <v>27</v>
      </c>
      <c r="Y48" s="64">
        <f t="shared" si="0"/>
        <v>0</v>
      </c>
      <c r="AA48" s="64">
        <f t="shared" si="1"/>
        <v>0</v>
      </c>
      <c r="AB48" s="64" t="str">
        <f>IF($B48="","",(COUNTIFS(Rships!$C$2:$C$9990,$A48,Rships!$D$2:$D$9990,1)))</f>
        <v/>
      </c>
      <c r="AC48" s="64" t="str">
        <f>IF($B48="","",(COUNTIFS(Rships!$C$2:$C$9990,$A48,Rships!$D$2:$D$9990,2)))</f>
        <v/>
      </c>
      <c r="AD48" s="64" t="str">
        <f>IF($B48="","",(COUNTIFS(Rships!$C$2:$C$9990,$A48,Rships!$D$2:$D$9990,3)))</f>
        <v/>
      </c>
      <c r="AE48" s="64" t="str">
        <f>IF($B48="","",(COUNTIFS(Rships!$C$2:$C$9990,$A48,Rships!$D$2:$D$9990,4)))</f>
        <v/>
      </c>
      <c r="AF48" s="64" t="str">
        <f>IF($B48="","",(COUNTIFS(Rships!$C$2:$C$9990,$A48,Rships!$D$2:$D$9990,5)))</f>
        <v/>
      </c>
      <c r="AG48" s="64" t="str">
        <f>IF($B48="","",(COUNTIFS(Rships!$C$2:$C$9990,$A48,Rships!$D$2:$D$9990,6)))</f>
        <v/>
      </c>
      <c r="AH48" s="64" t="str">
        <f>IF($B48="","",(COUNTIFS(Rships!$C$2:$C$9990,$A48,Rships!$D$2:$D$9990,7)))</f>
        <v/>
      </c>
    </row>
    <row r="49" spans="1:34" ht="15">
      <c r="A49" s="1" t="s">
        <v>301</v>
      </c>
      <c r="C49" s="11" t="s">
        <v>19</v>
      </c>
      <c r="D49" s="11" t="s">
        <v>21</v>
      </c>
      <c r="F49" s="30"/>
      <c r="G49" s="30"/>
      <c r="I49" s="17"/>
      <c r="J49" s="33"/>
      <c r="O49" s="11" t="s">
        <v>27</v>
      </c>
      <c r="T49" s="29"/>
      <c r="Y49" s="64">
        <f t="shared" si="0"/>
        <v>0</v>
      </c>
      <c r="AA49" s="64">
        <f t="shared" si="1"/>
        <v>0</v>
      </c>
      <c r="AB49" s="64" t="str">
        <f>IF($B49="","",(COUNTIFS(Rships!$C$2:$C$9990,$A49,Rships!$D$2:$D$9990,1)))</f>
        <v/>
      </c>
      <c r="AC49" s="64" t="str">
        <f>IF($B49="","",(COUNTIFS(Rships!$C$2:$C$9990,$A49,Rships!$D$2:$D$9990,2)))</f>
        <v/>
      </c>
      <c r="AD49" s="64" t="str">
        <f>IF($B49="","",(COUNTIFS(Rships!$C$2:$C$9990,$A49,Rships!$D$2:$D$9990,3)))</f>
        <v/>
      </c>
      <c r="AE49" s="64" t="str">
        <f>IF($B49="","",(COUNTIFS(Rships!$C$2:$C$9990,$A49,Rships!$D$2:$D$9990,4)))</f>
        <v/>
      </c>
      <c r="AF49" s="64" t="str">
        <f>IF($B49="","",(COUNTIFS(Rships!$C$2:$C$9990,$A49,Rships!$D$2:$D$9990,5)))</f>
        <v/>
      </c>
      <c r="AG49" s="64" t="str">
        <f>IF($B49="","",(COUNTIFS(Rships!$C$2:$C$9990,$A49,Rships!$D$2:$D$9990,6)))</f>
        <v/>
      </c>
      <c r="AH49" s="64" t="str">
        <f>IF($B49="","",(COUNTIFS(Rships!$C$2:$C$9990,$A49,Rships!$D$2:$D$9990,7)))</f>
        <v/>
      </c>
    </row>
    <row r="50" spans="1:34" s="29" customFormat="1">
      <c r="A50" s="1" t="s">
        <v>302</v>
      </c>
      <c r="B50" s="35" t="s">
        <v>89</v>
      </c>
      <c r="C50" s="29" t="s">
        <v>19</v>
      </c>
      <c r="D50" s="29" t="s">
        <v>21</v>
      </c>
      <c r="E50" s="29" t="s">
        <v>177</v>
      </c>
      <c r="F50" s="29" t="s">
        <v>179</v>
      </c>
      <c r="G50" s="29" t="s">
        <v>180</v>
      </c>
      <c r="H50" s="31">
        <v>7209256149089</v>
      </c>
      <c r="I50" s="32">
        <v>719199417</v>
      </c>
      <c r="J50" s="29" t="s">
        <v>178</v>
      </c>
      <c r="K50" s="29" t="s">
        <v>181</v>
      </c>
      <c r="L50" s="31">
        <v>9323</v>
      </c>
      <c r="M50" s="29" t="s">
        <v>181</v>
      </c>
      <c r="N50" s="31">
        <v>9323</v>
      </c>
      <c r="O50" s="29" t="s">
        <v>26</v>
      </c>
      <c r="P50" s="34">
        <v>5500</v>
      </c>
      <c r="Q50" s="29" t="s">
        <v>182</v>
      </c>
      <c r="R50" s="29" t="s">
        <v>90</v>
      </c>
      <c r="S50" s="29" t="s">
        <v>123</v>
      </c>
      <c r="T50" s="29" t="s">
        <v>183</v>
      </c>
      <c r="U50" s="31">
        <v>9100719144</v>
      </c>
      <c r="V50" s="29" t="s">
        <v>31</v>
      </c>
      <c r="W50" s="26">
        <v>41670</v>
      </c>
      <c r="X50" s="48">
        <v>41591</v>
      </c>
      <c r="Y50" s="31"/>
      <c r="Z50" s="29" t="s">
        <v>123</v>
      </c>
      <c r="AA50" s="64">
        <f t="shared" si="1"/>
        <v>0</v>
      </c>
      <c r="AB50" s="64">
        <f>IF($B50="","",(COUNTIFS(Rships!$C$2:$C$9990,$A50,Rships!$D$2:$D$9990,1)))</f>
        <v>0</v>
      </c>
      <c r="AC50" s="64">
        <f>IF($B50="","",(COUNTIFS(Rships!$C$2:$C$9990,$A50,Rships!$D$2:$D$9990,2)))</f>
        <v>0</v>
      </c>
      <c r="AD50" s="64">
        <f>IF($B50="","",(COUNTIFS(Rships!$C$2:$C$9990,$A50,Rships!$D$2:$D$9990,3)))</f>
        <v>0</v>
      </c>
      <c r="AE50" s="64">
        <f>IF($B50="","",(COUNTIFS(Rships!$C$2:$C$9990,$A50,Rships!$D$2:$D$9990,4)))</f>
        <v>0</v>
      </c>
      <c r="AF50" s="64">
        <f>IF($B50="","",(COUNTIFS(Rships!$C$2:$C$9990,$A50,Rships!$D$2:$D$9990,5)))</f>
        <v>0</v>
      </c>
      <c r="AG50" s="64">
        <f>IF($B50="","",(COUNTIFS(Rships!$C$2:$C$9990,$A50,Rships!$D$2:$D$9990,6)))</f>
        <v>0</v>
      </c>
      <c r="AH50" s="64">
        <f>IF($B50="","",(COUNTIFS(Rships!$C$2:$C$9990,$A50,Rships!$D$2:$D$9990,7)))</f>
        <v>0</v>
      </c>
    </row>
    <row r="51" spans="1:34">
      <c r="A51" s="1" t="s">
        <v>303</v>
      </c>
      <c r="C51" s="11" t="s">
        <v>19</v>
      </c>
      <c r="D51" s="11" t="s">
        <v>21</v>
      </c>
      <c r="F51" s="15"/>
      <c r="G51" s="15"/>
      <c r="I51" s="17"/>
      <c r="O51" s="11" t="s">
        <v>27</v>
      </c>
      <c r="W51" s="36"/>
      <c r="Y51" s="64">
        <f t="shared" ref="Y51:Y114" si="2">SUMIF($B$2:$B$100,$A51,$AA$2:$AA$100)</f>
        <v>0</v>
      </c>
      <c r="AA51" s="64">
        <f t="shared" si="1"/>
        <v>0</v>
      </c>
      <c r="AB51" s="64" t="str">
        <f>IF($B51="","",(COUNTIFS(Rships!$C$2:$C$9990,$A51,Rships!$D$2:$D$9990,1)))</f>
        <v/>
      </c>
      <c r="AC51" s="64" t="str">
        <f>IF($B51="","",(COUNTIFS(Rships!$C$2:$C$9990,$A51,Rships!$D$2:$D$9990,2)))</f>
        <v/>
      </c>
      <c r="AD51" s="64" t="str">
        <f>IF($B51="","",(COUNTIFS(Rships!$C$2:$C$9990,$A51,Rships!$D$2:$D$9990,3)))</f>
        <v/>
      </c>
      <c r="AE51" s="64" t="str">
        <f>IF($B51="","",(COUNTIFS(Rships!$C$2:$C$9990,$A51,Rships!$D$2:$D$9990,4)))</f>
        <v/>
      </c>
      <c r="AF51" s="64" t="str">
        <f>IF($B51="","",(COUNTIFS(Rships!$C$2:$C$9990,$A51,Rships!$D$2:$D$9990,5)))</f>
        <v/>
      </c>
      <c r="AG51" s="64" t="str">
        <f>IF($B51="","",(COUNTIFS(Rships!$C$2:$C$9990,$A51,Rships!$D$2:$D$9990,6)))</f>
        <v/>
      </c>
      <c r="AH51" s="64" t="str">
        <f>IF($B51="","",(COUNTIFS(Rships!$C$2:$C$9990,$A51,Rships!$D$2:$D$9990,7)))</f>
        <v/>
      </c>
    </row>
    <row r="52" spans="1:34">
      <c r="A52" s="1" t="s">
        <v>304</v>
      </c>
      <c r="C52" s="11" t="s">
        <v>19</v>
      </c>
      <c r="D52" s="11" t="s">
        <v>21</v>
      </c>
      <c r="F52" s="15"/>
      <c r="G52" s="15"/>
      <c r="I52" s="17"/>
      <c r="O52" s="11" t="s">
        <v>27</v>
      </c>
      <c r="Y52" s="64">
        <f t="shared" si="2"/>
        <v>0</v>
      </c>
      <c r="AA52" s="64">
        <f t="shared" si="1"/>
        <v>0</v>
      </c>
      <c r="AB52" s="64" t="str">
        <f>IF($B52="","",(COUNTIFS(Rships!$C$2:$C$9990,$A52,Rships!$D$2:$D$9990,1)))</f>
        <v/>
      </c>
      <c r="AC52" s="64" t="str">
        <f>IF($B52="","",(COUNTIFS(Rships!$C$2:$C$9990,$A52,Rships!$D$2:$D$9990,2)))</f>
        <v/>
      </c>
      <c r="AD52" s="64" t="str">
        <f>IF($B52="","",(COUNTIFS(Rships!$C$2:$C$9990,$A52,Rships!$D$2:$D$9990,3)))</f>
        <v/>
      </c>
      <c r="AE52" s="64" t="str">
        <f>IF($B52="","",(COUNTIFS(Rships!$C$2:$C$9990,$A52,Rships!$D$2:$D$9990,4)))</f>
        <v/>
      </c>
      <c r="AF52" s="64" t="str">
        <f>IF($B52="","",(COUNTIFS(Rships!$C$2:$C$9990,$A52,Rships!$D$2:$D$9990,5)))</f>
        <v/>
      </c>
      <c r="AG52" s="64" t="str">
        <f>IF($B52="","",(COUNTIFS(Rships!$C$2:$C$9990,$A52,Rships!$D$2:$D$9990,6)))</f>
        <v/>
      </c>
      <c r="AH52" s="64" t="str">
        <f>IF($B52="","",(COUNTIFS(Rships!$C$2:$C$9990,$A52,Rships!$D$2:$D$9990,7)))</f>
        <v/>
      </c>
    </row>
    <row r="53" spans="1:34">
      <c r="A53" s="1" t="s">
        <v>305</v>
      </c>
      <c r="C53" s="11" t="s">
        <v>19</v>
      </c>
      <c r="D53" s="11" t="s">
        <v>21</v>
      </c>
      <c r="F53" s="15"/>
      <c r="G53" s="15"/>
      <c r="I53" s="17"/>
      <c r="O53" s="11" t="s">
        <v>27</v>
      </c>
      <c r="Y53" s="64">
        <f t="shared" si="2"/>
        <v>0</v>
      </c>
      <c r="AA53" s="64">
        <f t="shared" si="1"/>
        <v>0</v>
      </c>
      <c r="AB53" s="64" t="str">
        <f>IF($B53="","",(COUNTIFS(Rships!$C$2:$C$9990,$A53,Rships!$D$2:$D$9990,1)))</f>
        <v/>
      </c>
      <c r="AC53" s="64" t="str">
        <f>IF($B53="","",(COUNTIFS(Rships!$C$2:$C$9990,$A53,Rships!$D$2:$D$9990,2)))</f>
        <v/>
      </c>
      <c r="AD53" s="64" t="str">
        <f>IF($B53="","",(COUNTIFS(Rships!$C$2:$C$9990,$A53,Rships!$D$2:$D$9990,3)))</f>
        <v/>
      </c>
      <c r="AE53" s="64" t="str">
        <f>IF($B53="","",(COUNTIFS(Rships!$C$2:$C$9990,$A53,Rships!$D$2:$D$9990,4)))</f>
        <v/>
      </c>
      <c r="AF53" s="64" t="str">
        <f>IF($B53="","",(COUNTIFS(Rships!$C$2:$C$9990,$A53,Rships!$D$2:$D$9990,5)))</f>
        <v/>
      </c>
      <c r="AG53" s="64" t="str">
        <f>IF($B53="","",(COUNTIFS(Rships!$C$2:$C$9990,$A53,Rships!$D$2:$D$9990,6)))</f>
        <v/>
      </c>
      <c r="AH53" s="64" t="str">
        <f>IF($B53="","",(COUNTIFS(Rships!$C$2:$C$9990,$A53,Rships!$D$2:$D$9990,7)))</f>
        <v/>
      </c>
    </row>
    <row r="54" spans="1:34">
      <c r="A54" s="1" t="s">
        <v>306</v>
      </c>
      <c r="C54" s="11" t="s">
        <v>19</v>
      </c>
      <c r="D54" s="11" t="s">
        <v>21</v>
      </c>
      <c r="F54" s="15"/>
      <c r="G54" s="15"/>
      <c r="I54" s="17"/>
      <c r="O54" s="11" t="s">
        <v>27</v>
      </c>
      <c r="Y54" s="64">
        <f t="shared" si="2"/>
        <v>0</v>
      </c>
      <c r="AA54" s="64">
        <f t="shared" si="1"/>
        <v>0</v>
      </c>
      <c r="AB54" s="64" t="str">
        <f>IF($B54="","",(COUNTIFS(Rships!$C$2:$C$9990,$A54,Rships!$D$2:$D$9990,1)))</f>
        <v/>
      </c>
      <c r="AC54" s="64" t="str">
        <f>IF($B54="","",(COUNTIFS(Rships!$C$2:$C$9990,$A54,Rships!$D$2:$D$9990,2)))</f>
        <v/>
      </c>
      <c r="AD54" s="64" t="str">
        <f>IF($B54="","",(COUNTIFS(Rships!$C$2:$C$9990,$A54,Rships!$D$2:$D$9990,3)))</f>
        <v/>
      </c>
      <c r="AE54" s="64" t="str">
        <f>IF($B54="","",(COUNTIFS(Rships!$C$2:$C$9990,$A54,Rships!$D$2:$D$9990,4)))</f>
        <v/>
      </c>
      <c r="AF54" s="64" t="str">
        <f>IF($B54="","",(COUNTIFS(Rships!$C$2:$C$9990,$A54,Rships!$D$2:$D$9990,5)))</f>
        <v/>
      </c>
      <c r="AG54" s="64" t="str">
        <f>IF($B54="","",(COUNTIFS(Rships!$C$2:$C$9990,$A54,Rships!$D$2:$D$9990,6)))</f>
        <v/>
      </c>
      <c r="AH54" s="64" t="str">
        <f>IF($B54="","",(COUNTIFS(Rships!$C$2:$C$9990,$A54,Rships!$D$2:$D$9990,7)))</f>
        <v/>
      </c>
    </row>
    <row r="55" spans="1:34">
      <c r="A55" s="1" t="s">
        <v>307</v>
      </c>
      <c r="C55" s="11" t="s">
        <v>19</v>
      </c>
      <c r="D55" s="11" t="s">
        <v>21</v>
      </c>
      <c r="F55" s="15"/>
      <c r="G55" s="15"/>
      <c r="I55" s="17"/>
      <c r="O55" s="11" t="s">
        <v>27</v>
      </c>
      <c r="Y55" s="64">
        <f t="shared" si="2"/>
        <v>0</v>
      </c>
      <c r="AA55" s="64">
        <f t="shared" si="1"/>
        <v>0</v>
      </c>
      <c r="AB55" s="64" t="str">
        <f>IF($B55="","",(COUNTIFS(Rships!$C$2:$C$9990,$A55,Rships!$D$2:$D$9990,1)))</f>
        <v/>
      </c>
      <c r="AC55" s="64" t="str">
        <f>IF($B55="","",(COUNTIFS(Rships!$C$2:$C$9990,$A55,Rships!$D$2:$D$9990,2)))</f>
        <v/>
      </c>
      <c r="AD55" s="64" t="str">
        <f>IF($B55="","",(COUNTIFS(Rships!$C$2:$C$9990,$A55,Rships!$D$2:$D$9990,3)))</f>
        <v/>
      </c>
      <c r="AE55" s="64" t="str">
        <f>IF($B55="","",(COUNTIFS(Rships!$C$2:$C$9990,$A55,Rships!$D$2:$D$9990,4)))</f>
        <v/>
      </c>
      <c r="AF55" s="64" t="str">
        <f>IF($B55="","",(COUNTIFS(Rships!$C$2:$C$9990,$A55,Rships!$D$2:$D$9990,5)))</f>
        <v/>
      </c>
      <c r="AG55" s="64" t="str">
        <f>IF($B55="","",(COUNTIFS(Rships!$C$2:$C$9990,$A55,Rships!$D$2:$D$9990,6)))</f>
        <v/>
      </c>
      <c r="AH55" s="64" t="str">
        <f>IF($B55="","",(COUNTIFS(Rships!$C$2:$C$9990,$A55,Rships!$D$2:$D$9990,7)))</f>
        <v/>
      </c>
    </row>
    <row r="56" spans="1:34">
      <c r="A56" s="1" t="s">
        <v>308</v>
      </c>
      <c r="C56" s="11" t="s">
        <v>19</v>
      </c>
      <c r="D56" s="11" t="s">
        <v>21</v>
      </c>
      <c r="F56" s="15"/>
      <c r="G56" s="15"/>
      <c r="I56" s="17"/>
      <c r="O56" s="11" t="s">
        <v>27</v>
      </c>
      <c r="Y56" s="64">
        <f t="shared" si="2"/>
        <v>0</v>
      </c>
      <c r="AA56" s="64">
        <f t="shared" si="1"/>
        <v>0</v>
      </c>
      <c r="AB56" s="64" t="str">
        <f>IF($B56="","",(COUNTIFS(Rships!$C$2:$C$9990,$A56,Rships!$D$2:$D$9990,1)))</f>
        <v/>
      </c>
      <c r="AC56" s="64" t="str">
        <f>IF($B56="","",(COUNTIFS(Rships!$C$2:$C$9990,$A56,Rships!$D$2:$D$9990,2)))</f>
        <v/>
      </c>
      <c r="AD56" s="64" t="str">
        <f>IF($B56="","",(COUNTIFS(Rships!$C$2:$C$9990,$A56,Rships!$D$2:$D$9990,3)))</f>
        <v/>
      </c>
      <c r="AE56" s="64" t="str">
        <f>IF($B56="","",(COUNTIFS(Rships!$C$2:$C$9990,$A56,Rships!$D$2:$D$9990,4)))</f>
        <v/>
      </c>
      <c r="AF56" s="64" t="str">
        <f>IF($B56="","",(COUNTIFS(Rships!$C$2:$C$9990,$A56,Rships!$D$2:$D$9990,5)))</f>
        <v/>
      </c>
      <c r="AG56" s="64" t="str">
        <f>IF($B56="","",(COUNTIFS(Rships!$C$2:$C$9990,$A56,Rships!$D$2:$D$9990,6)))</f>
        <v/>
      </c>
      <c r="AH56" s="64" t="str">
        <f>IF($B56="","",(COUNTIFS(Rships!$C$2:$C$9990,$A56,Rships!$D$2:$D$9990,7)))</f>
        <v/>
      </c>
    </row>
    <row r="57" spans="1:34">
      <c r="A57" s="1" t="s">
        <v>309</v>
      </c>
      <c r="C57" s="11" t="s">
        <v>19</v>
      </c>
      <c r="D57" s="11" t="s">
        <v>21</v>
      </c>
      <c r="F57" s="15"/>
      <c r="G57" s="15"/>
      <c r="I57" s="17"/>
      <c r="O57" s="11" t="s">
        <v>27</v>
      </c>
      <c r="Y57" s="64">
        <f t="shared" si="2"/>
        <v>0</v>
      </c>
      <c r="AA57" s="64">
        <f t="shared" si="1"/>
        <v>0</v>
      </c>
      <c r="AB57" s="64" t="str">
        <f>IF($B57="","",(COUNTIFS(Rships!$C$2:$C$9990,$A57,Rships!$D$2:$D$9990,1)))</f>
        <v/>
      </c>
      <c r="AC57" s="64" t="str">
        <f>IF($B57="","",(COUNTIFS(Rships!$C$2:$C$9990,$A57,Rships!$D$2:$D$9990,2)))</f>
        <v/>
      </c>
      <c r="AD57" s="64" t="str">
        <f>IF($B57="","",(COUNTIFS(Rships!$C$2:$C$9990,$A57,Rships!$D$2:$D$9990,3)))</f>
        <v/>
      </c>
      <c r="AE57" s="64" t="str">
        <f>IF($B57="","",(COUNTIFS(Rships!$C$2:$C$9990,$A57,Rships!$D$2:$D$9990,4)))</f>
        <v/>
      </c>
      <c r="AF57" s="64" t="str">
        <f>IF($B57="","",(COUNTIFS(Rships!$C$2:$C$9990,$A57,Rships!$D$2:$D$9990,5)))</f>
        <v/>
      </c>
      <c r="AG57" s="64" t="str">
        <f>IF($B57="","",(COUNTIFS(Rships!$C$2:$C$9990,$A57,Rships!$D$2:$D$9990,6)))</f>
        <v/>
      </c>
      <c r="AH57" s="64" t="str">
        <f>IF($B57="","",(COUNTIFS(Rships!$C$2:$C$9990,$A57,Rships!$D$2:$D$9990,7)))</f>
        <v/>
      </c>
    </row>
    <row r="58" spans="1:34">
      <c r="A58" s="1" t="s">
        <v>310</v>
      </c>
      <c r="C58" s="11" t="s">
        <v>19</v>
      </c>
      <c r="D58" s="11" t="s">
        <v>21</v>
      </c>
      <c r="F58" s="15"/>
      <c r="G58" s="15"/>
      <c r="I58" s="17"/>
      <c r="O58" s="11" t="s">
        <v>27</v>
      </c>
      <c r="Y58" s="64">
        <f t="shared" si="2"/>
        <v>0</v>
      </c>
      <c r="AA58" s="64">
        <f t="shared" si="1"/>
        <v>0</v>
      </c>
      <c r="AB58" s="64" t="str">
        <f>IF($B58="","",(COUNTIFS(Rships!$C$2:$C$9990,$A58,Rships!$D$2:$D$9990,1)))</f>
        <v/>
      </c>
      <c r="AC58" s="64" t="str">
        <f>IF($B58="","",(COUNTIFS(Rships!$C$2:$C$9990,$A58,Rships!$D$2:$D$9990,2)))</f>
        <v/>
      </c>
      <c r="AD58" s="64" t="str">
        <f>IF($B58="","",(COUNTIFS(Rships!$C$2:$C$9990,$A58,Rships!$D$2:$D$9990,3)))</f>
        <v/>
      </c>
      <c r="AE58" s="64" t="str">
        <f>IF($B58="","",(COUNTIFS(Rships!$C$2:$C$9990,$A58,Rships!$D$2:$D$9990,4)))</f>
        <v/>
      </c>
      <c r="AF58" s="64" t="str">
        <f>IF($B58="","",(COUNTIFS(Rships!$C$2:$C$9990,$A58,Rships!$D$2:$D$9990,5)))</f>
        <v/>
      </c>
      <c r="AG58" s="64" t="str">
        <f>IF($B58="","",(COUNTIFS(Rships!$C$2:$C$9990,$A58,Rships!$D$2:$D$9990,6)))</f>
        <v/>
      </c>
      <c r="AH58" s="64" t="str">
        <f>IF($B58="","",(COUNTIFS(Rships!$C$2:$C$9990,$A58,Rships!$D$2:$D$9990,7)))</f>
        <v/>
      </c>
    </row>
    <row r="59" spans="1:34">
      <c r="A59" s="1" t="s">
        <v>311</v>
      </c>
      <c r="C59" s="11" t="s">
        <v>19</v>
      </c>
      <c r="D59" s="11" t="s">
        <v>21</v>
      </c>
      <c r="F59" s="15"/>
      <c r="G59" s="15"/>
      <c r="I59" s="17"/>
      <c r="O59" s="11" t="s">
        <v>27</v>
      </c>
      <c r="Y59" s="64">
        <f t="shared" si="2"/>
        <v>0</v>
      </c>
      <c r="AA59" s="64">
        <f t="shared" si="1"/>
        <v>0</v>
      </c>
      <c r="AB59" s="64" t="str">
        <f>IF($B59="","",(COUNTIFS(Rships!$C$2:$C$9990,$A59,Rships!$D$2:$D$9990,1)))</f>
        <v/>
      </c>
      <c r="AC59" s="64" t="str">
        <f>IF($B59="","",(COUNTIFS(Rships!$C$2:$C$9990,$A59,Rships!$D$2:$D$9990,2)))</f>
        <v/>
      </c>
      <c r="AD59" s="64" t="str">
        <f>IF($B59="","",(COUNTIFS(Rships!$C$2:$C$9990,$A59,Rships!$D$2:$D$9990,3)))</f>
        <v/>
      </c>
      <c r="AE59" s="64" t="str">
        <f>IF($B59="","",(COUNTIFS(Rships!$C$2:$C$9990,$A59,Rships!$D$2:$D$9990,4)))</f>
        <v/>
      </c>
      <c r="AF59" s="64" t="str">
        <f>IF($B59="","",(COUNTIFS(Rships!$C$2:$C$9990,$A59,Rships!$D$2:$D$9990,5)))</f>
        <v/>
      </c>
      <c r="AG59" s="64" t="str">
        <f>IF($B59="","",(COUNTIFS(Rships!$C$2:$C$9990,$A59,Rships!$D$2:$D$9990,6)))</f>
        <v/>
      </c>
      <c r="AH59" s="64" t="str">
        <f>IF($B59="","",(COUNTIFS(Rships!$C$2:$C$9990,$A59,Rships!$D$2:$D$9990,7)))</f>
        <v/>
      </c>
    </row>
    <row r="60" spans="1:34">
      <c r="A60" s="1" t="s">
        <v>312</v>
      </c>
      <c r="C60" s="11" t="s">
        <v>19</v>
      </c>
      <c r="D60" s="11" t="s">
        <v>21</v>
      </c>
      <c r="F60" s="15"/>
      <c r="G60" s="15"/>
      <c r="I60" s="17"/>
      <c r="O60" s="11" t="s">
        <v>27</v>
      </c>
      <c r="Y60" s="64">
        <f t="shared" si="2"/>
        <v>0</v>
      </c>
      <c r="AA60" s="64">
        <f t="shared" si="1"/>
        <v>0</v>
      </c>
      <c r="AB60" s="64" t="str">
        <f>IF($B60="","",(COUNTIFS(Rships!$C$2:$C$9990,$A60,Rships!$D$2:$D$9990,1)))</f>
        <v/>
      </c>
      <c r="AC60" s="64" t="str">
        <f>IF($B60="","",(COUNTIFS(Rships!$C$2:$C$9990,$A60,Rships!$D$2:$D$9990,2)))</f>
        <v/>
      </c>
      <c r="AD60" s="64" t="str">
        <f>IF($B60="","",(COUNTIFS(Rships!$C$2:$C$9990,$A60,Rships!$D$2:$D$9990,3)))</f>
        <v/>
      </c>
      <c r="AE60" s="64" t="str">
        <f>IF($B60="","",(COUNTIFS(Rships!$C$2:$C$9990,$A60,Rships!$D$2:$D$9990,4)))</f>
        <v/>
      </c>
      <c r="AF60" s="64" t="str">
        <f>IF($B60="","",(COUNTIFS(Rships!$C$2:$C$9990,$A60,Rships!$D$2:$D$9990,5)))</f>
        <v/>
      </c>
      <c r="AG60" s="64" t="str">
        <f>IF($B60="","",(COUNTIFS(Rships!$C$2:$C$9990,$A60,Rships!$D$2:$D$9990,6)))</f>
        <v/>
      </c>
      <c r="AH60" s="64" t="str">
        <f>IF($B60="","",(COUNTIFS(Rships!$C$2:$C$9990,$A60,Rships!$D$2:$D$9990,7)))</f>
        <v/>
      </c>
    </row>
    <row r="61" spans="1:34">
      <c r="A61" s="1" t="s">
        <v>313</v>
      </c>
      <c r="C61" s="11" t="s">
        <v>19</v>
      </c>
      <c r="D61" s="11" t="s">
        <v>21</v>
      </c>
      <c r="F61" s="15"/>
      <c r="G61" s="15"/>
      <c r="I61" s="17"/>
      <c r="O61" s="11" t="s">
        <v>27</v>
      </c>
      <c r="Y61" s="64">
        <f t="shared" si="2"/>
        <v>0</v>
      </c>
      <c r="AA61" s="64">
        <f t="shared" si="1"/>
        <v>0</v>
      </c>
      <c r="AB61" s="64" t="str">
        <f>IF($B61="","",(COUNTIFS(Rships!$C$2:$C$9990,$A61,Rships!$D$2:$D$9990,1)))</f>
        <v/>
      </c>
      <c r="AC61" s="64" t="str">
        <f>IF($B61="","",(COUNTIFS(Rships!$C$2:$C$9990,$A61,Rships!$D$2:$D$9990,2)))</f>
        <v/>
      </c>
      <c r="AD61" s="64" t="str">
        <f>IF($B61="","",(COUNTIFS(Rships!$C$2:$C$9990,$A61,Rships!$D$2:$D$9990,3)))</f>
        <v/>
      </c>
      <c r="AE61" s="64" t="str">
        <f>IF($B61="","",(COUNTIFS(Rships!$C$2:$C$9990,$A61,Rships!$D$2:$D$9990,4)))</f>
        <v/>
      </c>
      <c r="AF61" s="64" t="str">
        <f>IF($B61="","",(COUNTIFS(Rships!$C$2:$C$9990,$A61,Rships!$D$2:$D$9990,5)))</f>
        <v/>
      </c>
      <c r="AG61" s="64" t="str">
        <f>IF($B61="","",(COUNTIFS(Rships!$C$2:$C$9990,$A61,Rships!$D$2:$D$9990,6)))</f>
        <v/>
      </c>
      <c r="AH61" s="64" t="str">
        <f>IF($B61="","",(COUNTIFS(Rships!$C$2:$C$9990,$A61,Rships!$D$2:$D$9990,7)))</f>
        <v/>
      </c>
    </row>
    <row r="62" spans="1:34">
      <c r="A62" s="1" t="s">
        <v>314</v>
      </c>
      <c r="C62" s="11" t="s">
        <v>19</v>
      </c>
      <c r="D62" s="11" t="s">
        <v>21</v>
      </c>
      <c r="F62" s="15"/>
      <c r="G62" s="15"/>
      <c r="I62" s="17"/>
      <c r="O62" s="11" t="s">
        <v>27</v>
      </c>
      <c r="Y62" s="64">
        <f t="shared" si="2"/>
        <v>0</v>
      </c>
      <c r="AA62" s="64">
        <f t="shared" si="1"/>
        <v>0</v>
      </c>
      <c r="AB62" s="64" t="str">
        <f>IF($B62="","",(COUNTIFS(Rships!$C$2:$C$9990,$A62,Rships!$D$2:$D$9990,1)))</f>
        <v/>
      </c>
      <c r="AC62" s="64" t="str">
        <f>IF($B62="","",(COUNTIFS(Rships!$C$2:$C$9990,$A62,Rships!$D$2:$D$9990,2)))</f>
        <v/>
      </c>
      <c r="AD62" s="64" t="str">
        <f>IF($B62="","",(COUNTIFS(Rships!$C$2:$C$9990,$A62,Rships!$D$2:$D$9990,3)))</f>
        <v/>
      </c>
      <c r="AE62" s="64" t="str">
        <f>IF($B62="","",(COUNTIFS(Rships!$C$2:$C$9990,$A62,Rships!$D$2:$D$9990,4)))</f>
        <v/>
      </c>
      <c r="AF62" s="64" t="str">
        <f>IF($B62="","",(COUNTIFS(Rships!$C$2:$C$9990,$A62,Rships!$D$2:$D$9990,5)))</f>
        <v/>
      </c>
      <c r="AG62" s="64" t="str">
        <f>IF($B62="","",(COUNTIFS(Rships!$C$2:$C$9990,$A62,Rships!$D$2:$D$9990,6)))</f>
        <v/>
      </c>
      <c r="AH62" s="64" t="str">
        <f>IF($B62="","",(COUNTIFS(Rships!$C$2:$C$9990,$A62,Rships!$D$2:$D$9990,7)))</f>
        <v/>
      </c>
    </row>
    <row r="63" spans="1:34">
      <c r="A63" s="1" t="s">
        <v>315</v>
      </c>
      <c r="C63" s="11" t="s">
        <v>19</v>
      </c>
      <c r="D63" s="11" t="s">
        <v>21</v>
      </c>
      <c r="F63" s="15"/>
      <c r="G63" s="15"/>
      <c r="I63" s="17"/>
      <c r="O63" s="11" t="s">
        <v>27</v>
      </c>
      <c r="Y63" s="64">
        <f t="shared" si="2"/>
        <v>0</v>
      </c>
      <c r="AA63" s="64">
        <f t="shared" si="1"/>
        <v>0</v>
      </c>
      <c r="AB63" s="64" t="str">
        <f>IF($B63="","",(COUNTIFS(Rships!$C$2:$C$9990,$A63,Rships!$D$2:$D$9990,1)))</f>
        <v/>
      </c>
      <c r="AC63" s="64" t="str">
        <f>IF($B63="","",(COUNTIFS(Rships!$C$2:$C$9990,$A63,Rships!$D$2:$D$9990,2)))</f>
        <v/>
      </c>
      <c r="AD63" s="64" t="str">
        <f>IF($B63="","",(COUNTIFS(Rships!$C$2:$C$9990,$A63,Rships!$D$2:$D$9990,3)))</f>
        <v/>
      </c>
      <c r="AE63" s="64" t="str">
        <f>IF($B63="","",(COUNTIFS(Rships!$C$2:$C$9990,$A63,Rships!$D$2:$D$9990,4)))</f>
        <v/>
      </c>
      <c r="AF63" s="64" t="str">
        <f>IF($B63="","",(COUNTIFS(Rships!$C$2:$C$9990,$A63,Rships!$D$2:$D$9990,5)))</f>
        <v/>
      </c>
      <c r="AG63" s="64" t="str">
        <f>IF($B63="","",(COUNTIFS(Rships!$C$2:$C$9990,$A63,Rships!$D$2:$D$9990,6)))</f>
        <v/>
      </c>
      <c r="AH63" s="64" t="str">
        <f>IF($B63="","",(COUNTIFS(Rships!$C$2:$C$9990,$A63,Rships!$D$2:$D$9990,7)))</f>
        <v/>
      </c>
    </row>
    <row r="64" spans="1:34">
      <c r="A64" s="1" t="s">
        <v>316</v>
      </c>
      <c r="C64" s="11" t="s">
        <v>19</v>
      </c>
      <c r="D64" s="11" t="s">
        <v>21</v>
      </c>
      <c r="F64" s="15"/>
      <c r="G64" s="15"/>
      <c r="I64" s="17"/>
      <c r="O64" s="11" t="s">
        <v>27</v>
      </c>
      <c r="Y64" s="64">
        <f t="shared" si="2"/>
        <v>0</v>
      </c>
      <c r="AA64" s="64">
        <f t="shared" si="1"/>
        <v>0</v>
      </c>
      <c r="AB64" s="64" t="str">
        <f>IF($B64="","",(COUNTIFS(Rships!$C$2:$C$9990,$A64,Rships!$D$2:$D$9990,1)))</f>
        <v/>
      </c>
      <c r="AC64" s="64" t="str">
        <f>IF($B64="","",(COUNTIFS(Rships!$C$2:$C$9990,$A64,Rships!$D$2:$D$9990,2)))</f>
        <v/>
      </c>
      <c r="AD64" s="64" t="str">
        <f>IF($B64="","",(COUNTIFS(Rships!$C$2:$C$9990,$A64,Rships!$D$2:$D$9990,3)))</f>
        <v/>
      </c>
      <c r="AE64" s="64" t="str">
        <f>IF($B64="","",(COUNTIFS(Rships!$C$2:$C$9990,$A64,Rships!$D$2:$D$9990,4)))</f>
        <v/>
      </c>
      <c r="AF64" s="64" t="str">
        <f>IF($B64="","",(COUNTIFS(Rships!$C$2:$C$9990,$A64,Rships!$D$2:$D$9990,5)))</f>
        <v/>
      </c>
      <c r="AG64" s="64" t="str">
        <f>IF($B64="","",(COUNTIFS(Rships!$C$2:$C$9990,$A64,Rships!$D$2:$D$9990,6)))</f>
        <v/>
      </c>
      <c r="AH64" s="64" t="str">
        <f>IF($B64="","",(COUNTIFS(Rships!$C$2:$C$9990,$A64,Rships!$D$2:$D$9990,7)))</f>
        <v/>
      </c>
    </row>
    <row r="65" spans="1:34">
      <c r="A65" s="1" t="s">
        <v>317</v>
      </c>
      <c r="C65" s="11" t="s">
        <v>19</v>
      </c>
      <c r="D65" s="11" t="s">
        <v>21</v>
      </c>
      <c r="F65" s="15"/>
      <c r="G65" s="15"/>
      <c r="I65" s="17"/>
      <c r="O65" s="11" t="s">
        <v>27</v>
      </c>
      <c r="Y65" s="64">
        <f t="shared" si="2"/>
        <v>0</v>
      </c>
      <c r="AA65" s="64">
        <f t="shared" si="1"/>
        <v>0</v>
      </c>
      <c r="AB65" s="64" t="str">
        <f>IF($B65="","",(COUNTIFS(Rships!$C$2:$C$9990,$A65,Rships!$D$2:$D$9990,1)))</f>
        <v/>
      </c>
      <c r="AC65" s="64" t="str">
        <f>IF($B65="","",(COUNTIFS(Rships!$C$2:$C$9990,$A65,Rships!$D$2:$D$9990,2)))</f>
        <v/>
      </c>
      <c r="AD65" s="64" t="str">
        <f>IF($B65="","",(COUNTIFS(Rships!$C$2:$C$9990,$A65,Rships!$D$2:$D$9990,3)))</f>
        <v/>
      </c>
      <c r="AE65" s="64" t="str">
        <f>IF($B65="","",(COUNTIFS(Rships!$C$2:$C$9990,$A65,Rships!$D$2:$D$9990,4)))</f>
        <v/>
      </c>
      <c r="AF65" s="64" t="str">
        <f>IF($B65="","",(COUNTIFS(Rships!$C$2:$C$9990,$A65,Rships!$D$2:$D$9990,5)))</f>
        <v/>
      </c>
      <c r="AG65" s="64" t="str">
        <f>IF($B65="","",(COUNTIFS(Rships!$C$2:$C$9990,$A65,Rships!$D$2:$D$9990,6)))</f>
        <v/>
      </c>
      <c r="AH65" s="64" t="str">
        <f>IF($B65="","",(COUNTIFS(Rships!$C$2:$C$9990,$A65,Rships!$D$2:$D$9990,7)))</f>
        <v/>
      </c>
    </row>
    <row r="66" spans="1:34">
      <c r="A66" s="1" t="s">
        <v>318</v>
      </c>
      <c r="C66" s="11" t="s">
        <v>19</v>
      </c>
      <c r="D66" s="11" t="s">
        <v>21</v>
      </c>
      <c r="F66" s="15"/>
      <c r="G66" s="15"/>
      <c r="I66" s="17"/>
      <c r="O66" s="11" t="s">
        <v>27</v>
      </c>
      <c r="Y66" s="64">
        <f t="shared" si="2"/>
        <v>0</v>
      </c>
      <c r="AA66" s="64">
        <f t="shared" si="1"/>
        <v>0</v>
      </c>
      <c r="AB66" s="64" t="str">
        <f>IF($B66="","",(COUNTIFS(Rships!$C$2:$C$9990,$A66,Rships!$D$2:$D$9990,1)))</f>
        <v/>
      </c>
      <c r="AC66" s="64" t="str">
        <f>IF($B66="","",(COUNTIFS(Rships!$C$2:$C$9990,$A66,Rships!$D$2:$D$9990,2)))</f>
        <v/>
      </c>
      <c r="AD66" s="64" t="str">
        <f>IF($B66="","",(COUNTIFS(Rships!$C$2:$C$9990,$A66,Rships!$D$2:$D$9990,3)))</f>
        <v/>
      </c>
      <c r="AE66" s="64" t="str">
        <f>IF($B66="","",(COUNTIFS(Rships!$C$2:$C$9990,$A66,Rships!$D$2:$D$9990,4)))</f>
        <v/>
      </c>
      <c r="AF66" s="64" t="str">
        <f>IF($B66="","",(COUNTIFS(Rships!$C$2:$C$9990,$A66,Rships!$D$2:$D$9990,5)))</f>
        <v/>
      </c>
      <c r="AG66" s="64" t="str">
        <f>IF($B66="","",(COUNTIFS(Rships!$C$2:$C$9990,$A66,Rships!$D$2:$D$9990,6)))</f>
        <v/>
      </c>
      <c r="AH66" s="64" t="str">
        <f>IF($B66="","",(COUNTIFS(Rships!$C$2:$C$9990,$A66,Rships!$D$2:$D$9990,7)))</f>
        <v/>
      </c>
    </row>
    <row r="67" spans="1:34">
      <c r="A67" s="1" t="s">
        <v>319</v>
      </c>
      <c r="C67" s="11" t="s">
        <v>19</v>
      </c>
      <c r="D67" s="11" t="s">
        <v>21</v>
      </c>
      <c r="F67" s="15"/>
      <c r="G67" s="15"/>
      <c r="I67" s="17"/>
      <c r="O67" s="11" t="s">
        <v>27</v>
      </c>
      <c r="Y67" s="64">
        <f t="shared" si="2"/>
        <v>0</v>
      </c>
      <c r="AA67" s="64">
        <f t="shared" ref="AA67:AA130" si="3">SUM($AB67:$AH67)</f>
        <v>0</v>
      </c>
      <c r="AB67" s="64" t="str">
        <f>IF($B67="","",(COUNTIFS(Rships!$C$2:$C$9990,$A67,Rships!$D$2:$D$9990,1)))</f>
        <v/>
      </c>
      <c r="AC67" s="64" t="str">
        <f>IF($B67="","",(COUNTIFS(Rships!$C$2:$C$9990,$A67,Rships!$D$2:$D$9990,2)))</f>
        <v/>
      </c>
      <c r="AD67" s="64" t="str">
        <f>IF($B67="","",(COUNTIFS(Rships!$C$2:$C$9990,$A67,Rships!$D$2:$D$9990,3)))</f>
        <v/>
      </c>
      <c r="AE67" s="64" t="str">
        <f>IF($B67="","",(COUNTIFS(Rships!$C$2:$C$9990,$A67,Rships!$D$2:$D$9990,4)))</f>
        <v/>
      </c>
      <c r="AF67" s="64" t="str">
        <f>IF($B67="","",(COUNTIFS(Rships!$C$2:$C$9990,$A67,Rships!$D$2:$D$9990,5)))</f>
        <v/>
      </c>
      <c r="AG67" s="64" t="str">
        <f>IF($B67="","",(COUNTIFS(Rships!$C$2:$C$9990,$A67,Rships!$D$2:$D$9990,6)))</f>
        <v/>
      </c>
      <c r="AH67" s="64" t="str">
        <f>IF($B67="","",(COUNTIFS(Rships!$C$2:$C$9990,$A67,Rships!$D$2:$D$9990,7)))</f>
        <v/>
      </c>
    </row>
    <row r="68" spans="1:34">
      <c r="A68" s="1" t="s">
        <v>320</v>
      </c>
      <c r="C68" s="11" t="s">
        <v>19</v>
      </c>
      <c r="D68" s="11" t="s">
        <v>21</v>
      </c>
      <c r="F68" s="15"/>
      <c r="G68" s="15"/>
      <c r="I68" s="17"/>
      <c r="O68" s="11" t="s">
        <v>27</v>
      </c>
      <c r="Y68" s="64">
        <f t="shared" si="2"/>
        <v>0</v>
      </c>
      <c r="AA68" s="64">
        <f t="shared" si="3"/>
        <v>0</v>
      </c>
      <c r="AB68" s="64" t="str">
        <f>IF($B68="","",(COUNTIFS(Rships!$C$2:$C$9990,$A68,Rships!$D$2:$D$9990,1)))</f>
        <v/>
      </c>
      <c r="AC68" s="64" t="str">
        <f>IF($B68="","",(COUNTIFS(Rships!$C$2:$C$9990,$A68,Rships!$D$2:$D$9990,2)))</f>
        <v/>
      </c>
      <c r="AD68" s="64" t="str">
        <f>IF($B68="","",(COUNTIFS(Rships!$C$2:$C$9990,$A68,Rships!$D$2:$D$9990,3)))</f>
        <v/>
      </c>
      <c r="AE68" s="64" t="str">
        <f>IF($B68="","",(COUNTIFS(Rships!$C$2:$C$9990,$A68,Rships!$D$2:$D$9990,4)))</f>
        <v/>
      </c>
      <c r="AF68" s="64" t="str">
        <f>IF($B68="","",(COUNTIFS(Rships!$C$2:$C$9990,$A68,Rships!$D$2:$D$9990,5)))</f>
        <v/>
      </c>
      <c r="AG68" s="64" t="str">
        <f>IF($B68="","",(COUNTIFS(Rships!$C$2:$C$9990,$A68,Rships!$D$2:$D$9990,6)))</f>
        <v/>
      </c>
      <c r="AH68" s="64" t="str">
        <f>IF($B68="","",(COUNTIFS(Rships!$C$2:$C$9990,$A68,Rships!$D$2:$D$9990,7)))</f>
        <v/>
      </c>
    </row>
    <row r="69" spans="1:34">
      <c r="A69" s="1" t="s">
        <v>321</v>
      </c>
      <c r="C69" s="11" t="s">
        <v>19</v>
      </c>
      <c r="D69" s="11" t="s">
        <v>21</v>
      </c>
      <c r="F69" s="15"/>
      <c r="G69" s="15"/>
      <c r="I69" s="17"/>
      <c r="O69" s="11" t="s">
        <v>27</v>
      </c>
      <c r="Y69" s="64">
        <f t="shared" si="2"/>
        <v>0</v>
      </c>
      <c r="AA69" s="64">
        <f t="shared" si="3"/>
        <v>0</v>
      </c>
      <c r="AB69" s="64" t="str">
        <f>IF($B69="","",(COUNTIFS(Rships!$C$2:$C$9990,$A69,Rships!$D$2:$D$9990,1)))</f>
        <v/>
      </c>
      <c r="AC69" s="64" t="str">
        <f>IF($B69="","",(COUNTIFS(Rships!$C$2:$C$9990,$A69,Rships!$D$2:$D$9990,2)))</f>
        <v/>
      </c>
      <c r="AD69" s="64" t="str">
        <f>IF($B69="","",(COUNTIFS(Rships!$C$2:$C$9990,$A69,Rships!$D$2:$D$9990,3)))</f>
        <v/>
      </c>
      <c r="AE69" s="64" t="str">
        <f>IF($B69="","",(COUNTIFS(Rships!$C$2:$C$9990,$A69,Rships!$D$2:$D$9990,4)))</f>
        <v/>
      </c>
      <c r="AF69" s="64" t="str">
        <f>IF($B69="","",(COUNTIFS(Rships!$C$2:$C$9990,$A69,Rships!$D$2:$D$9990,5)))</f>
        <v/>
      </c>
      <c r="AG69" s="64" t="str">
        <f>IF($B69="","",(COUNTIFS(Rships!$C$2:$C$9990,$A69,Rships!$D$2:$D$9990,6)))</f>
        <v/>
      </c>
      <c r="AH69" s="64" t="str">
        <f>IF($B69="","",(COUNTIFS(Rships!$C$2:$C$9990,$A69,Rships!$D$2:$D$9990,7)))</f>
        <v/>
      </c>
    </row>
    <row r="70" spans="1:34">
      <c r="A70" s="1" t="s">
        <v>322</v>
      </c>
      <c r="C70" s="11" t="s">
        <v>19</v>
      </c>
      <c r="D70" s="11" t="s">
        <v>21</v>
      </c>
      <c r="F70" s="15"/>
      <c r="G70" s="15"/>
      <c r="I70" s="17"/>
      <c r="O70" s="11" t="s">
        <v>27</v>
      </c>
      <c r="Y70" s="64">
        <f t="shared" si="2"/>
        <v>0</v>
      </c>
      <c r="AA70" s="64">
        <f t="shared" si="3"/>
        <v>0</v>
      </c>
      <c r="AB70" s="64" t="str">
        <f>IF($B70="","",(COUNTIFS(Rships!$C$2:$C$9990,$A70,Rships!$D$2:$D$9990,1)))</f>
        <v/>
      </c>
      <c r="AC70" s="64" t="str">
        <f>IF($B70="","",(COUNTIFS(Rships!$C$2:$C$9990,$A70,Rships!$D$2:$D$9990,2)))</f>
        <v/>
      </c>
      <c r="AD70" s="64" t="str">
        <f>IF($B70="","",(COUNTIFS(Rships!$C$2:$C$9990,$A70,Rships!$D$2:$D$9990,3)))</f>
        <v/>
      </c>
      <c r="AE70" s="64" t="str">
        <f>IF($B70="","",(COUNTIFS(Rships!$C$2:$C$9990,$A70,Rships!$D$2:$D$9990,4)))</f>
        <v/>
      </c>
      <c r="AF70" s="64" t="str">
        <f>IF($B70="","",(COUNTIFS(Rships!$C$2:$C$9990,$A70,Rships!$D$2:$D$9990,5)))</f>
        <v/>
      </c>
      <c r="AG70" s="64" t="str">
        <f>IF($B70="","",(COUNTIFS(Rships!$C$2:$C$9990,$A70,Rships!$D$2:$D$9990,6)))</f>
        <v/>
      </c>
      <c r="AH70" s="64" t="str">
        <f>IF($B70="","",(COUNTIFS(Rships!$C$2:$C$9990,$A70,Rships!$D$2:$D$9990,7)))</f>
        <v/>
      </c>
    </row>
    <row r="71" spans="1:34">
      <c r="A71" s="1" t="s">
        <v>323</v>
      </c>
      <c r="C71" s="11" t="s">
        <v>19</v>
      </c>
      <c r="D71" s="11" t="s">
        <v>21</v>
      </c>
      <c r="F71" s="15"/>
      <c r="G71" s="15"/>
      <c r="I71" s="17"/>
      <c r="O71" s="11" t="s">
        <v>27</v>
      </c>
      <c r="Y71" s="64">
        <f t="shared" si="2"/>
        <v>0</v>
      </c>
      <c r="AA71" s="64">
        <f t="shared" si="3"/>
        <v>0</v>
      </c>
      <c r="AB71" s="64" t="str">
        <f>IF($B71="","",(COUNTIFS(Rships!$C$2:$C$9990,$A71,Rships!$D$2:$D$9990,1)))</f>
        <v/>
      </c>
      <c r="AC71" s="64" t="str">
        <f>IF($B71="","",(COUNTIFS(Rships!$C$2:$C$9990,$A71,Rships!$D$2:$D$9990,2)))</f>
        <v/>
      </c>
      <c r="AD71" s="64" t="str">
        <f>IF($B71="","",(COUNTIFS(Rships!$C$2:$C$9990,$A71,Rships!$D$2:$D$9990,3)))</f>
        <v/>
      </c>
      <c r="AE71" s="64" t="str">
        <f>IF($B71="","",(COUNTIFS(Rships!$C$2:$C$9990,$A71,Rships!$D$2:$D$9990,4)))</f>
        <v/>
      </c>
      <c r="AF71" s="64" t="str">
        <f>IF($B71="","",(COUNTIFS(Rships!$C$2:$C$9990,$A71,Rships!$D$2:$D$9990,5)))</f>
        <v/>
      </c>
      <c r="AG71" s="64" t="str">
        <f>IF($B71="","",(COUNTIFS(Rships!$C$2:$C$9990,$A71,Rships!$D$2:$D$9990,6)))</f>
        <v/>
      </c>
      <c r="AH71" s="64" t="str">
        <f>IF($B71="","",(COUNTIFS(Rships!$C$2:$C$9990,$A71,Rships!$D$2:$D$9990,7)))</f>
        <v/>
      </c>
    </row>
    <row r="72" spans="1:34">
      <c r="A72" s="1" t="s">
        <v>324</v>
      </c>
      <c r="C72" s="11" t="s">
        <v>19</v>
      </c>
      <c r="D72" s="11" t="s">
        <v>21</v>
      </c>
      <c r="F72" s="15"/>
      <c r="G72" s="15"/>
      <c r="I72" s="17"/>
      <c r="O72" s="11" t="s">
        <v>27</v>
      </c>
      <c r="Y72" s="64">
        <f t="shared" si="2"/>
        <v>0</v>
      </c>
      <c r="AA72" s="64">
        <f t="shared" si="3"/>
        <v>0</v>
      </c>
      <c r="AB72" s="64" t="str">
        <f>IF($B72="","",(COUNTIFS(Rships!$C$2:$C$9990,$A72,Rships!$D$2:$D$9990,1)))</f>
        <v/>
      </c>
      <c r="AC72" s="64" t="str">
        <f>IF($B72="","",(COUNTIFS(Rships!$C$2:$C$9990,$A72,Rships!$D$2:$D$9990,2)))</f>
        <v/>
      </c>
      <c r="AD72" s="64" t="str">
        <f>IF($B72="","",(COUNTIFS(Rships!$C$2:$C$9990,$A72,Rships!$D$2:$D$9990,3)))</f>
        <v/>
      </c>
      <c r="AE72" s="64" t="str">
        <f>IF($B72="","",(COUNTIFS(Rships!$C$2:$C$9990,$A72,Rships!$D$2:$D$9990,4)))</f>
        <v/>
      </c>
      <c r="AF72" s="64" t="str">
        <f>IF($B72="","",(COUNTIFS(Rships!$C$2:$C$9990,$A72,Rships!$D$2:$D$9990,5)))</f>
        <v/>
      </c>
      <c r="AG72" s="64" t="str">
        <f>IF($B72="","",(COUNTIFS(Rships!$C$2:$C$9990,$A72,Rships!$D$2:$D$9990,6)))</f>
        <v/>
      </c>
      <c r="AH72" s="64" t="str">
        <f>IF($B72="","",(COUNTIFS(Rships!$C$2:$C$9990,$A72,Rships!$D$2:$D$9990,7)))</f>
        <v/>
      </c>
    </row>
    <row r="73" spans="1:34">
      <c r="A73" s="1" t="s">
        <v>325</v>
      </c>
      <c r="C73" s="11" t="s">
        <v>19</v>
      </c>
      <c r="D73" s="11" t="s">
        <v>21</v>
      </c>
      <c r="F73" s="15"/>
      <c r="G73" s="15"/>
      <c r="I73" s="17"/>
      <c r="O73" s="11" t="s">
        <v>27</v>
      </c>
      <c r="Y73" s="64">
        <f t="shared" si="2"/>
        <v>0</v>
      </c>
      <c r="AA73" s="64">
        <f t="shared" si="3"/>
        <v>0</v>
      </c>
      <c r="AB73" s="64" t="str">
        <f>IF($B73="","",(COUNTIFS(Rships!$C$2:$C$9990,$A73,Rships!$D$2:$D$9990,1)))</f>
        <v/>
      </c>
      <c r="AC73" s="64" t="str">
        <f>IF($B73="","",(COUNTIFS(Rships!$C$2:$C$9990,$A73,Rships!$D$2:$D$9990,2)))</f>
        <v/>
      </c>
      <c r="AD73" s="64" t="str">
        <f>IF($B73="","",(COUNTIFS(Rships!$C$2:$C$9990,$A73,Rships!$D$2:$D$9990,3)))</f>
        <v/>
      </c>
      <c r="AE73" s="64" t="str">
        <f>IF($B73="","",(COUNTIFS(Rships!$C$2:$C$9990,$A73,Rships!$D$2:$D$9990,4)))</f>
        <v/>
      </c>
      <c r="AF73" s="64" t="str">
        <f>IF($B73="","",(COUNTIFS(Rships!$C$2:$C$9990,$A73,Rships!$D$2:$D$9990,5)))</f>
        <v/>
      </c>
      <c r="AG73" s="64" t="str">
        <f>IF($B73="","",(COUNTIFS(Rships!$C$2:$C$9990,$A73,Rships!$D$2:$D$9990,6)))</f>
        <v/>
      </c>
      <c r="AH73" s="64" t="str">
        <f>IF($B73="","",(COUNTIFS(Rships!$C$2:$C$9990,$A73,Rships!$D$2:$D$9990,7)))</f>
        <v/>
      </c>
    </row>
    <row r="74" spans="1:34">
      <c r="A74" s="1" t="s">
        <v>326</v>
      </c>
      <c r="C74" s="11" t="s">
        <v>19</v>
      </c>
      <c r="D74" s="11" t="s">
        <v>21</v>
      </c>
      <c r="F74" s="15"/>
      <c r="G74" s="15"/>
      <c r="I74" s="17"/>
      <c r="O74" s="11" t="s">
        <v>27</v>
      </c>
      <c r="Y74" s="64">
        <f t="shared" si="2"/>
        <v>0</v>
      </c>
      <c r="AA74" s="64">
        <f t="shared" si="3"/>
        <v>0</v>
      </c>
      <c r="AB74" s="64" t="str">
        <f>IF($B74="","",(COUNTIFS(Rships!$C$2:$C$9990,$A74,Rships!$D$2:$D$9990,1)))</f>
        <v/>
      </c>
      <c r="AC74" s="64" t="str">
        <f>IF($B74="","",(COUNTIFS(Rships!$C$2:$C$9990,$A74,Rships!$D$2:$D$9990,2)))</f>
        <v/>
      </c>
      <c r="AD74" s="64" t="str">
        <f>IF($B74="","",(COUNTIFS(Rships!$C$2:$C$9990,$A74,Rships!$D$2:$D$9990,3)))</f>
        <v/>
      </c>
      <c r="AE74" s="64" t="str">
        <f>IF($B74="","",(COUNTIFS(Rships!$C$2:$C$9990,$A74,Rships!$D$2:$D$9990,4)))</f>
        <v/>
      </c>
      <c r="AF74" s="64" t="str">
        <f>IF($B74="","",(COUNTIFS(Rships!$C$2:$C$9990,$A74,Rships!$D$2:$D$9990,5)))</f>
        <v/>
      </c>
      <c r="AG74" s="64" t="str">
        <f>IF($B74="","",(COUNTIFS(Rships!$C$2:$C$9990,$A74,Rships!$D$2:$D$9990,6)))</f>
        <v/>
      </c>
      <c r="AH74" s="64" t="str">
        <f>IF($B74="","",(COUNTIFS(Rships!$C$2:$C$9990,$A74,Rships!$D$2:$D$9990,7)))</f>
        <v/>
      </c>
    </row>
    <row r="75" spans="1:34">
      <c r="A75" s="1" t="s">
        <v>327</v>
      </c>
      <c r="C75" s="11" t="s">
        <v>19</v>
      </c>
      <c r="D75" s="11" t="s">
        <v>21</v>
      </c>
      <c r="F75" s="15"/>
      <c r="G75" s="15"/>
      <c r="I75" s="17"/>
      <c r="O75" s="11" t="s">
        <v>27</v>
      </c>
      <c r="Y75" s="64">
        <f t="shared" si="2"/>
        <v>0</v>
      </c>
      <c r="AA75" s="64">
        <f t="shared" si="3"/>
        <v>0</v>
      </c>
      <c r="AB75" s="64" t="str">
        <f>IF($B75="","",(COUNTIFS(Rships!$C$2:$C$9990,$A75,Rships!$D$2:$D$9990,1)))</f>
        <v/>
      </c>
      <c r="AC75" s="64" t="str">
        <f>IF($B75="","",(COUNTIFS(Rships!$C$2:$C$9990,$A75,Rships!$D$2:$D$9990,2)))</f>
        <v/>
      </c>
      <c r="AD75" s="64" t="str">
        <f>IF($B75="","",(COUNTIFS(Rships!$C$2:$C$9990,$A75,Rships!$D$2:$D$9990,3)))</f>
        <v/>
      </c>
      <c r="AE75" s="64" t="str">
        <f>IF($B75="","",(COUNTIFS(Rships!$C$2:$C$9990,$A75,Rships!$D$2:$D$9990,4)))</f>
        <v/>
      </c>
      <c r="AF75" s="64" t="str">
        <f>IF($B75="","",(COUNTIFS(Rships!$C$2:$C$9990,$A75,Rships!$D$2:$D$9990,5)))</f>
        <v/>
      </c>
      <c r="AG75" s="64" t="str">
        <f>IF($B75="","",(COUNTIFS(Rships!$C$2:$C$9990,$A75,Rships!$D$2:$D$9990,6)))</f>
        <v/>
      </c>
      <c r="AH75" s="64" t="str">
        <f>IF($B75="","",(COUNTIFS(Rships!$C$2:$C$9990,$A75,Rships!$D$2:$D$9990,7)))</f>
        <v/>
      </c>
    </row>
    <row r="76" spans="1:34">
      <c r="A76" s="1" t="s">
        <v>328</v>
      </c>
      <c r="C76" s="11" t="s">
        <v>19</v>
      </c>
      <c r="D76" s="11" t="s">
        <v>21</v>
      </c>
      <c r="F76" s="15"/>
      <c r="G76" s="15"/>
      <c r="I76" s="17"/>
      <c r="O76" s="11" t="s">
        <v>27</v>
      </c>
      <c r="Y76" s="64">
        <f t="shared" si="2"/>
        <v>0</v>
      </c>
      <c r="AA76" s="64">
        <f t="shared" si="3"/>
        <v>0</v>
      </c>
      <c r="AB76" s="64" t="str">
        <f>IF($B76="","",(COUNTIFS(Rships!$C$2:$C$9990,$A76,Rships!$D$2:$D$9990,1)))</f>
        <v/>
      </c>
      <c r="AC76" s="64" t="str">
        <f>IF($B76="","",(COUNTIFS(Rships!$C$2:$C$9990,$A76,Rships!$D$2:$D$9990,2)))</f>
        <v/>
      </c>
      <c r="AD76" s="64" t="str">
        <f>IF($B76="","",(COUNTIFS(Rships!$C$2:$C$9990,$A76,Rships!$D$2:$D$9990,3)))</f>
        <v/>
      </c>
      <c r="AE76" s="64" t="str">
        <f>IF($B76="","",(COUNTIFS(Rships!$C$2:$C$9990,$A76,Rships!$D$2:$D$9990,4)))</f>
        <v/>
      </c>
      <c r="AF76" s="64" t="str">
        <f>IF($B76="","",(COUNTIFS(Rships!$C$2:$C$9990,$A76,Rships!$D$2:$D$9990,5)))</f>
        <v/>
      </c>
      <c r="AG76" s="64" t="str">
        <f>IF($B76="","",(COUNTIFS(Rships!$C$2:$C$9990,$A76,Rships!$D$2:$D$9990,6)))</f>
        <v/>
      </c>
      <c r="AH76" s="64" t="str">
        <f>IF($B76="","",(COUNTIFS(Rships!$C$2:$C$9990,$A76,Rships!$D$2:$D$9990,7)))</f>
        <v/>
      </c>
    </row>
    <row r="77" spans="1:34">
      <c r="A77" s="1" t="s">
        <v>329</v>
      </c>
      <c r="C77" s="11" t="s">
        <v>19</v>
      </c>
      <c r="D77" s="11" t="s">
        <v>21</v>
      </c>
      <c r="F77" s="15"/>
      <c r="G77" s="15"/>
      <c r="I77" s="17"/>
      <c r="O77" s="11" t="s">
        <v>27</v>
      </c>
      <c r="Y77" s="64">
        <f t="shared" si="2"/>
        <v>0</v>
      </c>
      <c r="AA77" s="64">
        <f t="shared" si="3"/>
        <v>0</v>
      </c>
      <c r="AB77" s="64" t="str">
        <f>IF($B77="","",(COUNTIFS(Rships!$C$2:$C$9990,$A77,Rships!$D$2:$D$9990,1)))</f>
        <v/>
      </c>
      <c r="AC77" s="64" t="str">
        <f>IF($B77="","",(COUNTIFS(Rships!$C$2:$C$9990,$A77,Rships!$D$2:$D$9990,2)))</f>
        <v/>
      </c>
      <c r="AD77" s="64" t="str">
        <f>IF($B77="","",(COUNTIFS(Rships!$C$2:$C$9990,$A77,Rships!$D$2:$D$9990,3)))</f>
        <v/>
      </c>
      <c r="AE77" s="64" t="str">
        <f>IF($B77="","",(COUNTIFS(Rships!$C$2:$C$9990,$A77,Rships!$D$2:$D$9990,4)))</f>
        <v/>
      </c>
      <c r="AF77" s="64" t="str">
        <f>IF($B77="","",(COUNTIFS(Rships!$C$2:$C$9990,$A77,Rships!$D$2:$D$9990,5)))</f>
        <v/>
      </c>
      <c r="AG77" s="64" t="str">
        <f>IF($B77="","",(COUNTIFS(Rships!$C$2:$C$9990,$A77,Rships!$D$2:$D$9990,6)))</f>
        <v/>
      </c>
      <c r="AH77" s="64" t="str">
        <f>IF($B77="","",(COUNTIFS(Rships!$C$2:$C$9990,$A77,Rships!$D$2:$D$9990,7)))</f>
        <v/>
      </c>
    </row>
    <row r="78" spans="1:34">
      <c r="A78" s="1" t="s">
        <v>330</v>
      </c>
      <c r="C78" s="11" t="s">
        <v>19</v>
      </c>
      <c r="D78" s="11" t="s">
        <v>21</v>
      </c>
      <c r="F78" s="15"/>
      <c r="G78" s="15"/>
      <c r="I78" s="17"/>
      <c r="O78" s="11" t="s">
        <v>27</v>
      </c>
      <c r="Y78" s="64">
        <f t="shared" si="2"/>
        <v>0</v>
      </c>
      <c r="AA78" s="64">
        <f t="shared" si="3"/>
        <v>0</v>
      </c>
      <c r="AB78" s="64" t="str">
        <f>IF($B78="","",(COUNTIFS(Rships!$C$2:$C$9990,$A78,Rships!$D$2:$D$9990,1)))</f>
        <v/>
      </c>
      <c r="AC78" s="64" t="str">
        <f>IF($B78="","",(COUNTIFS(Rships!$C$2:$C$9990,$A78,Rships!$D$2:$D$9990,2)))</f>
        <v/>
      </c>
      <c r="AD78" s="64" t="str">
        <f>IF($B78="","",(COUNTIFS(Rships!$C$2:$C$9990,$A78,Rships!$D$2:$D$9990,3)))</f>
        <v/>
      </c>
      <c r="AE78" s="64" t="str">
        <f>IF($B78="","",(COUNTIFS(Rships!$C$2:$C$9990,$A78,Rships!$D$2:$D$9990,4)))</f>
        <v/>
      </c>
      <c r="AF78" s="64" t="str">
        <f>IF($B78="","",(COUNTIFS(Rships!$C$2:$C$9990,$A78,Rships!$D$2:$D$9990,5)))</f>
        <v/>
      </c>
      <c r="AG78" s="64" t="str">
        <f>IF($B78="","",(COUNTIFS(Rships!$C$2:$C$9990,$A78,Rships!$D$2:$D$9990,6)))</f>
        <v/>
      </c>
      <c r="AH78" s="64" t="str">
        <f>IF($B78="","",(COUNTIFS(Rships!$C$2:$C$9990,$A78,Rships!$D$2:$D$9990,7)))</f>
        <v/>
      </c>
    </row>
    <row r="79" spans="1:34">
      <c r="A79" s="1" t="s">
        <v>331</v>
      </c>
      <c r="C79" s="11" t="s">
        <v>19</v>
      </c>
      <c r="D79" s="11" t="s">
        <v>21</v>
      </c>
      <c r="F79" s="15"/>
      <c r="G79" s="15"/>
      <c r="I79" s="17"/>
      <c r="O79" s="11" t="s">
        <v>27</v>
      </c>
      <c r="Y79" s="64">
        <f t="shared" si="2"/>
        <v>0</v>
      </c>
      <c r="AA79" s="64">
        <f t="shared" si="3"/>
        <v>0</v>
      </c>
      <c r="AB79" s="64" t="str">
        <f>IF($B79="","",(COUNTIFS(Rships!$C$2:$C$9990,$A79,Rships!$D$2:$D$9990,1)))</f>
        <v/>
      </c>
      <c r="AC79" s="64" t="str">
        <f>IF($B79="","",(COUNTIFS(Rships!$C$2:$C$9990,$A79,Rships!$D$2:$D$9990,2)))</f>
        <v/>
      </c>
      <c r="AD79" s="64" t="str">
        <f>IF($B79="","",(COUNTIFS(Rships!$C$2:$C$9990,$A79,Rships!$D$2:$D$9990,3)))</f>
        <v/>
      </c>
      <c r="AE79" s="64" t="str">
        <f>IF($B79="","",(COUNTIFS(Rships!$C$2:$C$9990,$A79,Rships!$D$2:$D$9990,4)))</f>
        <v/>
      </c>
      <c r="AF79" s="64" t="str">
        <f>IF($B79="","",(COUNTIFS(Rships!$C$2:$C$9990,$A79,Rships!$D$2:$D$9990,5)))</f>
        <v/>
      </c>
      <c r="AG79" s="64" t="str">
        <f>IF($B79="","",(COUNTIFS(Rships!$C$2:$C$9990,$A79,Rships!$D$2:$D$9990,6)))</f>
        <v/>
      </c>
      <c r="AH79" s="64" t="str">
        <f>IF($B79="","",(COUNTIFS(Rships!$C$2:$C$9990,$A79,Rships!$D$2:$D$9990,7)))</f>
        <v/>
      </c>
    </row>
    <row r="80" spans="1:34">
      <c r="A80" s="1" t="s">
        <v>332</v>
      </c>
      <c r="C80" s="11" t="s">
        <v>19</v>
      </c>
      <c r="D80" s="11" t="s">
        <v>21</v>
      </c>
      <c r="F80" s="15"/>
      <c r="G80" s="15"/>
      <c r="I80" s="17"/>
      <c r="O80" s="11" t="s">
        <v>27</v>
      </c>
      <c r="Y80" s="64">
        <f t="shared" si="2"/>
        <v>0</v>
      </c>
      <c r="AA80" s="64">
        <f t="shared" si="3"/>
        <v>0</v>
      </c>
      <c r="AB80" s="64" t="str">
        <f>IF($B80="","",(COUNTIFS(Rships!$C$2:$C$9990,$A80,Rships!$D$2:$D$9990,1)))</f>
        <v/>
      </c>
      <c r="AC80" s="64" t="str">
        <f>IF($B80="","",(COUNTIFS(Rships!$C$2:$C$9990,$A80,Rships!$D$2:$D$9990,2)))</f>
        <v/>
      </c>
      <c r="AD80" s="64" t="str">
        <f>IF($B80="","",(COUNTIFS(Rships!$C$2:$C$9990,$A80,Rships!$D$2:$D$9990,3)))</f>
        <v/>
      </c>
      <c r="AE80" s="64" t="str">
        <f>IF($B80="","",(COUNTIFS(Rships!$C$2:$C$9990,$A80,Rships!$D$2:$D$9990,4)))</f>
        <v/>
      </c>
      <c r="AF80" s="64" t="str">
        <f>IF($B80="","",(COUNTIFS(Rships!$C$2:$C$9990,$A80,Rships!$D$2:$D$9990,5)))</f>
        <v/>
      </c>
      <c r="AG80" s="64" t="str">
        <f>IF($B80="","",(COUNTIFS(Rships!$C$2:$C$9990,$A80,Rships!$D$2:$D$9990,6)))</f>
        <v/>
      </c>
      <c r="AH80" s="64" t="str">
        <f>IF($B80="","",(COUNTIFS(Rships!$C$2:$C$9990,$A80,Rships!$D$2:$D$9990,7)))</f>
        <v/>
      </c>
    </row>
    <row r="81" spans="1:34">
      <c r="A81" s="1" t="s">
        <v>333</v>
      </c>
      <c r="C81" s="11" t="s">
        <v>19</v>
      </c>
      <c r="D81" s="11" t="s">
        <v>21</v>
      </c>
      <c r="F81" s="15"/>
      <c r="G81" s="15"/>
      <c r="I81" s="17"/>
      <c r="O81" s="11" t="s">
        <v>27</v>
      </c>
      <c r="Y81" s="64">
        <f t="shared" si="2"/>
        <v>0</v>
      </c>
      <c r="AA81" s="64">
        <f t="shared" si="3"/>
        <v>0</v>
      </c>
      <c r="AB81" s="64" t="str">
        <f>IF($B81="","",(COUNTIFS(Rships!$C$2:$C$9990,$A81,Rships!$D$2:$D$9990,1)))</f>
        <v/>
      </c>
      <c r="AC81" s="64" t="str">
        <f>IF($B81="","",(COUNTIFS(Rships!$C$2:$C$9990,$A81,Rships!$D$2:$D$9990,2)))</f>
        <v/>
      </c>
      <c r="AD81" s="64" t="str">
        <f>IF($B81="","",(COUNTIFS(Rships!$C$2:$C$9990,$A81,Rships!$D$2:$D$9990,3)))</f>
        <v/>
      </c>
      <c r="AE81" s="64" t="str">
        <f>IF($B81="","",(COUNTIFS(Rships!$C$2:$C$9990,$A81,Rships!$D$2:$D$9990,4)))</f>
        <v/>
      </c>
      <c r="AF81" s="64" t="str">
        <f>IF($B81="","",(COUNTIFS(Rships!$C$2:$C$9990,$A81,Rships!$D$2:$D$9990,5)))</f>
        <v/>
      </c>
      <c r="AG81" s="64" t="str">
        <f>IF($B81="","",(COUNTIFS(Rships!$C$2:$C$9990,$A81,Rships!$D$2:$D$9990,6)))</f>
        <v/>
      </c>
      <c r="AH81" s="64" t="str">
        <f>IF($B81="","",(COUNTIFS(Rships!$C$2:$C$9990,$A81,Rships!$D$2:$D$9990,7)))</f>
        <v/>
      </c>
    </row>
    <row r="82" spans="1:34">
      <c r="A82" s="1" t="s">
        <v>334</v>
      </c>
      <c r="C82" s="11" t="s">
        <v>19</v>
      </c>
      <c r="D82" s="11" t="s">
        <v>21</v>
      </c>
      <c r="F82" s="15"/>
      <c r="G82" s="15"/>
      <c r="I82" s="17"/>
      <c r="O82" s="11" t="s">
        <v>27</v>
      </c>
      <c r="Y82" s="64">
        <f t="shared" si="2"/>
        <v>0</v>
      </c>
      <c r="AA82" s="64">
        <f t="shared" si="3"/>
        <v>0</v>
      </c>
      <c r="AB82" s="64" t="str">
        <f>IF($B82="","",(COUNTIFS(Rships!$C$2:$C$9990,$A82,Rships!$D$2:$D$9990,1)))</f>
        <v/>
      </c>
      <c r="AC82" s="64" t="str">
        <f>IF($B82="","",(COUNTIFS(Rships!$C$2:$C$9990,$A82,Rships!$D$2:$D$9990,2)))</f>
        <v/>
      </c>
      <c r="AD82" s="64" t="str">
        <f>IF($B82="","",(COUNTIFS(Rships!$C$2:$C$9990,$A82,Rships!$D$2:$D$9990,3)))</f>
        <v/>
      </c>
      <c r="AE82" s="64" t="str">
        <f>IF($B82="","",(COUNTIFS(Rships!$C$2:$C$9990,$A82,Rships!$D$2:$D$9990,4)))</f>
        <v/>
      </c>
      <c r="AF82" s="64" t="str">
        <f>IF($B82="","",(COUNTIFS(Rships!$C$2:$C$9990,$A82,Rships!$D$2:$D$9990,5)))</f>
        <v/>
      </c>
      <c r="AG82" s="64" t="str">
        <f>IF($B82="","",(COUNTIFS(Rships!$C$2:$C$9990,$A82,Rships!$D$2:$D$9990,6)))</f>
        <v/>
      </c>
      <c r="AH82" s="64" t="str">
        <f>IF($B82="","",(COUNTIFS(Rships!$C$2:$C$9990,$A82,Rships!$D$2:$D$9990,7)))</f>
        <v/>
      </c>
    </row>
    <row r="83" spans="1:34">
      <c r="A83" s="1" t="s">
        <v>335</v>
      </c>
      <c r="C83" s="11" t="s">
        <v>19</v>
      </c>
      <c r="D83" s="11" t="s">
        <v>21</v>
      </c>
      <c r="F83" s="15"/>
      <c r="G83" s="15"/>
      <c r="I83" s="17"/>
      <c r="O83" s="11" t="s">
        <v>27</v>
      </c>
      <c r="Y83" s="64">
        <f t="shared" si="2"/>
        <v>0</v>
      </c>
      <c r="AA83" s="64">
        <f t="shared" si="3"/>
        <v>0</v>
      </c>
      <c r="AB83" s="64" t="str">
        <f>IF($B83="","",(COUNTIFS(Rships!$C$2:$C$9990,$A83,Rships!$D$2:$D$9990,1)))</f>
        <v/>
      </c>
      <c r="AC83" s="64" t="str">
        <f>IF($B83="","",(COUNTIFS(Rships!$C$2:$C$9990,$A83,Rships!$D$2:$D$9990,2)))</f>
        <v/>
      </c>
      <c r="AD83" s="64" t="str">
        <f>IF($B83="","",(COUNTIFS(Rships!$C$2:$C$9990,$A83,Rships!$D$2:$D$9990,3)))</f>
        <v/>
      </c>
      <c r="AE83" s="64" t="str">
        <f>IF($B83="","",(COUNTIFS(Rships!$C$2:$C$9990,$A83,Rships!$D$2:$D$9990,4)))</f>
        <v/>
      </c>
      <c r="AF83" s="64" t="str">
        <f>IF($B83="","",(COUNTIFS(Rships!$C$2:$C$9990,$A83,Rships!$D$2:$D$9990,5)))</f>
        <v/>
      </c>
      <c r="AG83" s="64" t="str">
        <f>IF($B83="","",(COUNTIFS(Rships!$C$2:$C$9990,$A83,Rships!$D$2:$D$9990,6)))</f>
        <v/>
      </c>
      <c r="AH83" s="64" t="str">
        <f>IF($B83="","",(COUNTIFS(Rships!$C$2:$C$9990,$A83,Rships!$D$2:$D$9990,7)))</f>
        <v/>
      </c>
    </row>
    <row r="84" spans="1:34">
      <c r="A84" s="1" t="s">
        <v>336</v>
      </c>
      <c r="C84" s="11" t="s">
        <v>19</v>
      </c>
      <c r="D84" s="11" t="s">
        <v>21</v>
      </c>
      <c r="F84" s="15"/>
      <c r="G84" s="15"/>
      <c r="I84" s="17"/>
      <c r="O84" s="11" t="s">
        <v>27</v>
      </c>
      <c r="Y84" s="64">
        <f t="shared" si="2"/>
        <v>0</v>
      </c>
      <c r="AA84" s="64">
        <f t="shared" si="3"/>
        <v>0</v>
      </c>
      <c r="AB84" s="64" t="str">
        <f>IF($B84="","",(COUNTIFS(Rships!$C$2:$C$9990,$A84,Rships!$D$2:$D$9990,1)))</f>
        <v/>
      </c>
      <c r="AC84" s="64" t="str">
        <f>IF($B84="","",(COUNTIFS(Rships!$C$2:$C$9990,$A84,Rships!$D$2:$D$9990,2)))</f>
        <v/>
      </c>
      <c r="AD84" s="64" t="str">
        <f>IF($B84="","",(COUNTIFS(Rships!$C$2:$C$9990,$A84,Rships!$D$2:$D$9990,3)))</f>
        <v/>
      </c>
      <c r="AE84" s="64" t="str">
        <f>IF($B84="","",(COUNTIFS(Rships!$C$2:$C$9990,$A84,Rships!$D$2:$D$9990,4)))</f>
        <v/>
      </c>
      <c r="AF84" s="64" t="str">
        <f>IF($B84="","",(COUNTIFS(Rships!$C$2:$C$9990,$A84,Rships!$D$2:$D$9990,5)))</f>
        <v/>
      </c>
      <c r="AG84" s="64" t="str">
        <f>IF($B84="","",(COUNTIFS(Rships!$C$2:$C$9990,$A84,Rships!$D$2:$D$9990,6)))</f>
        <v/>
      </c>
      <c r="AH84" s="64" t="str">
        <f>IF($B84="","",(COUNTIFS(Rships!$C$2:$C$9990,$A84,Rships!$D$2:$D$9990,7)))</f>
        <v/>
      </c>
    </row>
    <row r="85" spans="1:34">
      <c r="A85" s="1" t="s">
        <v>337</v>
      </c>
      <c r="C85" s="11" t="s">
        <v>19</v>
      </c>
      <c r="D85" s="11" t="s">
        <v>21</v>
      </c>
      <c r="F85" s="15"/>
      <c r="G85" s="15"/>
      <c r="I85" s="17"/>
      <c r="O85" s="11" t="s">
        <v>27</v>
      </c>
      <c r="Y85" s="64">
        <f t="shared" si="2"/>
        <v>0</v>
      </c>
      <c r="AA85" s="64">
        <f t="shared" si="3"/>
        <v>0</v>
      </c>
      <c r="AB85" s="64" t="str">
        <f>IF($B85="","",(COUNTIFS(Rships!$C$2:$C$9990,$A85,Rships!$D$2:$D$9990,1)))</f>
        <v/>
      </c>
      <c r="AC85" s="64" t="str">
        <f>IF($B85="","",(COUNTIFS(Rships!$C$2:$C$9990,$A85,Rships!$D$2:$D$9990,2)))</f>
        <v/>
      </c>
      <c r="AD85" s="64" t="str">
        <f>IF($B85="","",(COUNTIFS(Rships!$C$2:$C$9990,$A85,Rships!$D$2:$D$9990,3)))</f>
        <v/>
      </c>
      <c r="AE85" s="64" t="str">
        <f>IF($B85="","",(COUNTIFS(Rships!$C$2:$C$9990,$A85,Rships!$D$2:$D$9990,4)))</f>
        <v/>
      </c>
      <c r="AF85" s="64" t="str">
        <f>IF($B85="","",(COUNTIFS(Rships!$C$2:$C$9990,$A85,Rships!$D$2:$D$9990,5)))</f>
        <v/>
      </c>
      <c r="AG85" s="64" t="str">
        <f>IF($B85="","",(COUNTIFS(Rships!$C$2:$C$9990,$A85,Rships!$D$2:$D$9990,6)))</f>
        <v/>
      </c>
      <c r="AH85" s="64" t="str">
        <f>IF($B85="","",(COUNTIFS(Rships!$C$2:$C$9990,$A85,Rships!$D$2:$D$9990,7)))</f>
        <v/>
      </c>
    </row>
    <row r="86" spans="1:34">
      <c r="A86" s="1" t="s">
        <v>338</v>
      </c>
      <c r="C86" s="11" t="s">
        <v>19</v>
      </c>
      <c r="D86" s="11" t="s">
        <v>21</v>
      </c>
      <c r="F86" s="15"/>
      <c r="G86" s="15"/>
      <c r="I86" s="17"/>
      <c r="O86" s="11" t="s">
        <v>27</v>
      </c>
      <c r="Y86" s="64">
        <f t="shared" si="2"/>
        <v>0</v>
      </c>
      <c r="AA86" s="64">
        <f t="shared" si="3"/>
        <v>0</v>
      </c>
      <c r="AB86" s="64" t="str">
        <f>IF($B86="","",(COUNTIFS(Rships!$C$2:$C$9990,$A86,Rships!$D$2:$D$9990,1)))</f>
        <v/>
      </c>
      <c r="AC86" s="64" t="str">
        <f>IF($B86="","",(COUNTIFS(Rships!$C$2:$C$9990,$A86,Rships!$D$2:$D$9990,2)))</f>
        <v/>
      </c>
      <c r="AD86" s="64" t="str">
        <f>IF($B86="","",(COUNTIFS(Rships!$C$2:$C$9990,$A86,Rships!$D$2:$D$9990,3)))</f>
        <v/>
      </c>
      <c r="AE86" s="64" t="str">
        <f>IF($B86="","",(COUNTIFS(Rships!$C$2:$C$9990,$A86,Rships!$D$2:$D$9990,4)))</f>
        <v/>
      </c>
      <c r="AF86" s="64" t="str">
        <f>IF($B86="","",(COUNTIFS(Rships!$C$2:$C$9990,$A86,Rships!$D$2:$D$9990,5)))</f>
        <v/>
      </c>
      <c r="AG86" s="64" t="str">
        <f>IF($B86="","",(COUNTIFS(Rships!$C$2:$C$9990,$A86,Rships!$D$2:$D$9990,6)))</f>
        <v/>
      </c>
      <c r="AH86" s="64" t="str">
        <f>IF($B86="","",(COUNTIFS(Rships!$C$2:$C$9990,$A86,Rships!$D$2:$D$9990,7)))</f>
        <v/>
      </c>
    </row>
    <row r="87" spans="1:34">
      <c r="A87" s="1" t="s">
        <v>339</v>
      </c>
      <c r="C87" s="11" t="s">
        <v>19</v>
      </c>
      <c r="D87" s="11" t="s">
        <v>21</v>
      </c>
      <c r="F87" s="15"/>
      <c r="G87" s="15"/>
      <c r="I87" s="17"/>
      <c r="O87" s="11" t="s">
        <v>27</v>
      </c>
      <c r="Y87" s="64">
        <f t="shared" si="2"/>
        <v>0</v>
      </c>
      <c r="AA87" s="64">
        <f t="shared" si="3"/>
        <v>0</v>
      </c>
      <c r="AB87" s="64" t="str">
        <f>IF($B87="","",(COUNTIFS(Rships!$C$2:$C$9990,$A87,Rships!$D$2:$D$9990,1)))</f>
        <v/>
      </c>
      <c r="AC87" s="64" t="str">
        <f>IF($B87="","",(COUNTIFS(Rships!$C$2:$C$9990,$A87,Rships!$D$2:$D$9990,2)))</f>
        <v/>
      </c>
      <c r="AD87" s="64" t="str">
        <f>IF($B87="","",(COUNTIFS(Rships!$C$2:$C$9990,$A87,Rships!$D$2:$D$9990,3)))</f>
        <v/>
      </c>
      <c r="AE87" s="64" t="str">
        <f>IF($B87="","",(COUNTIFS(Rships!$C$2:$C$9990,$A87,Rships!$D$2:$D$9990,4)))</f>
        <v/>
      </c>
      <c r="AF87" s="64" t="str">
        <f>IF($B87="","",(COUNTIFS(Rships!$C$2:$C$9990,$A87,Rships!$D$2:$D$9990,5)))</f>
        <v/>
      </c>
      <c r="AG87" s="64" t="str">
        <f>IF($B87="","",(COUNTIFS(Rships!$C$2:$C$9990,$A87,Rships!$D$2:$D$9990,6)))</f>
        <v/>
      </c>
      <c r="AH87" s="64" t="str">
        <f>IF($B87="","",(COUNTIFS(Rships!$C$2:$C$9990,$A87,Rships!$D$2:$D$9990,7)))</f>
        <v/>
      </c>
    </row>
    <row r="88" spans="1:34">
      <c r="A88" s="1" t="s">
        <v>340</v>
      </c>
      <c r="C88" s="11" t="s">
        <v>19</v>
      </c>
      <c r="D88" s="11" t="s">
        <v>21</v>
      </c>
      <c r="F88" s="15"/>
      <c r="G88" s="15"/>
      <c r="I88" s="17"/>
      <c r="O88" s="11" t="s">
        <v>27</v>
      </c>
      <c r="Y88" s="64">
        <f t="shared" si="2"/>
        <v>0</v>
      </c>
      <c r="AA88" s="64">
        <f t="shared" si="3"/>
        <v>0</v>
      </c>
      <c r="AB88" s="64" t="str">
        <f>IF($B88="","",(COUNTIFS(Rships!$C$2:$C$9990,$A88,Rships!$D$2:$D$9990,1)))</f>
        <v/>
      </c>
      <c r="AC88" s="64" t="str">
        <f>IF($B88="","",(COUNTIFS(Rships!$C$2:$C$9990,$A88,Rships!$D$2:$D$9990,2)))</f>
        <v/>
      </c>
      <c r="AD88" s="64" t="str">
        <f>IF($B88="","",(COUNTIFS(Rships!$C$2:$C$9990,$A88,Rships!$D$2:$D$9990,3)))</f>
        <v/>
      </c>
      <c r="AE88" s="64" t="str">
        <f>IF($B88="","",(COUNTIFS(Rships!$C$2:$C$9990,$A88,Rships!$D$2:$D$9990,4)))</f>
        <v/>
      </c>
      <c r="AF88" s="64" t="str">
        <f>IF($B88="","",(COUNTIFS(Rships!$C$2:$C$9990,$A88,Rships!$D$2:$D$9990,5)))</f>
        <v/>
      </c>
      <c r="AG88" s="64" t="str">
        <f>IF($B88="","",(COUNTIFS(Rships!$C$2:$C$9990,$A88,Rships!$D$2:$D$9990,6)))</f>
        <v/>
      </c>
      <c r="AH88" s="64" t="str">
        <f>IF($B88="","",(COUNTIFS(Rships!$C$2:$C$9990,$A88,Rships!$D$2:$D$9990,7)))</f>
        <v/>
      </c>
    </row>
    <row r="89" spans="1:34">
      <c r="A89" s="1" t="s">
        <v>341</v>
      </c>
      <c r="C89" s="11" t="s">
        <v>19</v>
      </c>
      <c r="D89" s="11" t="s">
        <v>21</v>
      </c>
      <c r="F89" s="15"/>
      <c r="G89" s="15"/>
      <c r="I89" s="17"/>
      <c r="O89" s="11" t="s">
        <v>27</v>
      </c>
      <c r="Y89" s="64">
        <f t="shared" si="2"/>
        <v>0</v>
      </c>
      <c r="AA89" s="64">
        <f t="shared" si="3"/>
        <v>0</v>
      </c>
      <c r="AB89" s="64" t="str">
        <f>IF($B89="","",(COUNTIFS(Rships!$C$2:$C$9990,$A89,Rships!$D$2:$D$9990,1)))</f>
        <v/>
      </c>
      <c r="AC89" s="64" t="str">
        <f>IF($B89="","",(COUNTIFS(Rships!$C$2:$C$9990,$A89,Rships!$D$2:$D$9990,2)))</f>
        <v/>
      </c>
      <c r="AD89" s="64" t="str">
        <f>IF($B89="","",(COUNTIFS(Rships!$C$2:$C$9990,$A89,Rships!$D$2:$D$9990,3)))</f>
        <v/>
      </c>
      <c r="AE89" s="64" t="str">
        <f>IF($B89="","",(COUNTIFS(Rships!$C$2:$C$9990,$A89,Rships!$D$2:$D$9990,4)))</f>
        <v/>
      </c>
      <c r="AF89" s="64" t="str">
        <f>IF($B89="","",(COUNTIFS(Rships!$C$2:$C$9990,$A89,Rships!$D$2:$D$9990,5)))</f>
        <v/>
      </c>
      <c r="AG89" s="64" t="str">
        <f>IF($B89="","",(COUNTIFS(Rships!$C$2:$C$9990,$A89,Rships!$D$2:$D$9990,6)))</f>
        <v/>
      </c>
      <c r="AH89" s="64" t="str">
        <f>IF($B89="","",(COUNTIFS(Rships!$C$2:$C$9990,$A89,Rships!$D$2:$D$9990,7)))</f>
        <v/>
      </c>
    </row>
    <row r="90" spans="1:34">
      <c r="A90" s="1" t="s">
        <v>342</v>
      </c>
      <c r="C90" s="11" t="s">
        <v>19</v>
      </c>
      <c r="D90" s="11" t="s">
        <v>21</v>
      </c>
      <c r="F90" s="15"/>
      <c r="G90" s="15"/>
      <c r="I90" s="17"/>
      <c r="O90" s="11" t="s">
        <v>27</v>
      </c>
      <c r="Y90" s="64">
        <f t="shared" si="2"/>
        <v>0</v>
      </c>
      <c r="AA90" s="64">
        <f t="shared" si="3"/>
        <v>0</v>
      </c>
      <c r="AB90" s="64" t="str">
        <f>IF($B90="","",(COUNTIFS(Rships!$C$2:$C$9990,$A90,Rships!$D$2:$D$9990,1)))</f>
        <v/>
      </c>
      <c r="AC90" s="64" t="str">
        <f>IF($B90="","",(COUNTIFS(Rships!$C$2:$C$9990,$A90,Rships!$D$2:$D$9990,2)))</f>
        <v/>
      </c>
      <c r="AD90" s="64" t="str">
        <f>IF($B90="","",(COUNTIFS(Rships!$C$2:$C$9990,$A90,Rships!$D$2:$D$9990,3)))</f>
        <v/>
      </c>
      <c r="AE90" s="64" t="str">
        <f>IF($B90="","",(COUNTIFS(Rships!$C$2:$C$9990,$A90,Rships!$D$2:$D$9990,4)))</f>
        <v/>
      </c>
      <c r="AF90" s="64" t="str">
        <f>IF($B90="","",(COUNTIFS(Rships!$C$2:$C$9990,$A90,Rships!$D$2:$D$9990,5)))</f>
        <v/>
      </c>
      <c r="AG90" s="64" t="str">
        <f>IF($B90="","",(COUNTIFS(Rships!$C$2:$C$9990,$A90,Rships!$D$2:$D$9990,6)))</f>
        <v/>
      </c>
      <c r="AH90" s="64" t="str">
        <f>IF($B90="","",(COUNTIFS(Rships!$C$2:$C$9990,$A90,Rships!$D$2:$D$9990,7)))</f>
        <v/>
      </c>
    </row>
    <row r="91" spans="1:34">
      <c r="A91" s="1" t="s">
        <v>343</v>
      </c>
      <c r="C91" s="11" t="s">
        <v>19</v>
      </c>
      <c r="D91" s="11" t="s">
        <v>21</v>
      </c>
      <c r="F91" s="15"/>
      <c r="G91" s="15"/>
      <c r="I91" s="17"/>
      <c r="O91" s="11" t="s">
        <v>27</v>
      </c>
      <c r="Y91" s="64">
        <f t="shared" si="2"/>
        <v>0</v>
      </c>
      <c r="AA91" s="64">
        <f t="shared" si="3"/>
        <v>0</v>
      </c>
      <c r="AB91" s="64" t="str">
        <f>IF($B91="","",(COUNTIFS(Rships!$C$2:$C$9990,$A91,Rships!$D$2:$D$9990,1)))</f>
        <v/>
      </c>
      <c r="AC91" s="64" t="str">
        <f>IF($B91="","",(COUNTIFS(Rships!$C$2:$C$9990,$A91,Rships!$D$2:$D$9990,2)))</f>
        <v/>
      </c>
      <c r="AD91" s="64" t="str">
        <f>IF($B91="","",(COUNTIFS(Rships!$C$2:$C$9990,$A91,Rships!$D$2:$D$9990,3)))</f>
        <v/>
      </c>
      <c r="AE91" s="64" t="str">
        <f>IF($B91="","",(COUNTIFS(Rships!$C$2:$C$9990,$A91,Rships!$D$2:$D$9990,4)))</f>
        <v/>
      </c>
      <c r="AF91" s="64" t="str">
        <f>IF($B91="","",(COUNTIFS(Rships!$C$2:$C$9990,$A91,Rships!$D$2:$D$9990,5)))</f>
        <v/>
      </c>
      <c r="AG91" s="64" t="str">
        <f>IF($B91="","",(COUNTIFS(Rships!$C$2:$C$9990,$A91,Rships!$D$2:$D$9990,6)))</f>
        <v/>
      </c>
      <c r="AH91" s="64" t="str">
        <f>IF($B91="","",(COUNTIFS(Rships!$C$2:$C$9990,$A91,Rships!$D$2:$D$9990,7)))</f>
        <v/>
      </c>
    </row>
    <row r="92" spans="1:34">
      <c r="A92" s="1" t="s">
        <v>344</v>
      </c>
      <c r="C92" s="11" t="s">
        <v>19</v>
      </c>
      <c r="D92" s="11" t="s">
        <v>21</v>
      </c>
      <c r="F92" s="15"/>
      <c r="G92" s="15"/>
      <c r="I92" s="17"/>
      <c r="O92" s="11" t="s">
        <v>27</v>
      </c>
      <c r="Y92" s="64">
        <f t="shared" si="2"/>
        <v>0</v>
      </c>
      <c r="AA92" s="64">
        <f t="shared" si="3"/>
        <v>0</v>
      </c>
      <c r="AB92" s="64" t="str">
        <f>IF($B92="","",(COUNTIFS(Rships!$C$2:$C$9990,$A92,Rships!$D$2:$D$9990,1)))</f>
        <v/>
      </c>
      <c r="AC92" s="64" t="str">
        <f>IF($B92="","",(COUNTIFS(Rships!$C$2:$C$9990,$A92,Rships!$D$2:$D$9990,2)))</f>
        <v/>
      </c>
      <c r="AD92" s="64" t="str">
        <f>IF($B92="","",(COUNTIFS(Rships!$C$2:$C$9990,$A92,Rships!$D$2:$D$9990,3)))</f>
        <v/>
      </c>
      <c r="AE92" s="64" t="str">
        <f>IF($B92="","",(COUNTIFS(Rships!$C$2:$C$9990,$A92,Rships!$D$2:$D$9990,4)))</f>
        <v/>
      </c>
      <c r="AF92" s="64" t="str">
        <f>IF($B92="","",(COUNTIFS(Rships!$C$2:$C$9990,$A92,Rships!$D$2:$D$9990,5)))</f>
        <v/>
      </c>
      <c r="AG92" s="64" t="str">
        <f>IF($B92="","",(COUNTIFS(Rships!$C$2:$C$9990,$A92,Rships!$D$2:$D$9990,6)))</f>
        <v/>
      </c>
      <c r="AH92" s="64" t="str">
        <f>IF($B92="","",(COUNTIFS(Rships!$C$2:$C$9990,$A92,Rships!$D$2:$D$9990,7)))</f>
        <v/>
      </c>
    </row>
    <row r="93" spans="1:34">
      <c r="A93" s="1" t="s">
        <v>345</v>
      </c>
      <c r="C93" s="11" t="s">
        <v>19</v>
      </c>
      <c r="D93" s="11" t="s">
        <v>21</v>
      </c>
      <c r="F93" s="15"/>
      <c r="G93" s="15"/>
      <c r="I93" s="17"/>
      <c r="O93" s="11" t="s">
        <v>27</v>
      </c>
      <c r="Y93" s="64">
        <f t="shared" si="2"/>
        <v>0</v>
      </c>
      <c r="AA93" s="64">
        <f t="shared" si="3"/>
        <v>0</v>
      </c>
      <c r="AB93" s="64" t="str">
        <f>IF($B93="","",(COUNTIFS(Rships!$C$2:$C$9990,$A93,Rships!$D$2:$D$9990,1)))</f>
        <v/>
      </c>
      <c r="AC93" s="64" t="str">
        <f>IF($B93="","",(COUNTIFS(Rships!$C$2:$C$9990,$A93,Rships!$D$2:$D$9990,2)))</f>
        <v/>
      </c>
      <c r="AD93" s="64" t="str">
        <f>IF($B93="","",(COUNTIFS(Rships!$C$2:$C$9990,$A93,Rships!$D$2:$D$9990,3)))</f>
        <v/>
      </c>
      <c r="AE93" s="64" t="str">
        <f>IF($B93="","",(COUNTIFS(Rships!$C$2:$C$9990,$A93,Rships!$D$2:$D$9990,4)))</f>
        <v/>
      </c>
      <c r="AF93" s="64" t="str">
        <f>IF($B93="","",(COUNTIFS(Rships!$C$2:$C$9990,$A93,Rships!$D$2:$D$9990,5)))</f>
        <v/>
      </c>
      <c r="AG93" s="64" t="str">
        <f>IF($B93="","",(COUNTIFS(Rships!$C$2:$C$9990,$A93,Rships!$D$2:$D$9990,6)))</f>
        <v/>
      </c>
      <c r="AH93" s="64" t="str">
        <f>IF($B93="","",(COUNTIFS(Rships!$C$2:$C$9990,$A93,Rships!$D$2:$D$9990,7)))</f>
        <v/>
      </c>
    </row>
    <row r="94" spans="1:34">
      <c r="A94" s="1" t="s">
        <v>346</v>
      </c>
      <c r="C94" s="11" t="s">
        <v>19</v>
      </c>
      <c r="D94" s="11" t="s">
        <v>21</v>
      </c>
      <c r="F94" s="15"/>
      <c r="G94" s="15"/>
      <c r="I94" s="17"/>
      <c r="O94" s="11" t="s">
        <v>27</v>
      </c>
      <c r="Y94" s="64">
        <f t="shared" si="2"/>
        <v>0</v>
      </c>
      <c r="AA94" s="64">
        <f t="shared" si="3"/>
        <v>0</v>
      </c>
      <c r="AB94" s="64" t="str">
        <f>IF($B94="","",(COUNTIFS(Rships!$C$2:$C$9990,$A94,Rships!$D$2:$D$9990,1)))</f>
        <v/>
      </c>
      <c r="AC94" s="64" t="str">
        <f>IF($B94="","",(COUNTIFS(Rships!$C$2:$C$9990,$A94,Rships!$D$2:$D$9990,2)))</f>
        <v/>
      </c>
      <c r="AD94" s="64" t="str">
        <f>IF($B94="","",(COUNTIFS(Rships!$C$2:$C$9990,$A94,Rships!$D$2:$D$9990,3)))</f>
        <v/>
      </c>
      <c r="AE94" s="64" t="str">
        <f>IF($B94="","",(COUNTIFS(Rships!$C$2:$C$9990,$A94,Rships!$D$2:$D$9990,4)))</f>
        <v/>
      </c>
      <c r="AF94" s="64" t="str">
        <f>IF($B94="","",(COUNTIFS(Rships!$C$2:$C$9990,$A94,Rships!$D$2:$D$9990,5)))</f>
        <v/>
      </c>
      <c r="AG94" s="64" t="str">
        <f>IF($B94="","",(COUNTIFS(Rships!$C$2:$C$9990,$A94,Rships!$D$2:$D$9990,6)))</f>
        <v/>
      </c>
      <c r="AH94" s="64" t="str">
        <f>IF($B94="","",(COUNTIFS(Rships!$C$2:$C$9990,$A94,Rships!$D$2:$D$9990,7)))</f>
        <v/>
      </c>
    </row>
    <row r="95" spans="1:34">
      <c r="A95" s="1" t="s">
        <v>347</v>
      </c>
      <c r="C95" s="11" t="s">
        <v>19</v>
      </c>
      <c r="D95" s="11" t="s">
        <v>21</v>
      </c>
      <c r="F95" s="15"/>
      <c r="G95" s="15"/>
      <c r="I95" s="17"/>
      <c r="O95" s="11" t="s">
        <v>27</v>
      </c>
      <c r="Y95" s="64">
        <f t="shared" si="2"/>
        <v>0</v>
      </c>
      <c r="AA95" s="64">
        <f t="shared" si="3"/>
        <v>0</v>
      </c>
      <c r="AB95" s="64" t="str">
        <f>IF($B95="","",(COUNTIFS(Rships!$C$2:$C$9990,$A95,Rships!$D$2:$D$9990,1)))</f>
        <v/>
      </c>
      <c r="AC95" s="64" t="str">
        <f>IF($B95="","",(COUNTIFS(Rships!$C$2:$C$9990,$A95,Rships!$D$2:$D$9990,2)))</f>
        <v/>
      </c>
      <c r="AD95" s="64" t="str">
        <f>IF($B95="","",(COUNTIFS(Rships!$C$2:$C$9990,$A95,Rships!$D$2:$D$9990,3)))</f>
        <v/>
      </c>
      <c r="AE95" s="64" t="str">
        <f>IF($B95="","",(COUNTIFS(Rships!$C$2:$C$9990,$A95,Rships!$D$2:$D$9990,4)))</f>
        <v/>
      </c>
      <c r="AF95" s="64" t="str">
        <f>IF($B95="","",(COUNTIFS(Rships!$C$2:$C$9990,$A95,Rships!$D$2:$D$9990,5)))</f>
        <v/>
      </c>
      <c r="AG95" s="64" t="str">
        <f>IF($B95="","",(COUNTIFS(Rships!$C$2:$C$9990,$A95,Rships!$D$2:$D$9990,6)))</f>
        <v/>
      </c>
      <c r="AH95" s="64" t="str">
        <f>IF($B95="","",(COUNTIFS(Rships!$C$2:$C$9990,$A95,Rships!$D$2:$D$9990,7)))</f>
        <v/>
      </c>
    </row>
    <row r="96" spans="1:34">
      <c r="A96" s="1" t="s">
        <v>348</v>
      </c>
      <c r="C96" s="11" t="s">
        <v>19</v>
      </c>
      <c r="D96" s="11" t="s">
        <v>21</v>
      </c>
      <c r="F96" s="15"/>
      <c r="G96" s="15"/>
      <c r="I96" s="17"/>
      <c r="O96" s="11" t="s">
        <v>27</v>
      </c>
      <c r="Y96" s="64">
        <f t="shared" si="2"/>
        <v>0</v>
      </c>
      <c r="AA96" s="64">
        <f t="shared" si="3"/>
        <v>0</v>
      </c>
      <c r="AB96" s="64" t="str">
        <f>IF($B96="","",(COUNTIFS(Rships!$C$2:$C$9990,$A96,Rships!$D$2:$D$9990,1)))</f>
        <v/>
      </c>
      <c r="AC96" s="64" t="str">
        <f>IF($B96="","",(COUNTIFS(Rships!$C$2:$C$9990,$A96,Rships!$D$2:$D$9990,2)))</f>
        <v/>
      </c>
      <c r="AD96" s="64" t="str">
        <f>IF($B96="","",(COUNTIFS(Rships!$C$2:$C$9990,$A96,Rships!$D$2:$D$9990,3)))</f>
        <v/>
      </c>
      <c r="AE96" s="64" t="str">
        <f>IF($B96="","",(COUNTIFS(Rships!$C$2:$C$9990,$A96,Rships!$D$2:$D$9990,4)))</f>
        <v/>
      </c>
      <c r="AF96" s="64" t="str">
        <f>IF($B96="","",(COUNTIFS(Rships!$C$2:$C$9990,$A96,Rships!$D$2:$D$9990,5)))</f>
        <v/>
      </c>
      <c r="AG96" s="64" t="str">
        <f>IF($B96="","",(COUNTIFS(Rships!$C$2:$C$9990,$A96,Rships!$D$2:$D$9990,6)))</f>
        <v/>
      </c>
      <c r="AH96" s="64" t="str">
        <f>IF($B96="","",(COUNTIFS(Rships!$C$2:$C$9990,$A96,Rships!$D$2:$D$9990,7)))</f>
        <v/>
      </c>
    </row>
    <row r="97" spans="1:34">
      <c r="A97" s="1" t="s">
        <v>349</v>
      </c>
      <c r="C97" s="11" t="s">
        <v>19</v>
      </c>
      <c r="D97" s="11" t="s">
        <v>21</v>
      </c>
      <c r="F97" s="15"/>
      <c r="G97" s="15"/>
      <c r="I97" s="17"/>
      <c r="O97" s="11" t="s">
        <v>27</v>
      </c>
      <c r="Y97" s="64">
        <f t="shared" si="2"/>
        <v>0</v>
      </c>
      <c r="AA97" s="64">
        <f t="shared" si="3"/>
        <v>0</v>
      </c>
      <c r="AB97" s="64" t="str">
        <f>IF($B97="","",(COUNTIFS(Rships!$C$2:$C$9990,$A97,Rships!$D$2:$D$9990,1)))</f>
        <v/>
      </c>
      <c r="AC97" s="64" t="str">
        <f>IF($B97="","",(COUNTIFS(Rships!$C$2:$C$9990,$A97,Rships!$D$2:$D$9990,2)))</f>
        <v/>
      </c>
      <c r="AD97" s="64" t="str">
        <f>IF($B97="","",(COUNTIFS(Rships!$C$2:$C$9990,$A97,Rships!$D$2:$D$9990,3)))</f>
        <v/>
      </c>
      <c r="AE97" s="64" t="str">
        <f>IF($B97="","",(COUNTIFS(Rships!$C$2:$C$9990,$A97,Rships!$D$2:$D$9990,4)))</f>
        <v/>
      </c>
      <c r="AF97" s="64" t="str">
        <f>IF($B97="","",(COUNTIFS(Rships!$C$2:$C$9990,$A97,Rships!$D$2:$D$9990,5)))</f>
        <v/>
      </c>
      <c r="AG97" s="64" t="str">
        <f>IF($B97="","",(COUNTIFS(Rships!$C$2:$C$9990,$A97,Rships!$D$2:$D$9990,6)))</f>
        <v/>
      </c>
      <c r="AH97" s="64" t="str">
        <f>IF($B97="","",(COUNTIFS(Rships!$C$2:$C$9990,$A97,Rships!$D$2:$D$9990,7)))</f>
        <v/>
      </c>
    </row>
    <row r="98" spans="1:34">
      <c r="A98" s="1" t="s">
        <v>350</v>
      </c>
      <c r="C98" s="11" t="s">
        <v>19</v>
      </c>
      <c r="D98" s="11" t="s">
        <v>21</v>
      </c>
      <c r="F98" s="15"/>
      <c r="G98" s="15"/>
      <c r="I98" s="17"/>
      <c r="O98" s="11" t="s">
        <v>27</v>
      </c>
      <c r="Y98" s="64">
        <f t="shared" si="2"/>
        <v>0</v>
      </c>
      <c r="AA98" s="64">
        <f t="shared" si="3"/>
        <v>0</v>
      </c>
      <c r="AB98" s="64" t="str">
        <f>IF($B98="","",(COUNTIFS(Rships!$C$2:$C$9990,$A98,Rships!$D$2:$D$9990,1)))</f>
        <v/>
      </c>
      <c r="AC98" s="64" t="str">
        <f>IF($B98="","",(COUNTIFS(Rships!$C$2:$C$9990,$A98,Rships!$D$2:$D$9990,2)))</f>
        <v/>
      </c>
      <c r="AD98" s="64" t="str">
        <f>IF($B98="","",(COUNTIFS(Rships!$C$2:$C$9990,$A98,Rships!$D$2:$D$9990,3)))</f>
        <v/>
      </c>
      <c r="AE98" s="64" t="str">
        <f>IF($B98="","",(COUNTIFS(Rships!$C$2:$C$9990,$A98,Rships!$D$2:$D$9990,4)))</f>
        <v/>
      </c>
      <c r="AF98" s="64" t="str">
        <f>IF($B98="","",(COUNTIFS(Rships!$C$2:$C$9990,$A98,Rships!$D$2:$D$9990,5)))</f>
        <v/>
      </c>
      <c r="AG98" s="64" t="str">
        <f>IF($B98="","",(COUNTIFS(Rships!$C$2:$C$9990,$A98,Rships!$D$2:$D$9990,6)))</f>
        <v/>
      </c>
      <c r="AH98" s="64" t="str">
        <f>IF($B98="","",(COUNTIFS(Rships!$C$2:$C$9990,$A98,Rships!$D$2:$D$9990,7)))</f>
        <v/>
      </c>
    </row>
    <row r="99" spans="1:34">
      <c r="A99" s="1" t="s">
        <v>351</v>
      </c>
      <c r="C99" s="11" t="s">
        <v>19</v>
      </c>
      <c r="D99" s="11" t="s">
        <v>21</v>
      </c>
      <c r="F99" s="15"/>
      <c r="G99" s="15"/>
      <c r="I99" s="17"/>
      <c r="O99" s="11" t="s">
        <v>27</v>
      </c>
      <c r="Y99" s="64">
        <f t="shared" si="2"/>
        <v>0</v>
      </c>
      <c r="AA99" s="64">
        <f t="shared" si="3"/>
        <v>0</v>
      </c>
      <c r="AB99" s="64" t="str">
        <f>IF($B99="","",(COUNTIFS(Rships!$C$2:$C$9990,$A99,Rships!$D$2:$D$9990,1)))</f>
        <v/>
      </c>
      <c r="AC99" s="64" t="str">
        <f>IF($B99="","",(COUNTIFS(Rships!$C$2:$C$9990,$A99,Rships!$D$2:$D$9990,2)))</f>
        <v/>
      </c>
      <c r="AD99" s="64" t="str">
        <f>IF($B99="","",(COUNTIFS(Rships!$C$2:$C$9990,$A99,Rships!$D$2:$D$9990,3)))</f>
        <v/>
      </c>
      <c r="AE99" s="64" t="str">
        <f>IF($B99="","",(COUNTIFS(Rships!$C$2:$C$9990,$A99,Rships!$D$2:$D$9990,4)))</f>
        <v/>
      </c>
      <c r="AF99" s="64" t="str">
        <f>IF($B99="","",(COUNTIFS(Rships!$C$2:$C$9990,$A99,Rships!$D$2:$D$9990,5)))</f>
        <v/>
      </c>
      <c r="AG99" s="64" t="str">
        <f>IF($B99="","",(COUNTIFS(Rships!$C$2:$C$9990,$A99,Rships!$D$2:$D$9990,6)))</f>
        <v/>
      </c>
      <c r="AH99" s="64" t="str">
        <f>IF($B99="","",(COUNTIFS(Rships!$C$2:$C$9990,$A99,Rships!$D$2:$D$9990,7)))</f>
        <v/>
      </c>
    </row>
    <row r="100" spans="1:34">
      <c r="A100" s="1" t="s">
        <v>352</v>
      </c>
      <c r="C100" s="11" t="s">
        <v>19</v>
      </c>
      <c r="D100" s="11" t="s">
        <v>21</v>
      </c>
      <c r="F100" s="15"/>
      <c r="G100" s="15"/>
      <c r="I100" s="17"/>
      <c r="O100" s="11" t="s">
        <v>27</v>
      </c>
      <c r="Y100" s="64">
        <f t="shared" si="2"/>
        <v>0</v>
      </c>
      <c r="AA100" s="64">
        <f t="shared" si="3"/>
        <v>0</v>
      </c>
      <c r="AB100" s="64" t="str">
        <f>IF($B100="","",(COUNTIFS(Rships!$C$2:$C$9990,$A100,Rships!$D$2:$D$9990,1)))</f>
        <v/>
      </c>
      <c r="AC100" s="64" t="str">
        <f>IF($B100="","",(COUNTIFS(Rships!$C$2:$C$9990,$A100,Rships!$D$2:$D$9990,2)))</f>
        <v/>
      </c>
      <c r="AD100" s="64" t="str">
        <f>IF($B100="","",(COUNTIFS(Rships!$C$2:$C$9990,$A100,Rships!$D$2:$D$9990,3)))</f>
        <v/>
      </c>
      <c r="AE100" s="64" t="str">
        <f>IF($B100="","",(COUNTIFS(Rships!$C$2:$C$9990,$A100,Rships!$D$2:$D$9990,4)))</f>
        <v/>
      </c>
      <c r="AF100" s="64" t="str">
        <f>IF($B100="","",(COUNTIFS(Rships!$C$2:$C$9990,$A100,Rships!$D$2:$D$9990,5)))</f>
        <v/>
      </c>
      <c r="AG100" s="64" t="str">
        <f>IF($B100="","",(COUNTIFS(Rships!$C$2:$C$9990,$A100,Rships!$D$2:$D$9990,6)))</f>
        <v/>
      </c>
      <c r="AH100" s="64" t="str">
        <f>IF($B100="","",(COUNTIFS(Rships!$C$2:$C$9990,$A100,Rships!$D$2:$D$9990,7)))</f>
        <v/>
      </c>
    </row>
    <row r="101" spans="1:34">
      <c r="A101" s="1" t="s">
        <v>353</v>
      </c>
      <c r="C101" s="11" t="s">
        <v>19</v>
      </c>
      <c r="D101" s="11" t="s">
        <v>21</v>
      </c>
      <c r="F101" s="15"/>
      <c r="G101" s="15"/>
      <c r="I101" s="17"/>
      <c r="O101" s="11" t="s">
        <v>27</v>
      </c>
      <c r="Y101" s="64">
        <f t="shared" si="2"/>
        <v>0</v>
      </c>
      <c r="AA101" s="64">
        <f t="shared" si="3"/>
        <v>0</v>
      </c>
      <c r="AB101" s="64" t="str">
        <f>IF($B101="","",(COUNTIFS(Rships!$C$2:$C$9990,$A101,Rships!$D$2:$D$9990,1)))</f>
        <v/>
      </c>
      <c r="AC101" s="64" t="str">
        <f>IF($B101="","",(COUNTIFS(Rships!$C$2:$C$9990,$A101,Rships!$D$2:$D$9990,2)))</f>
        <v/>
      </c>
      <c r="AD101" s="64" t="str">
        <f>IF($B101="","",(COUNTIFS(Rships!$C$2:$C$9990,$A101,Rships!$D$2:$D$9990,3)))</f>
        <v/>
      </c>
      <c r="AE101" s="64" t="str">
        <f>IF($B101="","",(COUNTIFS(Rships!$C$2:$C$9990,$A101,Rships!$D$2:$D$9990,4)))</f>
        <v/>
      </c>
      <c r="AF101" s="64" t="str">
        <f>IF($B101="","",(COUNTIFS(Rships!$C$2:$C$9990,$A101,Rships!$D$2:$D$9990,5)))</f>
        <v/>
      </c>
      <c r="AG101" s="64" t="str">
        <f>IF($B101="","",(COUNTIFS(Rships!$C$2:$C$9990,$A101,Rships!$D$2:$D$9990,6)))</f>
        <v/>
      </c>
      <c r="AH101" s="64" t="str">
        <f>IF($B101="","",(COUNTIFS(Rships!$C$2:$C$9990,$A101,Rships!$D$2:$D$9990,7)))</f>
        <v/>
      </c>
    </row>
    <row r="102" spans="1:34">
      <c r="A102" s="1" t="s">
        <v>354</v>
      </c>
      <c r="C102" s="11" t="s">
        <v>19</v>
      </c>
      <c r="D102" s="11" t="s">
        <v>21</v>
      </c>
      <c r="F102" s="15"/>
      <c r="G102" s="15"/>
      <c r="I102" s="17"/>
      <c r="O102" s="11" t="s">
        <v>27</v>
      </c>
      <c r="Y102" s="64">
        <f t="shared" si="2"/>
        <v>0</v>
      </c>
      <c r="AA102" s="64">
        <f t="shared" si="3"/>
        <v>0</v>
      </c>
      <c r="AB102" s="64" t="str">
        <f>IF($B102="","",(COUNTIFS(Rships!$C$2:$C$9990,$A102,Rships!$D$2:$D$9990,1)))</f>
        <v/>
      </c>
      <c r="AC102" s="64" t="str">
        <f>IF($B102="","",(COUNTIFS(Rships!$C$2:$C$9990,$A102,Rships!$D$2:$D$9990,2)))</f>
        <v/>
      </c>
      <c r="AD102" s="64" t="str">
        <f>IF($B102="","",(COUNTIFS(Rships!$C$2:$C$9990,$A102,Rships!$D$2:$D$9990,3)))</f>
        <v/>
      </c>
      <c r="AE102" s="64" t="str">
        <f>IF($B102="","",(COUNTIFS(Rships!$C$2:$C$9990,$A102,Rships!$D$2:$D$9990,4)))</f>
        <v/>
      </c>
      <c r="AF102" s="64" t="str">
        <f>IF($B102="","",(COUNTIFS(Rships!$C$2:$C$9990,$A102,Rships!$D$2:$D$9990,5)))</f>
        <v/>
      </c>
      <c r="AG102" s="64" t="str">
        <f>IF($B102="","",(COUNTIFS(Rships!$C$2:$C$9990,$A102,Rships!$D$2:$D$9990,6)))</f>
        <v/>
      </c>
      <c r="AH102" s="64" t="str">
        <f>IF($B102="","",(COUNTIFS(Rships!$C$2:$C$9990,$A102,Rships!$D$2:$D$9990,7)))</f>
        <v/>
      </c>
    </row>
    <row r="103" spans="1:34">
      <c r="A103" s="1" t="s">
        <v>355</v>
      </c>
      <c r="C103" s="11" t="s">
        <v>19</v>
      </c>
      <c r="D103" s="11" t="s">
        <v>21</v>
      </c>
      <c r="F103" s="15"/>
      <c r="G103" s="15"/>
      <c r="I103" s="17"/>
      <c r="O103" s="11" t="s">
        <v>27</v>
      </c>
      <c r="Y103" s="64">
        <f t="shared" si="2"/>
        <v>0</v>
      </c>
      <c r="AA103" s="64">
        <f t="shared" si="3"/>
        <v>0</v>
      </c>
      <c r="AB103" s="64" t="str">
        <f>IF($B103="","",(COUNTIFS(Rships!$C$2:$C$9990,$A103,Rships!$D$2:$D$9990,1)))</f>
        <v/>
      </c>
      <c r="AC103" s="64" t="str">
        <f>IF($B103="","",(COUNTIFS(Rships!$C$2:$C$9990,$A103,Rships!$D$2:$D$9990,2)))</f>
        <v/>
      </c>
      <c r="AD103" s="64" t="str">
        <f>IF($B103="","",(COUNTIFS(Rships!$C$2:$C$9990,$A103,Rships!$D$2:$D$9990,3)))</f>
        <v/>
      </c>
      <c r="AE103" s="64" t="str">
        <f>IF($B103="","",(COUNTIFS(Rships!$C$2:$C$9990,$A103,Rships!$D$2:$D$9990,4)))</f>
        <v/>
      </c>
      <c r="AF103" s="64" t="str">
        <f>IF($B103="","",(COUNTIFS(Rships!$C$2:$C$9990,$A103,Rships!$D$2:$D$9990,5)))</f>
        <v/>
      </c>
      <c r="AG103" s="64" t="str">
        <f>IF($B103="","",(COUNTIFS(Rships!$C$2:$C$9990,$A103,Rships!$D$2:$D$9990,6)))</f>
        <v/>
      </c>
      <c r="AH103" s="64" t="str">
        <f>IF($B103="","",(COUNTIFS(Rships!$C$2:$C$9990,$A103,Rships!$D$2:$D$9990,7)))</f>
        <v/>
      </c>
    </row>
    <row r="104" spans="1:34">
      <c r="A104" s="1" t="s">
        <v>356</v>
      </c>
      <c r="C104" s="11" t="s">
        <v>19</v>
      </c>
      <c r="D104" s="11" t="s">
        <v>21</v>
      </c>
      <c r="F104" s="15"/>
      <c r="G104" s="15"/>
      <c r="I104" s="17"/>
      <c r="O104" s="11" t="s">
        <v>27</v>
      </c>
      <c r="Y104" s="64">
        <f t="shared" si="2"/>
        <v>0</v>
      </c>
      <c r="AA104" s="64">
        <f t="shared" si="3"/>
        <v>0</v>
      </c>
      <c r="AB104" s="64" t="str">
        <f>IF($B104="","",(COUNTIFS(Rships!$C$2:$C$9990,$A104,Rships!$D$2:$D$9990,1)))</f>
        <v/>
      </c>
      <c r="AC104" s="64" t="str">
        <f>IF($B104="","",(COUNTIFS(Rships!$C$2:$C$9990,$A104,Rships!$D$2:$D$9990,2)))</f>
        <v/>
      </c>
      <c r="AD104" s="64" t="str">
        <f>IF($B104="","",(COUNTIFS(Rships!$C$2:$C$9990,$A104,Rships!$D$2:$D$9990,3)))</f>
        <v/>
      </c>
      <c r="AE104" s="64" t="str">
        <f>IF($B104="","",(COUNTIFS(Rships!$C$2:$C$9990,$A104,Rships!$D$2:$D$9990,4)))</f>
        <v/>
      </c>
      <c r="AF104" s="64" t="str">
        <f>IF($B104="","",(COUNTIFS(Rships!$C$2:$C$9990,$A104,Rships!$D$2:$D$9990,5)))</f>
        <v/>
      </c>
      <c r="AG104" s="64" t="str">
        <f>IF($B104="","",(COUNTIFS(Rships!$C$2:$C$9990,$A104,Rships!$D$2:$D$9990,6)))</f>
        <v/>
      </c>
      <c r="AH104" s="64" t="str">
        <f>IF($B104="","",(COUNTIFS(Rships!$C$2:$C$9990,$A104,Rships!$D$2:$D$9990,7)))</f>
        <v/>
      </c>
    </row>
    <row r="105" spans="1:34">
      <c r="A105" s="1" t="s">
        <v>357</v>
      </c>
      <c r="C105" s="11" t="s">
        <v>19</v>
      </c>
      <c r="D105" s="11" t="s">
        <v>21</v>
      </c>
      <c r="F105" s="15"/>
      <c r="G105" s="15"/>
      <c r="I105" s="17"/>
      <c r="O105" s="11" t="s">
        <v>27</v>
      </c>
      <c r="Y105" s="64">
        <f t="shared" si="2"/>
        <v>0</v>
      </c>
      <c r="AA105" s="64">
        <f t="shared" si="3"/>
        <v>0</v>
      </c>
      <c r="AB105" s="64" t="str">
        <f>IF($B105="","",(COUNTIFS(Rships!$C$2:$C$9990,$A105,Rships!$D$2:$D$9990,1)))</f>
        <v/>
      </c>
      <c r="AC105" s="64" t="str">
        <f>IF($B105="","",(COUNTIFS(Rships!$C$2:$C$9990,$A105,Rships!$D$2:$D$9990,2)))</f>
        <v/>
      </c>
      <c r="AD105" s="64" t="str">
        <f>IF($B105="","",(COUNTIFS(Rships!$C$2:$C$9990,$A105,Rships!$D$2:$D$9990,3)))</f>
        <v/>
      </c>
      <c r="AE105" s="64" t="str">
        <f>IF($B105="","",(COUNTIFS(Rships!$C$2:$C$9990,$A105,Rships!$D$2:$D$9990,4)))</f>
        <v/>
      </c>
      <c r="AF105" s="64" t="str">
        <f>IF($B105="","",(COUNTIFS(Rships!$C$2:$C$9990,$A105,Rships!$D$2:$D$9990,5)))</f>
        <v/>
      </c>
      <c r="AG105" s="64" t="str">
        <f>IF($B105="","",(COUNTIFS(Rships!$C$2:$C$9990,$A105,Rships!$D$2:$D$9990,6)))</f>
        <v/>
      </c>
      <c r="AH105" s="64" t="str">
        <f>IF($B105="","",(COUNTIFS(Rships!$C$2:$C$9990,$A105,Rships!$D$2:$D$9990,7)))</f>
        <v/>
      </c>
    </row>
    <row r="106" spans="1:34">
      <c r="A106" s="1" t="s">
        <v>358</v>
      </c>
      <c r="C106" s="11" t="s">
        <v>19</v>
      </c>
      <c r="D106" s="11" t="s">
        <v>21</v>
      </c>
      <c r="F106" s="15"/>
      <c r="G106" s="15"/>
      <c r="I106" s="17"/>
      <c r="O106" s="11" t="s">
        <v>27</v>
      </c>
      <c r="Y106" s="64">
        <f t="shared" si="2"/>
        <v>0</v>
      </c>
      <c r="AA106" s="64">
        <f t="shared" si="3"/>
        <v>0</v>
      </c>
      <c r="AB106" s="64" t="str">
        <f>IF($B106="","",(COUNTIFS(Rships!$C$2:$C$9990,$A106,Rships!$D$2:$D$9990,1)))</f>
        <v/>
      </c>
      <c r="AC106" s="64" t="str">
        <f>IF($B106="","",(COUNTIFS(Rships!$C$2:$C$9990,$A106,Rships!$D$2:$D$9990,2)))</f>
        <v/>
      </c>
      <c r="AD106" s="64" t="str">
        <f>IF($B106="","",(COUNTIFS(Rships!$C$2:$C$9990,$A106,Rships!$D$2:$D$9990,3)))</f>
        <v/>
      </c>
      <c r="AE106" s="64" t="str">
        <f>IF($B106="","",(COUNTIFS(Rships!$C$2:$C$9990,$A106,Rships!$D$2:$D$9990,4)))</f>
        <v/>
      </c>
      <c r="AF106" s="64" t="str">
        <f>IF($B106="","",(COUNTIFS(Rships!$C$2:$C$9990,$A106,Rships!$D$2:$D$9990,5)))</f>
        <v/>
      </c>
      <c r="AG106" s="64" t="str">
        <f>IF($B106="","",(COUNTIFS(Rships!$C$2:$C$9990,$A106,Rships!$D$2:$D$9990,6)))</f>
        <v/>
      </c>
      <c r="AH106" s="64" t="str">
        <f>IF($B106="","",(COUNTIFS(Rships!$C$2:$C$9990,$A106,Rships!$D$2:$D$9990,7)))</f>
        <v/>
      </c>
    </row>
    <row r="107" spans="1:34">
      <c r="A107" s="1" t="s">
        <v>359</v>
      </c>
      <c r="C107" s="11" t="s">
        <v>19</v>
      </c>
      <c r="D107" s="11" t="s">
        <v>21</v>
      </c>
      <c r="F107" s="15"/>
      <c r="G107" s="15"/>
      <c r="I107" s="17"/>
      <c r="O107" s="11" t="s">
        <v>27</v>
      </c>
      <c r="Y107" s="64">
        <f t="shared" si="2"/>
        <v>0</v>
      </c>
      <c r="AA107" s="64">
        <f t="shared" si="3"/>
        <v>0</v>
      </c>
      <c r="AB107" s="64" t="str">
        <f>IF($B107="","",(COUNTIFS(Rships!$C$2:$C$9990,$A107,Rships!$D$2:$D$9990,1)))</f>
        <v/>
      </c>
      <c r="AC107" s="64" t="str">
        <f>IF($B107="","",(COUNTIFS(Rships!$C$2:$C$9990,$A107,Rships!$D$2:$D$9990,2)))</f>
        <v/>
      </c>
      <c r="AD107" s="64" t="str">
        <f>IF($B107="","",(COUNTIFS(Rships!$C$2:$C$9990,$A107,Rships!$D$2:$D$9990,3)))</f>
        <v/>
      </c>
      <c r="AE107" s="64" t="str">
        <f>IF($B107="","",(COUNTIFS(Rships!$C$2:$C$9990,$A107,Rships!$D$2:$D$9990,4)))</f>
        <v/>
      </c>
      <c r="AF107" s="64" t="str">
        <f>IF($B107="","",(COUNTIFS(Rships!$C$2:$C$9990,$A107,Rships!$D$2:$D$9990,5)))</f>
        <v/>
      </c>
      <c r="AG107" s="64" t="str">
        <f>IF($B107="","",(COUNTIFS(Rships!$C$2:$C$9990,$A107,Rships!$D$2:$D$9990,6)))</f>
        <v/>
      </c>
      <c r="AH107" s="64" t="str">
        <f>IF($B107="","",(COUNTIFS(Rships!$C$2:$C$9990,$A107,Rships!$D$2:$D$9990,7)))</f>
        <v/>
      </c>
    </row>
    <row r="108" spans="1:34">
      <c r="A108" s="1" t="s">
        <v>360</v>
      </c>
      <c r="C108" s="11" t="s">
        <v>19</v>
      </c>
      <c r="D108" s="11" t="s">
        <v>21</v>
      </c>
      <c r="F108" s="15"/>
      <c r="G108" s="15"/>
      <c r="I108" s="17"/>
      <c r="O108" s="11" t="s">
        <v>27</v>
      </c>
      <c r="Y108" s="64">
        <f t="shared" si="2"/>
        <v>0</v>
      </c>
      <c r="AA108" s="64">
        <f t="shared" si="3"/>
        <v>0</v>
      </c>
      <c r="AB108" s="64" t="str">
        <f>IF($B108="","",(COUNTIFS(Rships!$C$2:$C$9990,$A108,Rships!$D$2:$D$9990,1)))</f>
        <v/>
      </c>
      <c r="AC108" s="64" t="str">
        <f>IF($B108="","",(COUNTIFS(Rships!$C$2:$C$9990,$A108,Rships!$D$2:$D$9990,2)))</f>
        <v/>
      </c>
      <c r="AD108" s="64" t="str">
        <f>IF($B108="","",(COUNTIFS(Rships!$C$2:$C$9990,$A108,Rships!$D$2:$D$9990,3)))</f>
        <v/>
      </c>
      <c r="AE108" s="64" t="str">
        <f>IF($B108="","",(COUNTIFS(Rships!$C$2:$C$9990,$A108,Rships!$D$2:$D$9990,4)))</f>
        <v/>
      </c>
      <c r="AF108" s="64" t="str">
        <f>IF($B108="","",(COUNTIFS(Rships!$C$2:$C$9990,$A108,Rships!$D$2:$D$9990,5)))</f>
        <v/>
      </c>
      <c r="AG108" s="64" t="str">
        <f>IF($B108="","",(COUNTIFS(Rships!$C$2:$C$9990,$A108,Rships!$D$2:$D$9990,6)))</f>
        <v/>
      </c>
      <c r="AH108" s="64" t="str">
        <f>IF($B108="","",(COUNTIFS(Rships!$C$2:$C$9990,$A108,Rships!$D$2:$D$9990,7)))</f>
        <v/>
      </c>
    </row>
    <row r="109" spans="1:34">
      <c r="A109" s="1" t="s">
        <v>361</v>
      </c>
      <c r="C109" s="11" t="s">
        <v>19</v>
      </c>
      <c r="D109" s="11" t="s">
        <v>21</v>
      </c>
      <c r="F109" s="15"/>
      <c r="G109" s="15"/>
      <c r="I109" s="17"/>
      <c r="O109" s="11" t="s">
        <v>27</v>
      </c>
      <c r="Y109" s="64">
        <f t="shared" si="2"/>
        <v>0</v>
      </c>
      <c r="AA109" s="64">
        <f t="shared" si="3"/>
        <v>0</v>
      </c>
      <c r="AB109" s="64" t="str">
        <f>IF($B109="","",(COUNTIFS(Rships!$C$2:$C$9990,$A109,Rships!$D$2:$D$9990,1)))</f>
        <v/>
      </c>
      <c r="AC109" s="64" t="str">
        <f>IF($B109="","",(COUNTIFS(Rships!$C$2:$C$9990,$A109,Rships!$D$2:$D$9990,2)))</f>
        <v/>
      </c>
      <c r="AD109" s="64" t="str">
        <f>IF($B109="","",(COUNTIFS(Rships!$C$2:$C$9990,$A109,Rships!$D$2:$D$9990,3)))</f>
        <v/>
      </c>
      <c r="AE109" s="64" t="str">
        <f>IF($B109="","",(COUNTIFS(Rships!$C$2:$C$9990,$A109,Rships!$D$2:$D$9990,4)))</f>
        <v/>
      </c>
      <c r="AF109" s="64" t="str">
        <f>IF($B109="","",(COUNTIFS(Rships!$C$2:$C$9990,$A109,Rships!$D$2:$D$9990,5)))</f>
        <v/>
      </c>
      <c r="AG109" s="64" t="str">
        <f>IF($B109="","",(COUNTIFS(Rships!$C$2:$C$9990,$A109,Rships!$D$2:$D$9990,6)))</f>
        <v/>
      </c>
      <c r="AH109" s="64" t="str">
        <f>IF($B109="","",(COUNTIFS(Rships!$C$2:$C$9990,$A109,Rships!$D$2:$D$9990,7)))</f>
        <v/>
      </c>
    </row>
    <row r="110" spans="1:34">
      <c r="A110" s="1" t="s">
        <v>362</v>
      </c>
      <c r="C110" s="11" t="s">
        <v>19</v>
      </c>
      <c r="D110" s="11" t="s">
        <v>21</v>
      </c>
      <c r="F110" s="15"/>
      <c r="G110" s="15"/>
      <c r="I110" s="17"/>
      <c r="O110" s="11" t="s">
        <v>27</v>
      </c>
      <c r="Y110" s="64">
        <f t="shared" si="2"/>
        <v>0</v>
      </c>
      <c r="AA110" s="64">
        <f t="shared" si="3"/>
        <v>0</v>
      </c>
      <c r="AB110" s="64" t="str">
        <f>IF($B110="","",(COUNTIFS(Rships!$C$2:$C$9990,$A110,Rships!$D$2:$D$9990,1)))</f>
        <v/>
      </c>
      <c r="AC110" s="64" t="str">
        <f>IF($B110="","",(COUNTIFS(Rships!$C$2:$C$9990,$A110,Rships!$D$2:$D$9990,2)))</f>
        <v/>
      </c>
      <c r="AD110" s="64" t="str">
        <f>IF($B110="","",(COUNTIFS(Rships!$C$2:$C$9990,$A110,Rships!$D$2:$D$9990,3)))</f>
        <v/>
      </c>
      <c r="AE110" s="64" t="str">
        <f>IF($B110="","",(COUNTIFS(Rships!$C$2:$C$9990,$A110,Rships!$D$2:$D$9990,4)))</f>
        <v/>
      </c>
      <c r="AF110" s="64" t="str">
        <f>IF($B110="","",(COUNTIFS(Rships!$C$2:$C$9990,$A110,Rships!$D$2:$D$9990,5)))</f>
        <v/>
      </c>
      <c r="AG110" s="64" t="str">
        <f>IF($B110="","",(COUNTIFS(Rships!$C$2:$C$9990,$A110,Rships!$D$2:$D$9990,6)))</f>
        <v/>
      </c>
      <c r="AH110" s="64" t="str">
        <f>IF($B110="","",(COUNTIFS(Rships!$C$2:$C$9990,$A110,Rships!$D$2:$D$9990,7)))</f>
        <v/>
      </c>
    </row>
    <row r="111" spans="1:34">
      <c r="A111" s="1" t="s">
        <v>363</v>
      </c>
      <c r="C111" s="11" t="s">
        <v>19</v>
      </c>
      <c r="D111" s="11" t="s">
        <v>21</v>
      </c>
      <c r="F111" s="15"/>
      <c r="G111" s="15"/>
      <c r="I111" s="17"/>
      <c r="O111" s="11" t="s">
        <v>27</v>
      </c>
      <c r="Y111" s="64">
        <f t="shared" si="2"/>
        <v>0</v>
      </c>
      <c r="AA111" s="64">
        <f t="shared" si="3"/>
        <v>0</v>
      </c>
      <c r="AB111" s="64" t="str">
        <f>IF($B111="","",(COUNTIFS(Rships!$C$2:$C$9990,$A111,Rships!$D$2:$D$9990,1)))</f>
        <v/>
      </c>
      <c r="AC111" s="64" t="str">
        <f>IF($B111="","",(COUNTIFS(Rships!$C$2:$C$9990,$A111,Rships!$D$2:$D$9990,2)))</f>
        <v/>
      </c>
      <c r="AD111" s="64" t="str">
        <f>IF($B111="","",(COUNTIFS(Rships!$C$2:$C$9990,$A111,Rships!$D$2:$D$9990,3)))</f>
        <v/>
      </c>
      <c r="AE111" s="64" t="str">
        <f>IF($B111="","",(COUNTIFS(Rships!$C$2:$C$9990,$A111,Rships!$D$2:$D$9990,4)))</f>
        <v/>
      </c>
      <c r="AF111" s="64" t="str">
        <f>IF($B111="","",(COUNTIFS(Rships!$C$2:$C$9990,$A111,Rships!$D$2:$D$9990,5)))</f>
        <v/>
      </c>
      <c r="AG111" s="64" t="str">
        <f>IF($B111="","",(COUNTIFS(Rships!$C$2:$C$9990,$A111,Rships!$D$2:$D$9990,6)))</f>
        <v/>
      </c>
      <c r="AH111" s="64" t="str">
        <f>IF($B111="","",(COUNTIFS(Rships!$C$2:$C$9990,$A111,Rships!$D$2:$D$9990,7)))</f>
        <v/>
      </c>
    </row>
    <row r="112" spans="1:34">
      <c r="A112" s="1" t="s">
        <v>364</v>
      </c>
      <c r="C112" s="11" t="s">
        <v>19</v>
      </c>
      <c r="D112" s="11" t="s">
        <v>21</v>
      </c>
      <c r="F112" s="15"/>
      <c r="G112" s="15"/>
      <c r="I112" s="17"/>
      <c r="O112" s="11" t="s">
        <v>27</v>
      </c>
      <c r="Y112" s="64">
        <f t="shared" si="2"/>
        <v>0</v>
      </c>
      <c r="AA112" s="64">
        <f t="shared" si="3"/>
        <v>0</v>
      </c>
      <c r="AB112" s="64" t="str">
        <f>IF($B112="","",(COUNTIFS(Rships!$C$2:$C$9990,$A112,Rships!$D$2:$D$9990,1)))</f>
        <v/>
      </c>
      <c r="AC112" s="64" t="str">
        <f>IF($B112="","",(COUNTIFS(Rships!$C$2:$C$9990,$A112,Rships!$D$2:$D$9990,2)))</f>
        <v/>
      </c>
      <c r="AD112" s="64" t="str">
        <f>IF($B112="","",(COUNTIFS(Rships!$C$2:$C$9990,$A112,Rships!$D$2:$D$9990,3)))</f>
        <v/>
      </c>
      <c r="AE112" s="64" t="str">
        <f>IF($B112="","",(COUNTIFS(Rships!$C$2:$C$9990,$A112,Rships!$D$2:$D$9990,4)))</f>
        <v/>
      </c>
      <c r="AF112" s="64" t="str">
        <f>IF($B112="","",(COUNTIFS(Rships!$C$2:$C$9990,$A112,Rships!$D$2:$D$9990,5)))</f>
        <v/>
      </c>
      <c r="AG112" s="64" t="str">
        <f>IF($B112="","",(COUNTIFS(Rships!$C$2:$C$9990,$A112,Rships!$D$2:$D$9990,6)))</f>
        <v/>
      </c>
      <c r="AH112" s="64" t="str">
        <f>IF($B112="","",(COUNTIFS(Rships!$C$2:$C$9990,$A112,Rships!$D$2:$D$9990,7)))</f>
        <v/>
      </c>
    </row>
    <row r="113" spans="1:34">
      <c r="A113" s="1" t="s">
        <v>365</v>
      </c>
      <c r="C113" s="11" t="s">
        <v>19</v>
      </c>
      <c r="D113" s="11" t="s">
        <v>21</v>
      </c>
      <c r="F113" s="15"/>
      <c r="G113" s="15"/>
      <c r="I113" s="17"/>
      <c r="O113" s="11" t="s">
        <v>27</v>
      </c>
      <c r="Y113" s="64">
        <f t="shared" si="2"/>
        <v>0</v>
      </c>
      <c r="AA113" s="64">
        <f t="shared" si="3"/>
        <v>0</v>
      </c>
      <c r="AB113" s="64" t="str">
        <f>IF($B113="","",(COUNTIFS(Rships!$C$2:$C$9990,$A113,Rships!$D$2:$D$9990,1)))</f>
        <v/>
      </c>
      <c r="AC113" s="64" t="str">
        <f>IF($B113="","",(COUNTIFS(Rships!$C$2:$C$9990,$A113,Rships!$D$2:$D$9990,2)))</f>
        <v/>
      </c>
      <c r="AD113" s="64" t="str">
        <f>IF($B113="","",(COUNTIFS(Rships!$C$2:$C$9990,$A113,Rships!$D$2:$D$9990,3)))</f>
        <v/>
      </c>
      <c r="AE113" s="64" t="str">
        <f>IF($B113="","",(COUNTIFS(Rships!$C$2:$C$9990,$A113,Rships!$D$2:$D$9990,4)))</f>
        <v/>
      </c>
      <c r="AF113" s="64" t="str">
        <f>IF($B113="","",(COUNTIFS(Rships!$C$2:$C$9990,$A113,Rships!$D$2:$D$9990,5)))</f>
        <v/>
      </c>
      <c r="AG113" s="64" t="str">
        <f>IF($B113="","",(COUNTIFS(Rships!$C$2:$C$9990,$A113,Rships!$D$2:$D$9990,6)))</f>
        <v/>
      </c>
      <c r="AH113" s="64" t="str">
        <f>IF($B113="","",(COUNTIFS(Rships!$C$2:$C$9990,$A113,Rships!$D$2:$D$9990,7)))</f>
        <v/>
      </c>
    </row>
    <row r="114" spans="1:34">
      <c r="A114" s="1" t="s">
        <v>366</v>
      </c>
      <c r="C114" s="11" t="s">
        <v>19</v>
      </c>
      <c r="D114" s="11" t="s">
        <v>21</v>
      </c>
      <c r="F114" s="15"/>
      <c r="G114" s="15"/>
      <c r="I114" s="17"/>
      <c r="O114" s="11" t="s">
        <v>27</v>
      </c>
      <c r="Y114" s="64">
        <f t="shared" si="2"/>
        <v>0</v>
      </c>
      <c r="AA114" s="64">
        <f t="shared" si="3"/>
        <v>0</v>
      </c>
      <c r="AB114" s="64" t="str">
        <f>IF($B114="","",(COUNTIFS(Rships!$C$2:$C$9990,$A114,Rships!$D$2:$D$9990,1)))</f>
        <v/>
      </c>
      <c r="AC114" s="64" t="str">
        <f>IF($B114="","",(COUNTIFS(Rships!$C$2:$C$9990,$A114,Rships!$D$2:$D$9990,2)))</f>
        <v/>
      </c>
      <c r="AD114" s="64" t="str">
        <f>IF($B114="","",(COUNTIFS(Rships!$C$2:$C$9990,$A114,Rships!$D$2:$D$9990,3)))</f>
        <v/>
      </c>
      <c r="AE114" s="64" t="str">
        <f>IF($B114="","",(COUNTIFS(Rships!$C$2:$C$9990,$A114,Rships!$D$2:$D$9990,4)))</f>
        <v/>
      </c>
      <c r="AF114" s="64" t="str">
        <f>IF($B114="","",(COUNTIFS(Rships!$C$2:$C$9990,$A114,Rships!$D$2:$D$9990,5)))</f>
        <v/>
      </c>
      <c r="AG114" s="64" t="str">
        <f>IF($B114="","",(COUNTIFS(Rships!$C$2:$C$9990,$A114,Rships!$D$2:$D$9990,6)))</f>
        <v/>
      </c>
      <c r="AH114" s="64" t="str">
        <f>IF($B114="","",(COUNTIFS(Rships!$C$2:$C$9990,$A114,Rships!$D$2:$D$9990,7)))</f>
        <v/>
      </c>
    </row>
    <row r="115" spans="1:34">
      <c r="A115" s="1" t="s">
        <v>367</v>
      </c>
      <c r="C115" s="11" t="s">
        <v>19</v>
      </c>
      <c r="D115" s="11" t="s">
        <v>21</v>
      </c>
      <c r="F115" s="15"/>
      <c r="G115" s="15"/>
      <c r="I115" s="17"/>
      <c r="O115" s="11" t="s">
        <v>27</v>
      </c>
      <c r="Y115" s="64">
        <f t="shared" ref="Y115:Y178" si="4">SUMIF($B$2:$B$100,$A115,$AA$2:$AA$100)</f>
        <v>0</v>
      </c>
      <c r="AA115" s="64">
        <f t="shared" si="3"/>
        <v>0</v>
      </c>
      <c r="AB115" s="64" t="str">
        <f>IF($B115="","",(COUNTIFS(Rships!$C$2:$C$9990,$A115,Rships!$D$2:$D$9990,1)))</f>
        <v/>
      </c>
      <c r="AC115" s="64" t="str">
        <f>IF($B115="","",(COUNTIFS(Rships!$C$2:$C$9990,$A115,Rships!$D$2:$D$9990,2)))</f>
        <v/>
      </c>
      <c r="AD115" s="64" t="str">
        <f>IF($B115="","",(COUNTIFS(Rships!$C$2:$C$9990,$A115,Rships!$D$2:$D$9990,3)))</f>
        <v/>
      </c>
      <c r="AE115" s="64" t="str">
        <f>IF($B115="","",(COUNTIFS(Rships!$C$2:$C$9990,$A115,Rships!$D$2:$D$9990,4)))</f>
        <v/>
      </c>
      <c r="AF115" s="64" t="str">
        <f>IF($B115="","",(COUNTIFS(Rships!$C$2:$C$9990,$A115,Rships!$D$2:$D$9990,5)))</f>
        <v/>
      </c>
      <c r="AG115" s="64" t="str">
        <f>IF($B115="","",(COUNTIFS(Rships!$C$2:$C$9990,$A115,Rships!$D$2:$D$9990,6)))</f>
        <v/>
      </c>
      <c r="AH115" s="64" t="str">
        <f>IF($B115="","",(COUNTIFS(Rships!$C$2:$C$9990,$A115,Rships!$D$2:$D$9990,7)))</f>
        <v/>
      </c>
    </row>
    <row r="116" spans="1:34">
      <c r="A116" s="1" t="s">
        <v>368</v>
      </c>
      <c r="C116" s="11" t="s">
        <v>19</v>
      </c>
      <c r="D116" s="11" t="s">
        <v>21</v>
      </c>
      <c r="F116" s="15"/>
      <c r="G116" s="15"/>
      <c r="I116" s="17"/>
      <c r="O116" s="11" t="s">
        <v>27</v>
      </c>
      <c r="Y116" s="64">
        <f t="shared" si="4"/>
        <v>0</v>
      </c>
      <c r="AA116" s="64">
        <f t="shared" si="3"/>
        <v>0</v>
      </c>
      <c r="AB116" s="64" t="str">
        <f>IF($B116="","",(COUNTIFS(Rships!$C$2:$C$9990,$A116,Rships!$D$2:$D$9990,1)))</f>
        <v/>
      </c>
      <c r="AC116" s="64" t="str">
        <f>IF($B116="","",(COUNTIFS(Rships!$C$2:$C$9990,$A116,Rships!$D$2:$D$9990,2)))</f>
        <v/>
      </c>
      <c r="AD116" s="64" t="str">
        <f>IF($B116="","",(COUNTIFS(Rships!$C$2:$C$9990,$A116,Rships!$D$2:$D$9990,3)))</f>
        <v/>
      </c>
      <c r="AE116" s="64" t="str">
        <f>IF($B116="","",(COUNTIFS(Rships!$C$2:$C$9990,$A116,Rships!$D$2:$D$9990,4)))</f>
        <v/>
      </c>
      <c r="AF116" s="64" t="str">
        <f>IF($B116="","",(COUNTIFS(Rships!$C$2:$C$9990,$A116,Rships!$D$2:$D$9990,5)))</f>
        <v/>
      </c>
      <c r="AG116" s="64" t="str">
        <f>IF($B116="","",(COUNTIFS(Rships!$C$2:$C$9990,$A116,Rships!$D$2:$D$9990,6)))</f>
        <v/>
      </c>
      <c r="AH116" s="64" t="str">
        <f>IF($B116="","",(COUNTIFS(Rships!$C$2:$C$9990,$A116,Rships!$D$2:$D$9990,7)))</f>
        <v/>
      </c>
    </row>
    <row r="117" spans="1:34">
      <c r="A117" s="1" t="s">
        <v>369</v>
      </c>
      <c r="C117" s="11" t="s">
        <v>19</v>
      </c>
      <c r="D117" s="11" t="s">
        <v>21</v>
      </c>
      <c r="F117" s="15"/>
      <c r="G117" s="15"/>
      <c r="I117" s="17"/>
      <c r="O117" s="11" t="s">
        <v>27</v>
      </c>
      <c r="Y117" s="64">
        <f t="shared" si="4"/>
        <v>0</v>
      </c>
      <c r="AA117" s="64">
        <f t="shared" si="3"/>
        <v>0</v>
      </c>
      <c r="AB117" s="64" t="str">
        <f>IF($B117="","",(COUNTIFS(Rships!$C$2:$C$9990,$A117,Rships!$D$2:$D$9990,1)))</f>
        <v/>
      </c>
      <c r="AC117" s="64" t="str">
        <f>IF($B117="","",(COUNTIFS(Rships!$C$2:$C$9990,$A117,Rships!$D$2:$D$9990,2)))</f>
        <v/>
      </c>
      <c r="AD117" s="64" t="str">
        <f>IF($B117="","",(COUNTIFS(Rships!$C$2:$C$9990,$A117,Rships!$D$2:$D$9990,3)))</f>
        <v/>
      </c>
      <c r="AE117" s="64" t="str">
        <f>IF($B117="","",(COUNTIFS(Rships!$C$2:$C$9990,$A117,Rships!$D$2:$D$9990,4)))</f>
        <v/>
      </c>
      <c r="AF117" s="64" t="str">
        <f>IF($B117="","",(COUNTIFS(Rships!$C$2:$C$9990,$A117,Rships!$D$2:$D$9990,5)))</f>
        <v/>
      </c>
      <c r="AG117" s="64" t="str">
        <f>IF($B117="","",(COUNTIFS(Rships!$C$2:$C$9990,$A117,Rships!$D$2:$D$9990,6)))</f>
        <v/>
      </c>
      <c r="AH117" s="64" t="str">
        <f>IF($B117="","",(COUNTIFS(Rships!$C$2:$C$9990,$A117,Rships!$D$2:$D$9990,7)))</f>
        <v/>
      </c>
    </row>
    <row r="118" spans="1:34">
      <c r="A118" s="1" t="s">
        <v>370</v>
      </c>
      <c r="C118" s="11" t="s">
        <v>19</v>
      </c>
      <c r="D118" s="11" t="s">
        <v>21</v>
      </c>
      <c r="F118" s="15"/>
      <c r="G118" s="15"/>
      <c r="I118" s="17"/>
      <c r="O118" s="11" t="s">
        <v>27</v>
      </c>
      <c r="Y118" s="64">
        <f t="shared" si="4"/>
        <v>0</v>
      </c>
      <c r="AA118" s="64">
        <f t="shared" si="3"/>
        <v>0</v>
      </c>
      <c r="AB118" s="64" t="str">
        <f>IF($B118="","",(COUNTIFS(Rships!$C$2:$C$9990,$A118,Rships!$D$2:$D$9990,1)))</f>
        <v/>
      </c>
      <c r="AC118" s="64" t="str">
        <f>IF($B118="","",(COUNTIFS(Rships!$C$2:$C$9990,$A118,Rships!$D$2:$D$9990,2)))</f>
        <v/>
      </c>
      <c r="AD118" s="64" t="str">
        <f>IF($B118="","",(COUNTIFS(Rships!$C$2:$C$9990,$A118,Rships!$D$2:$D$9990,3)))</f>
        <v/>
      </c>
      <c r="AE118" s="64" t="str">
        <f>IF($B118="","",(COUNTIFS(Rships!$C$2:$C$9990,$A118,Rships!$D$2:$D$9990,4)))</f>
        <v/>
      </c>
      <c r="AF118" s="64" t="str">
        <f>IF($B118="","",(COUNTIFS(Rships!$C$2:$C$9990,$A118,Rships!$D$2:$D$9990,5)))</f>
        <v/>
      </c>
      <c r="AG118" s="64" t="str">
        <f>IF($B118="","",(COUNTIFS(Rships!$C$2:$C$9990,$A118,Rships!$D$2:$D$9990,6)))</f>
        <v/>
      </c>
      <c r="AH118" s="64" t="str">
        <f>IF($B118="","",(COUNTIFS(Rships!$C$2:$C$9990,$A118,Rships!$D$2:$D$9990,7)))</f>
        <v/>
      </c>
    </row>
    <row r="119" spans="1:34">
      <c r="A119" s="1" t="s">
        <v>371</v>
      </c>
      <c r="C119" s="11" t="s">
        <v>19</v>
      </c>
      <c r="D119" s="11" t="s">
        <v>21</v>
      </c>
      <c r="F119" s="15"/>
      <c r="G119" s="15"/>
      <c r="I119" s="17"/>
      <c r="O119" s="11" t="s">
        <v>27</v>
      </c>
      <c r="Y119" s="64">
        <f t="shared" si="4"/>
        <v>0</v>
      </c>
      <c r="AA119" s="64">
        <f t="shared" si="3"/>
        <v>0</v>
      </c>
      <c r="AB119" s="64" t="str">
        <f>IF($B119="","",(COUNTIFS(Rships!$C$2:$C$9990,$A119,Rships!$D$2:$D$9990,1)))</f>
        <v/>
      </c>
      <c r="AC119" s="64" t="str">
        <f>IF($B119="","",(COUNTIFS(Rships!$C$2:$C$9990,$A119,Rships!$D$2:$D$9990,2)))</f>
        <v/>
      </c>
      <c r="AD119" s="64" t="str">
        <f>IF($B119="","",(COUNTIFS(Rships!$C$2:$C$9990,$A119,Rships!$D$2:$D$9990,3)))</f>
        <v/>
      </c>
      <c r="AE119" s="64" t="str">
        <f>IF($B119="","",(COUNTIFS(Rships!$C$2:$C$9990,$A119,Rships!$D$2:$D$9990,4)))</f>
        <v/>
      </c>
      <c r="AF119" s="64" t="str">
        <f>IF($B119="","",(COUNTIFS(Rships!$C$2:$C$9990,$A119,Rships!$D$2:$D$9990,5)))</f>
        <v/>
      </c>
      <c r="AG119" s="64" t="str">
        <f>IF($B119="","",(COUNTIFS(Rships!$C$2:$C$9990,$A119,Rships!$D$2:$D$9990,6)))</f>
        <v/>
      </c>
      <c r="AH119" s="64" t="str">
        <f>IF($B119="","",(COUNTIFS(Rships!$C$2:$C$9990,$A119,Rships!$D$2:$D$9990,7)))</f>
        <v/>
      </c>
    </row>
    <row r="120" spans="1:34">
      <c r="A120" s="1" t="s">
        <v>372</v>
      </c>
      <c r="C120" s="11" t="s">
        <v>19</v>
      </c>
      <c r="D120" s="11" t="s">
        <v>21</v>
      </c>
      <c r="F120" s="15"/>
      <c r="G120" s="15"/>
      <c r="I120" s="17"/>
      <c r="O120" s="11" t="s">
        <v>27</v>
      </c>
      <c r="Y120" s="64">
        <f t="shared" si="4"/>
        <v>0</v>
      </c>
      <c r="AA120" s="64">
        <f t="shared" si="3"/>
        <v>0</v>
      </c>
      <c r="AB120" s="64" t="str">
        <f>IF($B120="","",(COUNTIFS(Rships!$C$2:$C$9990,$A120,Rships!$D$2:$D$9990,1)))</f>
        <v/>
      </c>
      <c r="AC120" s="64" t="str">
        <f>IF($B120="","",(COUNTIFS(Rships!$C$2:$C$9990,$A120,Rships!$D$2:$D$9990,2)))</f>
        <v/>
      </c>
      <c r="AD120" s="64" t="str">
        <f>IF($B120="","",(COUNTIFS(Rships!$C$2:$C$9990,$A120,Rships!$D$2:$D$9990,3)))</f>
        <v/>
      </c>
      <c r="AE120" s="64" t="str">
        <f>IF($B120="","",(COUNTIFS(Rships!$C$2:$C$9990,$A120,Rships!$D$2:$D$9990,4)))</f>
        <v/>
      </c>
      <c r="AF120" s="64" t="str">
        <f>IF($B120="","",(COUNTIFS(Rships!$C$2:$C$9990,$A120,Rships!$D$2:$D$9990,5)))</f>
        <v/>
      </c>
      <c r="AG120" s="64" t="str">
        <f>IF($B120="","",(COUNTIFS(Rships!$C$2:$C$9990,$A120,Rships!$D$2:$D$9990,6)))</f>
        <v/>
      </c>
      <c r="AH120" s="64" t="str">
        <f>IF($B120="","",(COUNTIFS(Rships!$C$2:$C$9990,$A120,Rships!$D$2:$D$9990,7)))</f>
        <v/>
      </c>
    </row>
    <row r="121" spans="1:34">
      <c r="A121" s="1" t="s">
        <v>373</v>
      </c>
      <c r="C121" s="11" t="s">
        <v>19</v>
      </c>
      <c r="D121" s="11" t="s">
        <v>21</v>
      </c>
      <c r="F121" s="15"/>
      <c r="G121" s="15"/>
      <c r="I121" s="17"/>
      <c r="O121" s="11" t="s">
        <v>27</v>
      </c>
      <c r="Y121" s="64">
        <f t="shared" si="4"/>
        <v>0</v>
      </c>
      <c r="AA121" s="64">
        <f t="shared" si="3"/>
        <v>0</v>
      </c>
      <c r="AB121" s="64" t="str">
        <f>IF($B121="","",(COUNTIFS(Rships!$C$2:$C$9990,$A121,Rships!$D$2:$D$9990,1)))</f>
        <v/>
      </c>
      <c r="AC121" s="64" t="str">
        <f>IF($B121="","",(COUNTIFS(Rships!$C$2:$C$9990,$A121,Rships!$D$2:$D$9990,2)))</f>
        <v/>
      </c>
      <c r="AD121" s="64" t="str">
        <f>IF($B121="","",(COUNTIFS(Rships!$C$2:$C$9990,$A121,Rships!$D$2:$D$9990,3)))</f>
        <v/>
      </c>
      <c r="AE121" s="64" t="str">
        <f>IF($B121="","",(COUNTIFS(Rships!$C$2:$C$9990,$A121,Rships!$D$2:$D$9990,4)))</f>
        <v/>
      </c>
      <c r="AF121" s="64" t="str">
        <f>IF($B121="","",(COUNTIFS(Rships!$C$2:$C$9990,$A121,Rships!$D$2:$D$9990,5)))</f>
        <v/>
      </c>
      <c r="AG121" s="64" t="str">
        <f>IF($B121="","",(COUNTIFS(Rships!$C$2:$C$9990,$A121,Rships!$D$2:$D$9990,6)))</f>
        <v/>
      </c>
      <c r="AH121" s="64" t="str">
        <f>IF($B121="","",(COUNTIFS(Rships!$C$2:$C$9990,$A121,Rships!$D$2:$D$9990,7)))</f>
        <v/>
      </c>
    </row>
    <row r="122" spans="1:34">
      <c r="A122" s="1" t="s">
        <v>374</v>
      </c>
      <c r="C122" s="11" t="s">
        <v>19</v>
      </c>
      <c r="D122" s="11" t="s">
        <v>21</v>
      </c>
      <c r="F122" s="15"/>
      <c r="G122" s="15"/>
      <c r="I122" s="17"/>
      <c r="O122" s="11" t="s">
        <v>27</v>
      </c>
      <c r="Y122" s="64">
        <f t="shared" si="4"/>
        <v>0</v>
      </c>
      <c r="AA122" s="64">
        <f t="shared" si="3"/>
        <v>0</v>
      </c>
      <c r="AB122" s="64" t="str">
        <f>IF($B122="","",(COUNTIFS(Rships!$C$2:$C$9990,$A122,Rships!$D$2:$D$9990,1)))</f>
        <v/>
      </c>
      <c r="AC122" s="64" t="str">
        <f>IF($B122="","",(COUNTIFS(Rships!$C$2:$C$9990,$A122,Rships!$D$2:$D$9990,2)))</f>
        <v/>
      </c>
      <c r="AD122" s="64" t="str">
        <f>IF($B122="","",(COUNTIFS(Rships!$C$2:$C$9990,$A122,Rships!$D$2:$D$9990,3)))</f>
        <v/>
      </c>
      <c r="AE122" s="64" t="str">
        <f>IF($B122="","",(COUNTIFS(Rships!$C$2:$C$9990,$A122,Rships!$D$2:$D$9990,4)))</f>
        <v/>
      </c>
      <c r="AF122" s="64" t="str">
        <f>IF($B122="","",(COUNTIFS(Rships!$C$2:$C$9990,$A122,Rships!$D$2:$D$9990,5)))</f>
        <v/>
      </c>
      <c r="AG122" s="64" t="str">
        <f>IF($B122="","",(COUNTIFS(Rships!$C$2:$C$9990,$A122,Rships!$D$2:$D$9990,6)))</f>
        <v/>
      </c>
      <c r="AH122" s="64" t="str">
        <f>IF($B122="","",(COUNTIFS(Rships!$C$2:$C$9990,$A122,Rships!$D$2:$D$9990,7)))</f>
        <v/>
      </c>
    </row>
    <row r="123" spans="1:34">
      <c r="A123" s="1" t="s">
        <v>375</v>
      </c>
      <c r="C123" s="11" t="s">
        <v>19</v>
      </c>
      <c r="D123" s="11" t="s">
        <v>21</v>
      </c>
      <c r="F123" s="15"/>
      <c r="G123" s="15"/>
      <c r="I123" s="17"/>
      <c r="O123" s="11" t="s">
        <v>27</v>
      </c>
      <c r="Y123" s="64">
        <f t="shared" si="4"/>
        <v>0</v>
      </c>
      <c r="AA123" s="64">
        <f t="shared" si="3"/>
        <v>0</v>
      </c>
      <c r="AB123" s="64" t="str">
        <f>IF($B123="","",(COUNTIFS(Rships!$C$2:$C$9990,$A123,Rships!$D$2:$D$9990,1)))</f>
        <v/>
      </c>
      <c r="AC123" s="64" t="str">
        <f>IF($B123="","",(COUNTIFS(Rships!$C$2:$C$9990,$A123,Rships!$D$2:$D$9990,2)))</f>
        <v/>
      </c>
      <c r="AD123" s="64" t="str">
        <f>IF($B123="","",(COUNTIFS(Rships!$C$2:$C$9990,$A123,Rships!$D$2:$D$9990,3)))</f>
        <v/>
      </c>
      <c r="AE123" s="64" t="str">
        <f>IF($B123="","",(COUNTIFS(Rships!$C$2:$C$9990,$A123,Rships!$D$2:$D$9990,4)))</f>
        <v/>
      </c>
      <c r="AF123" s="64" t="str">
        <f>IF($B123="","",(COUNTIFS(Rships!$C$2:$C$9990,$A123,Rships!$D$2:$D$9990,5)))</f>
        <v/>
      </c>
      <c r="AG123" s="64" t="str">
        <f>IF($B123="","",(COUNTIFS(Rships!$C$2:$C$9990,$A123,Rships!$D$2:$D$9990,6)))</f>
        <v/>
      </c>
      <c r="AH123" s="64" t="str">
        <f>IF($B123="","",(COUNTIFS(Rships!$C$2:$C$9990,$A123,Rships!$D$2:$D$9990,7)))</f>
        <v/>
      </c>
    </row>
    <row r="124" spans="1:34">
      <c r="A124" s="1" t="s">
        <v>376</v>
      </c>
      <c r="C124" s="11" t="s">
        <v>19</v>
      </c>
      <c r="D124" s="11" t="s">
        <v>21</v>
      </c>
      <c r="F124" s="15"/>
      <c r="G124" s="15"/>
      <c r="I124" s="17"/>
      <c r="O124" s="11" t="s">
        <v>27</v>
      </c>
      <c r="Y124" s="64">
        <f t="shared" si="4"/>
        <v>0</v>
      </c>
      <c r="AA124" s="64">
        <f t="shared" si="3"/>
        <v>0</v>
      </c>
      <c r="AB124" s="64" t="str">
        <f>IF($B124="","",(COUNTIFS(Rships!$C$2:$C$9990,$A124,Rships!$D$2:$D$9990,1)))</f>
        <v/>
      </c>
      <c r="AC124" s="64" t="str">
        <f>IF($B124="","",(COUNTIFS(Rships!$C$2:$C$9990,$A124,Rships!$D$2:$D$9990,2)))</f>
        <v/>
      </c>
      <c r="AD124" s="64" t="str">
        <f>IF($B124="","",(COUNTIFS(Rships!$C$2:$C$9990,$A124,Rships!$D$2:$D$9990,3)))</f>
        <v/>
      </c>
      <c r="AE124" s="64" t="str">
        <f>IF($B124="","",(COUNTIFS(Rships!$C$2:$C$9990,$A124,Rships!$D$2:$D$9990,4)))</f>
        <v/>
      </c>
      <c r="AF124" s="64" t="str">
        <f>IF($B124="","",(COUNTIFS(Rships!$C$2:$C$9990,$A124,Rships!$D$2:$D$9990,5)))</f>
        <v/>
      </c>
      <c r="AG124" s="64" t="str">
        <f>IF($B124="","",(COUNTIFS(Rships!$C$2:$C$9990,$A124,Rships!$D$2:$D$9990,6)))</f>
        <v/>
      </c>
      <c r="AH124" s="64" t="str">
        <f>IF($B124="","",(COUNTIFS(Rships!$C$2:$C$9990,$A124,Rships!$D$2:$D$9990,7)))</f>
        <v/>
      </c>
    </row>
    <row r="125" spans="1:34">
      <c r="A125" s="1" t="s">
        <v>377</v>
      </c>
      <c r="C125" s="11" t="s">
        <v>19</v>
      </c>
      <c r="D125" s="11" t="s">
        <v>21</v>
      </c>
      <c r="F125" s="15"/>
      <c r="G125" s="15"/>
      <c r="I125" s="17"/>
      <c r="O125" s="11" t="s">
        <v>27</v>
      </c>
      <c r="Y125" s="64">
        <f t="shared" si="4"/>
        <v>0</v>
      </c>
      <c r="AA125" s="64">
        <f t="shared" si="3"/>
        <v>0</v>
      </c>
      <c r="AB125" s="64" t="str">
        <f>IF($B125="","",(COUNTIFS(Rships!$C$2:$C$9990,$A125,Rships!$D$2:$D$9990,1)))</f>
        <v/>
      </c>
      <c r="AC125" s="64" t="str">
        <f>IF($B125="","",(COUNTIFS(Rships!$C$2:$C$9990,$A125,Rships!$D$2:$D$9990,2)))</f>
        <v/>
      </c>
      <c r="AD125" s="64" t="str">
        <f>IF($B125="","",(COUNTIFS(Rships!$C$2:$C$9990,$A125,Rships!$D$2:$D$9990,3)))</f>
        <v/>
      </c>
      <c r="AE125" s="64" t="str">
        <f>IF($B125="","",(COUNTIFS(Rships!$C$2:$C$9990,$A125,Rships!$D$2:$D$9990,4)))</f>
        <v/>
      </c>
      <c r="AF125" s="64" t="str">
        <f>IF($B125="","",(COUNTIFS(Rships!$C$2:$C$9990,$A125,Rships!$D$2:$D$9990,5)))</f>
        <v/>
      </c>
      <c r="AG125" s="64" t="str">
        <f>IF($B125="","",(COUNTIFS(Rships!$C$2:$C$9990,$A125,Rships!$D$2:$D$9990,6)))</f>
        <v/>
      </c>
      <c r="AH125" s="64" t="str">
        <f>IF($B125="","",(COUNTIFS(Rships!$C$2:$C$9990,$A125,Rships!$D$2:$D$9990,7)))</f>
        <v/>
      </c>
    </row>
    <row r="126" spans="1:34">
      <c r="A126" s="1" t="s">
        <v>378</v>
      </c>
      <c r="C126" s="11" t="s">
        <v>19</v>
      </c>
      <c r="D126" s="11" t="s">
        <v>21</v>
      </c>
      <c r="F126" s="15"/>
      <c r="G126" s="15"/>
      <c r="I126" s="17"/>
      <c r="O126" s="11" t="s">
        <v>27</v>
      </c>
      <c r="Y126" s="64">
        <f t="shared" si="4"/>
        <v>0</v>
      </c>
      <c r="AA126" s="64">
        <f t="shared" si="3"/>
        <v>0</v>
      </c>
      <c r="AB126" s="64" t="str">
        <f>IF($B126="","",(COUNTIFS(Rships!$C$2:$C$9990,$A126,Rships!$D$2:$D$9990,1)))</f>
        <v/>
      </c>
      <c r="AC126" s="64" t="str">
        <f>IF($B126="","",(COUNTIFS(Rships!$C$2:$C$9990,$A126,Rships!$D$2:$D$9990,2)))</f>
        <v/>
      </c>
      <c r="AD126" s="64" t="str">
        <f>IF($B126="","",(COUNTIFS(Rships!$C$2:$C$9990,$A126,Rships!$D$2:$D$9990,3)))</f>
        <v/>
      </c>
      <c r="AE126" s="64" t="str">
        <f>IF($B126="","",(COUNTIFS(Rships!$C$2:$C$9990,$A126,Rships!$D$2:$D$9990,4)))</f>
        <v/>
      </c>
      <c r="AF126" s="64" t="str">
        <f>IF($B126="","",(COUNTIFS(Rships!$C$2:$C$9990,$A126,Rships!$D$2:$D$9990,5)))</f>
        <v/>
      </c>
      <c r="AG126" s="64" t="str">
        <f>IF($B126="","",(COUNTIFS(Rships!$C$2:$C$9990,$A126,Rships!$D$2:$D$9990,6)))</f>
        <v/>
      </c>
      <c r="AH126" s="64" t="str">
        <f>IF($B126="","",(COUNTIFS(Rships!$C$2:$C$9990,$A126,Rships!$D$2:$D$9990,7)))</f>
        <v/>
      </c>
    </row>
    <row r="127" spans="1:34">
      <c r="A127" s="1" t="s">
        <v>379</v>
      </c>
      <c r="C127" s="11" t="s">
        <v>19</v>
      </c>
      <c r="D127" s="11" t="s">
        <v>21</v>
      </c>
      <c r="F127" s="15"/>
      <c r="G127" s="15"/>
      <c r="I127" s="17"/>
      <c r="O127" s="11" t="s">
        <v>27</v>
      </c>
      <c r="Y127" s="64">
        <f t="shared" si="4"/>
        <v>0</v>
      </c>
      <c r="AA127" s="64">
        <f t="shared" si="3"/>
        <v>0</v>
      </c>
      <c r="AB127" s="64" t="str">
        <f>IF($B127="","",(COUNTIFS(Rships!$C$2:$C$9990,$A127,Rships!$D$2:$D$9990,1)))</f>
        <v/>
      </c>
      <c r="AC127" s="64" t="str">
        <f>IF($B127="","",(COUNTIFS(Rships!$C$2:$C$9990,$A127,Rships!$D$2:$D$9990,2)))</f>
        <v/>
      </c>
      <c r="AD127" s="64" t="str">
        <f>IF($B127="","",(COUNTIFS(Rships!$C$2:$C$9990,$A127,Rships!$D$2:$D$9990,3)))</f>
        <v/>
      </c>
      <c r="AE127" s="64" t="str">
        <f>IF($B127="","",(COUNTIFS(Rships!$C$2:$C$9990,$A127,Rships!$D$2:$D$9990,4)))</f>
        <v/>
      </c>
      <c r="AF127" s="64" t="str">
        <f>IF($B127="","",(COUNTIFS(Rships!$C$2:$C$9990,$A127,Rships!$D$2:$D$9990,5)))</f>
        <v/>
      </c>
      <c r="AG127" s="64" t="str">
        <f>IF($B127="","",(COUNTIFS(Rships!$C$2:$C$9990,$A127,Rships!$D$2:$D$9990,6)))</f>
        <v/>
      </c>
      <c r="AH127" s="64" t="str">
        <f>IF($B127="","",(COUNTIFS(Rships!$C$2:$C$9990,$A127,Rships!$D$2:$D$9990,7)))</f>
        <v/>
      </c>
    </row>
    <row r="128" spans="1:34">
      <c r="A128" s="1" t="s">
        <v>380</v>
      </c>
      <c r="C128" s="11" t="s">
        <v>19</v>
      </c>
      <c r="D128" s="11" t="s">
        <v>21</v>
      </c>
      <c r="F128" s="15"/>
      <c r="G128" s="15"/>
      <c r="I128" s="17"/>
      <c r="O128" s="11" t="s">
        <v>27</v>
      </c>
      <c r="Y128" s="64">
        <f t="shared" si="4"/>
        <v>0</v>
      </c>
      <c r="AA128" s="64">
        <f t="shared" si="3"/>
        <v>0</v>
      </c>
      <c r="AB128" s="64" t="str">
        <f>IF($B128="","",(COUNTIFS(Rships!$C$2:$C$9990,$A128,Rships!$D$2:$D$9990,1)))</f>
        <v/>
      </c>
      <c r="AC128" s="64" t="str">
        <f>IF($B128="","",(COUNTIFS(Rships!$C$2:$C$9990,$A128,Rships!$D$2:$D$9990,2)))</f>
        <v/>
      </c>
      <c r="AD128" s="64" t="str">
        <f>IF($B128="","",(COUNTIFS(Rships!$C$2:$C$9990,$A128,Rships!$D$2:$D$9990,3)))</f>
        <v/>
      </c>
      <c r="AE128" s="64" t="str">
        <f>IF($B128="","",(COUNTIFS(Rships!$C$2:$C$9990,$A128,Rships!$D$2:$D$9990,4)))</f>
        <v/>
      </c>
      <c r="AF128" s="64" t="str">
        <f>IF($B128="","",(COUNTIFS(Rships!$C$2:$C$9990,$A128,Rships!$D$2:$D$9990,5)))</f>
        <v/>
      </c>
      <c r="AG128" s="64" t="str">
        <f>IF($B128="","",(COUNTIFS(Rships!$C$2:$C$9990,$A128,Rships!$D$2:$D$9990,6)))</f>
        <v/>
      </c>
      <c r="AH128" s="64" t="str">
        <f>IF($B128="","",(COUNTIFS(Rships!$C$2:$C$9990,$A128,Rships!$D$2:$D$9990,7)))</f>
        <v/>
      </c>
    </row>
    <row r="129" spans="1:34">
      <c r="A129" s="1" t="s">
        <v>381</v>
      </c>
      <c r="C129" s="11" t="s">
        <v>19</v>
      </c>
      <c r="D129" s="11" t="s">
        <v>21</v>
      </c>
      <c r="F129" s="15"/>
      <c r="G129" s="15"/>
      <c r="I129" s="17"/>
      <c r="O129" s="11" t="s">
        <v>27</v>
      </c>
      <c r="Y129" s="64">
        <f t="shared" si="4"/>
        <v>0</v>
      </c>
      <c r="AA129" s="64">
        <f t="shared" si="3"/>
        <v>0</v>
      </c>
      <c r="AB129" s="64" t="str">
        <f>IF($B129="","",(COUNTIFS(Rships!$C$2:$C$9990,$A129,Rships!$D$2:$D$9990,1)))</f>
        <v/>
      </c>
      <c r="AC129" s="64" t="str">
        <f>IF($B129="","",(COUNTIFS(Rships!$C$2:$C$9990,$A129,Rships!$D$2:$D$9990,2)))</f>
        <v/>
      </c>
      <c r="AD129" s="64" t="str">
        <f>IF($B129="","",(COUNTIFS(Rships!$C$2:$C$9990,$A129,Rships!$D$2:$D$9990,3)))</f>
        <v/>
      </c>
      <c r="AE129" s="64" t="str">
        <f>IF($B129="","",(COUNTIFS(Rships!$C$2:$C$9990,$A129,Rships!$D$2:$D$9990,4)))</f>
        <v/>
      </c>
      <c r="AF129" s="64" t="str">
        <f>IF($B129="","",(COUNTIFS(Rships!$C$2:$C$9990,$A129,Rships!$D$2:$D$9990,5)))</f>
        <v/>
      </c>
      <c r="AG129" s="64" t="str">
        <f>IF($B129="","",(COUNTIFS(Rships!$C$2:$C$9990,$A129,Rships!$D$2:$D$9990,6)))</f>
        <v/>
      </c>
      <c r="AH129" s="64" t="str">
        <f>IF($B129="","",(COUNTIFS(Rships!$C$2:$C$9990,$A129,Rships!$D$2:$D$9990,7)))</f>
        <v/>
      </c>
    </row>
    <row r="130" spans="1:34">
      <c r="A130" s="1" t="s">
        <v>382</v>
      </c>
      <c r="C130" s="11" t="s">
        <v>19</v>
      </c>
      <c r="D130" s="11" t="s">
        <v>21</v>
      </c>
      <c r="F130" s="15"/>
      <c r="G130" s="15"/>
      <c r="I130" s="17"/>
      <c r="O130" s="11" t="s">
        <v>27</v>
      </c>
      <c r="Y130" s="64">
        <f t="shared" si="4"/>
        <v>0</v>
      </c>
      <c r="AA130" s="64">
        <f t="shared" si="3"/>
        <v>0</v>
      </c>
      <c r="AB130" s="64" t="str">
        <f>IF($B130="","",(COUNTIFS(Rships!$C$2:$C$9990,$A130,Rships!$D$2:$D$9990,1)))</f>
        <v/>
      </c>
      <c r="AC130" s="64" t="str">
        <f>IF($B130="","",(COUNTIFS(Rships!$C$2:$C$9990,$A130,Rships!$D$2:$D$9990,2)))</f>
        <v/>
      </c>
      <c r="AD130" s="64" t="str">
        <f>IF($B130="","",(COUNTIFS(Rships!$C$2:$C$9990,$A130,Rships!$D$2:$D$9990,3)))</f>
        <v/>
      </c>
      <c r="AE130" s="64" t="str">
        <f>IF($B130="","",(COUNTIFS(Rships!$C$2:$C$9990,$A130,Rships!$D$2:$D$9990,4)))</f>
        <v/>
      </c>
      <c r="AF130" s="64" t="str">
        <f>IF($B130="","",(COUNTIFS(Rships!$C$2:$C$9990,$A130,Rships!$D$2:$D$9990,5)))</f>
        <v/>
      </c>
      <c r="AG130" s="64" t="str">
        <f>IF($B130="","",(COUNTIFS(Rships!$C$2:$C$9990,$A130,Rships!$D$2:$D$9990,6)))</f>
        <v/>
      </c>
      <c r="AH130" s="64" t="str">
        <f>IF($B130="","",(COUNTIFS(Rships!$C$2:$C$9990,$A130,Rships!$D$2:$D$9990,7)))</f>
        <v/>
      </c>
    </row>
    <row r="131" spans="1:34">
      <c r="A131" s="1" t="s">
        <v>383</v>
      </c>
      <c r="C131" s="11" t="s">
        <v>19</v>
      </c>
      <c r="D131" s="11" t="s">
        <v>21</v>
      </c>
      <c r="F131" s="15"/>
      <c r="G131" s="15"/>
      <c r="I131" s="17"/>
      <c r="O131" s="11" t="s">
        <v>27</v>
      </c>
      <c r="Y131" s="64">
        <f t="shared" si="4"/>
        <v>0</v>
      </c>
      <c r="AA131" s="64">
        <f t="shared" ref="AA131:AA194" si="5">SUM($AB131:$AH131)</f>
        <v>0</v>
      </c>
      <c r="AB131" s="64" t="str">
        <f>IF($B131="","",(COUNTIFS(Rships!$C$2:$C$9990,$A131,Rships!$D$2:$D$9990,1)))</f>
        <v/>
      </c>
      <c r="AC131" s="64" t="str">
        <f>IF($B131="","",(COUNTIFS(Rships!$C$2:$C$9990,$A131,Rships!$D$2:$D$9990,2)))</f>
        <v/>
      </c>
      <c r="AD131" s="64" t="str">
        <f>IF($B131="","",(COUNTIFS(Rships!$C$2:$C$9990,$A131,Rships!$D$2:$D$9990,3)))</f>
        <v/>
      </c>
      <c r="AE131" s="64" t="str">
        <f>IF($B131="","",(COUNTIFS(Rships!$C$2:$C$9990,$A131,Rships!$D$2:$D$9990,4)))</f>
        <v/>
      </c>
      <c r="AF131" s="64" t="str">
        <f>IF($B131="","",(COUNTIFS(Rships!$C$2:$C$9990,$A131,Rships!$D$2:$D$9990,5)))</f>
        <v/>
      </c>
      <c r="AG131" s="64" t="str">
        <f>IF($B131="","",(COUNTIFS(Rships!$C$2:$C$9990,$A131,Rships!$D$2:$D$9990,6)))</f>
        <v/>
      </c>
      <c r="AH131" s="64" t="str">
        <f>IF($B131="","",(COUNTIFS(Rships!$C$2:$C$9990,$A131,Rships!$D$2:$D$9990,7)))</f>
        <v/>
      </c>
    </row>
    <row r="132" spans="1:34">
      <c r="A132" s="1" t="s">
        <v>384</v>
      </c>
      <c r="C132" s="11" t="s">
        <v>19</v>
      </c>
      <c r="D132" s="11" t="s">
        <v>21</v>
      </c>
      <c r="F132" s="15"/>
      <c r="G132" s="15"/>
      <c r="I132" s="17"/>
      <c r="O132" s="11" t="s">
        <v>27</v>
      </c>
      <c r="Y132" s="64">
        <f t="shared" si="4"/>
        <v>0</v>
      </c>
      <c r="AA132" s="64">
        <f t="shared" si="5"/>
        <v>0</v>
      </c>
      <c r="AB132" s="64" t="str">
        <f>IF($B132="","",(COUNTIFS(Rships!$C$2:$C$9990,$A132,Rships!$D$2:$D$9990,1)))</f>
        <v/>
      </c>
      <c r="AC132" s="64" t="str">
        <f>IF($B132="","",(COUNTIFS(Rships!$C$2:$C$9990,$A132,Rships!$D$2:$D$9990,2)))</f>
        <v/>
      </c>
      <c r="AD132" s="64" t="str">
        <f>IF($B132="","",(COUNTIFS(Rships!$C$2:$C$9990,$A132,Rships!$D$2:$D$9990,3)))</f>
        <v/>
      </c>
      <c r="AE132" s="64" t="str">
        <f>IF($B132="","",(COUNTIFS(Rships!$C$2:$C$9990,$A132,Rships!$D$2:$D$9990,4)))</f>
        <v/>
      </c>
      <c r="AF132" s="64" t="str">
        <f>IF($B132="","",(COUNTIFS(Rships!$C$2:$C$9990,$A132,Rships!$D$2:$D$9990,5)))</f>
        <v/>
      </c>
      <c r="AG132" s="64" t="str">
        <f>IF($B132="","",(COUNTIFS(Rships!$C$2:$C$9990,$A132,Rships!$D$2:$D$9990,6)))</f>
        <v/>
      </c>
      <c r="AH132" s="64" t="str">
        <f>IF($B132="","",(COUNTIFS(Rships!$C$2:$C$9990,$A132,Rships!$D$2:$D$9990,7)))</f>
        <v/>
      </c>
    </row>
    <row r="133" spans="1:34">
      <c r="A133" s="1" t="s">
        <v>385</v>
      </c>
      <c r="C133" s="11" t="s">
        <v>19</v>
      </c>
      <c r="D133" s="11" t="s">
        <v>21</v>
      </c>
      <c r="F133" s="15"/>
      <c r="G133" s="15"/>
      <c r="I133" s="17"/>
      <c r="O133" s="11" t="s">
        <v>27</v>
      </c>
      <c r="Y133" s="64">
        <f t="shared" si="4"/>
        <v>0</v>
      </c>
      <c r="AA133" s="64">
        <f t="shared" si="5"/>
        <v>0</v>
      </c>
      <c r="AB133" s="64" t="str">
        <f>IF($B133="","",(COUNTIFS(Rships!$C$2:$C$9990,$A133,Rships!$D$2:$D$9990,1)))</f>
        <v/>
      </c>
      <c r="AC133" s="64" t="str">
        <f>IF($B133="","",(COUNTIFS(Rships!$C$2:$C$9990,$A133,Rships!$D$2:$D$9990,2)))</f>
        <v/>
      </c>
      <c r="AD133" s="64" t="str">
        <f>IF($B133="","",(COUNTIFS(Rships!$C$2:$C$9990,$A133,Rships!$D$2:$D$9990,3)))</f>
        <v/>
      </c>
      <c r="AE133" s="64" t="str">
        <f>IF($B133="","",(COUNTIFS(Rships!$C$2:$C$9990,$A133,Rships!$D$2:$D$9990,4)))</f>
        <v/>
      </c>
      <c r="AF133" s="64" t="str">
        <f>IF($B133="","",(COUNTIFS(Rships!$C$2:$C$9990,$A133,Rships!$D$2:$D$9990,5)))</f>
        <v/>
      </c>
      <c r="AG133" s="64" t="str">
        <f>IF($B133="","",(COUNTIFS(Rships!$C$2:$C$9990,$A133,Rships!$D$2:$D$9990,6)))</f>
        <v/>
      </c>
      <c r="AH133" s="64" t="str">
        <f>IF($B133="","",(COUNTIFS(Rships!$C$2:$C$9990,$A133,Rships!$D$2:$D$9990,7)))</f>
        <v/>
      </c>
    </row>
    <row r="134" spans="1:34">
      <c r="A134" s="1" t="s">
        <v>386</v>
      </c>
      <c r="B134" s="13" t="s">
        <v>484</v>
      </c>
      <c r="C134" s="11" t="s">
        <v>19</v>
      </c>
      <c r="D134" s="11" t="s">
        <v>22</v>
      </c>
      <c r="E134" s="11" t="s">
        <v>1454</v>
      </c>
      <c r="F134" s="15" t="s">
        <v>1270</v>
      </c>
      <c r="G134" s="15" t="s">
        <v>1271</v>
      </c>
      <c r="H134" s="16">
        <v>4712160342081</v>
      </c>
      <c r="I134" s="17">
        <v>835320830</v>
      </c>
      <c r="K134" s="11" t="s">
        <v>1272</v>
      </c>
      <c r="L134" s="16">
        <v>9323</v>
      </c>
      <c r="M134" s="11" t="s">
        <v>1272</v>
      </c>
      <c r="N134" s="16">
        <v>9323</v>
      </c>
      <c r="O134" s="11" t="s">
        <v>27</v>
      </c>
      <c r="Q134" s="11" t="s">
        <v>1273</v>
      </c>
      <c r="R134" s="11" t="s">
        <v>135</v>
      </c>
      <c r="S134" s="11" t="s">
        <v>123</v>
      </c>
      <c r="T134" s="11" t="s">
        <v>1274</v>
      </c>
      <c r="U134" s="16">
        <v>208199721</v>
      </c>
      <c r="V134" s="11" t="s">
        <v>31</v>
      </c>
      <c r="W134" s="26">
        <v>41652</v>
      </c>
      <c r="X134" s="46">
        <v>41622</v>
      </c>
      <c r="Y134" s="64">
        <f t="shared" si="4"/>
        <v>0</v>
      </c>
      <c r="Z134" s="11" t="s">
        <v>123</v>
      </c>
      <c r="AA134" s="64">
        <f t="shared" si="5"/>
        <v>0</v>
      </c>
      <c r="AB134" s="64">
        <f>IF($B134="","",(COUNTIFS(Rships!$C$2:$C$9990,$A134,Rships!$D$2:$D$9990,1)))</f>
        <v>0</v>
      </c>
      <c r="AC134" s="64">
        <f>IF($B134="","",(COUNTIFS(Rships!$C$2:$C$9990,$A134,Rships!$D$2:$D$9990,2)))</f>
        <v>0</v>
      </c>
      <c r="AD134" s="64">
        <f>IF($B134="","",(COUNTIFS(Rships!$C$2:$C$9990,$A134,Rships!$D$2:$D$9990,3)))</f>
        <v>0</v>
      </c>
      <c r="AE134" s="64">
        <f>IF($B134="","",(COUNTIFS(Rships!$C$2:$C$9990,$A134,Rships!$D$2:$D$9990,4)))</f>
        <v>0</v>
      </c>
      <c r="AF134" s="64">
        <f>IF($B134="","",(COUNTIFS(Rships!$C$2:$C$9990,$A134,Rships!$D$2:$D$9990,5)))</f>
        <v>0</v>
      </c>
      <c r="AG134" s="64">
        <f>IF($B134="","",(COUNTIFS(Rships!$C$2:$C$9990,$A134,Rships!$D$2:$D$9990,6)))</f>
        <v>0</v>
      </c>
      <c r="AH134" s="64">
        <f>IF($B134="","",(COUNTIFS(Rships!$C$2:$C$9990,$A134,Rships!$D$2:$D$9990,7)))</f>
        <v>0</v>
      </c>
    </row>
    <row r="135" spans="1:34">
      <c r="A135" s="1" t="s">
        <v>387</v>
      </c>
      <c r="C135" s="11" t="s">
        <v>19</v>
      </c>
      <c r="D135" s="11" t="s">
        <v>21</v>
      </c>
      <c r="F135" s="15"/>
      <c r="G135" s="15"/>
      <c r="I135" s="17"/>
      <c r="O135" s="11" t="s">
        <v>27</v>
      </c>
      <c r="Y135" s="64">
        <f t="shared" si="4"/>
        <v>0</v>
      </c>
      <c r="AA135" s="64">
        <f t="shared" si="5"/>
        <v>0</v>
      </c>
      <c r="AB135" s="64" t="str">
        <f>IF($B135="","",(COUNTIFS(Rships!$C$2:$C$9990,$A135,Rships!$D$2:$D$9990,1)))</f>
        <v/>
      </c>
      <c r="AC135" s="64" t="str">
        <f>IF($B135="","",(COUNTIFS(Rships!$C$2:$C$9990,$A135,Rships!$D$2:$D$9990,2)))</f>
        <v/>
      </c>
      <c r="AD135" s="64" t="str">
        <f>IF($B135="","",(COUNTIFS(Rships!$C$2:$C$9990,$A135,Rships!$D$2:$D$9990,3)))</f>
        <v/>
      </c>
      <c r="AE135" s="64" t="str">
        <f>IF($B135="","",(COUNTIFS(Rships!$C$2:$C$9990,$A135,Rships!$D$2:$D$9990,4)))</f>
        <v/>
      </c>
      <c r="AF135" s="64" t="str">
        <f>IF($B135="","",(COUNTIFS(Rships!$C$2:$C$9990,$A135,Rships!$D$2:$D$9990,5)))</f>
        <v/>
      </c>
      <c r="AG135" s="64" t="str">
        <f>IF($B135="","",(COUNTIFS(Rships!$C$2:$C$9990,$A135,Rships!$D$2:$D$9990,6)))</f>
        <v/>
      </c>
      <c r="AH135" s="64" t="str">
        <f>IF($B135="","",(COUNTIFS(Rships!$C$2:$C$9990,$A135,Rships!$D$2:$D$9990,7)))</f>
        <v/>
      </c>
    </row>
    <row r="136" spans="1:34">
      <c r="A136" s="1" t="s">
        <v>388</v>
      </c>
      <c r="C136" s="11" t="s">
        <v>19</v>
      </c>
      <c r="D136" s="11" t="s">
        <v>21</v>
      </c>
      <c r="F136" s="15"/>
      <c r="G136" s="15"/>
      <c r="I136" s="17"/>
      <c r="O136" s="11" t="s">
        <v>27</v>
      </c>
      <c r="Y136" s="64">
        <f t="shared" si="4"/>
        <v>0</v>
      </c>
      <c r="AA136" s="64">
        <f t="shared" si="5"/>
        <v>0</v>
      </c>
      <c r="AB136" s="64" t="str">
        <f>IF($B136="","",(COUNTIFS(Rships!$C$2:$C$9990,$A136,Rships!$D$2:$D$9990,1)))</f>
        <v/>
      </c>
      <c r="AC136" s="64" t="str">
        <f>IF($B136="","",(COUNTIFS(Rships!$C$2:$C$9990,$A136,Rships!$D$2:$D$9990,2)))</f>
        <v/>
      </c>
      <c r="AD136" s="64" t="str">
        <f>IF($B136="","",(COUNTIFS(Rships!$C$2:$C$9990,$A136,Rships!$D$2:$D$9990,3)))</f>
        <v/>
      </c>
      <c r="AE136" s="64" t="str">
        <f>IF($B136="","",(COUNTIFS(Rships!$C$2:$C$9990,$A136,Rships!$D$2:$D$9990,4)))</f>
        <v/>
      </c>
      <c r="AF136" s="64" t="str">
        <f>IF($B136="","",(COUNTIFS(Rships!$C$2:$C$9990,$A136,Rships!$D$2:$D$9990,5)))</f>
        <v/>
      </c>
      <c r="AG136" s="64" t="str">
        <f>IF($B136="","",(COUNTIFS(Rships!$C$2:$C$9990,$A136,Rships!$D$2:$D$9990,6)))</f>
        <v/>
      </c>
      <c r="AH136" s="64" t="str">
        <f>IF($B136="","",(COUNTIFS(Rships!$C$2:$C$9990,$A136,Rships!$D$2:$D$9990,7)))</f>
        <v/>
      </c>
    </row>
    <row r="137" spans="1:34">
      <c r="A137" s="1" t="s">
        <v>389</v>
      </c>
      <c r="C137" s="11" t="s">
        <v>19</v>
      </c>
      <c r="D137" s="11" t="s">
        <v>21</v>
      </c>
      <c r="F137" s="15"/>
      <c r="G137" s="15"/>
      <c r="I137" s="17"/>
      <c r="O137" s="11" t="s">
        <v>27</v>
      </c>
      <c r="Y137" s="64">
        <f t="shared" si="4"/>
        <v>0</v>
      </c>
      <c r="AA137" s="64">
        <f t="shared" si="5"/>
        <v>0</v>
      </c>
      <c r="AB137" s="64" t="str">
        <f>IF($B137="","",(COUNTIFS(Rships!$C$2:$C$9990,$A137,Rships!$D$2:$D$9990,1)))</f>
        <v/>
      </c>
      <c r="AC137" s="64" t="str">
        <f>IF($B137="","",(COUNTIFS(Rships!$C$2:$C$9990,$A137,Rships!$D$2:$D$9990,2)))</f>
        <v/>
      </c>
      <c r="AD137" s="64" t="str">
        <f>IF($B137="","",(COUNTIFS(Rships!$C$2:$C$9990,$A137,Rships!$D$2:$D$9990,3)))</f>
        <v/>
      </c>
      <c r="AE137" s="64" t="str">
        <f>IF($B137="","",(COUNTIFS(Rships!$C$2:$C$9990,$A137,Rships!$D$2:$D$9990,4)))</f>
        <v/>
      </c>
      <c r="AF137" s="64" t="str">
        <f>IF($B137="","",(COUNTIFS(Rships!$C$2:$C$9990,$A137,Rships!$D$2:$D$9990,5)))</f>
        <v/>
      </c>
      <c r="AG137" s="64" t="str">
        <f>IF($B137="","",(COUNTIFS(Rships!$C$2:$C$9990,$A137,Rships!$D$2:$D$9990,6)))</f>
        <v/>
      </c>
      <c r="AH137" s="64" t="str">
        <f>IF($B137="","",(COUNTIFS(Rships!$C$2:$C$9990,$A137,Rships!$D$2:$D$9990,7)))</f>
        <v/>
      </c>
    </row>
    <row r="138" spans="1:34">
      <c r="A138" s="1" t="s">
        <v>390</v>
      </c>
      <c r="C138" s="11" t="s">
        <v>19</v>
      </c>
      <c r="D138" s="11" t="s">
        <v>21</v>
      </c>
      <c r="F138" s="15"/>
      <c r="G138" s="15"/>
      <c r="I138" s="17"/>
      <c r="O138" s="11" t="s">
        <v>27</v>
      </c>
      <c r="Y138" s="64">
        <f t="shared" si="4"/>
        <v>0</v>
      </c>
      <c r="AA138" s="64">
        <f t="shared" si="5"/>
        <v>0</v>
      </c>
      <c r="AB138" s="64" t="str">
        <f>IF($B138="","",(COUNTIFS(Rships!$C$2:$C$9990,$A138,Rships!$D$2:$D$9990,1)))</f>
        <v/>
      </c>
      <c r="AC138" s="64" t="str">
        <f>IF($B138="","",(COUNTIFS(Rships!$C$2:$C$9990,$A138,Rships!$D$2:$D$9990,2)))</f>
        <v/>
      </c>
      <c r="AD138" s="64" t="str">
        <f>IF($B138="","",(COUNTIFS(Rships!$C$2:$C$9990,$A138,Rships!$D$2:$D$9990,3)))</f>
        <v/>
      </c>
      <c r="AE138" s="64" t="str">
        <f>IF($B138="","",(COUNTIFS(Rships!$C$2:$C$9990,$A138,Rships!$D$2:$D$9990,4)))</f>
        <v/>
      </c>
      <c r="AF138" s="64" t="str">
        <f>IF($B138="","",(COUNTIFS(Rships!$C$2:$C$9990,$A138,Rships!$D$2:$D$9990,5)))</f>
        <v/>
      </c>
      <c r="AG138" s="64" t="str">
        <f>IF($B138="","",(COUNTIFS(Rships!$C$2:$C$9990,$A138,Rships!$D$2:$D$9990,6)))</f>
        <v/>
      </c>
      <c r="AH138" s="64" t="str">
        <f>IF($B138="","",(COUNTIFS(Rships!$C$2:$C$9990,$A138,Rships!$D$2:$D$9990,7)))</f>
        <v/>
      </c>
    </row>
    <row r="139" spans="1:34">
      <c r="A139" s="1" t="s">
        <v>391</v>
      </c>
      <c r="C139" s="11" t="s">
        <v>19</v>
      </c>
      <c r="D139" s="11" t="s">
        <v>21</v>
      </c>
      <c r="F139" s="15"/>
      <c r="G139" s="15"/>
      <c r="I139" s="17"/>
      <c r="O139" s="11" t="s">
        <v>27</v>
      </c>
      <c r="Y139" s="64">
        <f t="shared" si="4"/>
        <v>0</v>
      </c>
      <c r="AA139" s="64">
        <f t="shared" si="5"/>
        <v>0</v>
      </c>
      <c r="AB139" s="64" t="str">
        <f>IF($B139="","",(COUNTIFS(Rships!$C$2:$C$9990,$A139,Rships!$D$2:$D$9990,1)))</f>
        <v/>
      </c>
      <c r="AC139" s="64" t="str">
        <f>IF($B139="","",(COUNTIFS(Rships!$C$2:$C$9990,$A139,Rships!$D$2:$D$9990,2)))</f>
        <v/>
      </c>
      <c r="AD139" s="64" t="str">
        <f>IF($B139="","",(COUNTIFS(Rships!$C$2:$C$9990,$A139,Rships!$D$2:$D$9990,3)))</f>
        <v/>
      </c>
      <c r="AE139" s="64" t="str">
        <f>IF($B139="","",(COUNTIFS(Rships!$C$2:$C$9990,$A139,Rships!$D$2:$D$9990,4)))</f>
        <v/>
      </c>
      <c r="AF139" s="64" t="str">
        <f>IF($B139="","",(COUNTIFS(Rships!$C$2:$C$9990,$A139,Rships!$D$2:$D$9990,5)))</f>
        <v/>
      </c>
      <c r="AG139" s="64" t="str">
        <f>IF($B139="","",(COUNTIFS(Rships!$C$2:$C$9990,$A139,Rships!$D$2:$D$9990,6)))</f>
        <v/>
      </c>
      <c r="AH139" s="64" t="str">
        <f>IF($B139="","",(COUNTIFS(Rships!$C$2:$C$9990,$A139,Rships!$D$2:$D$9990,7)))</f>
        <v/>
      </c>
    </row>
    <row r="140" spans="1:34">
      <c r="A140" s="1" t="s">
        <v>392</v>
      </c>
      <c r="C140" s="11" t="s">
        <v>19</v>
      </c>
      <c r="D140" s="11" t="s">
        <v>21</v>
      </c>
      <c r="F140" s="15"/>
      <c r="G140" s="15"/>
      <c r="I140" s="17"/>
      <c r="O140" s="11" t="s">
        <v>27</v>
      </c>
      <c r="Y140" s="64">
        <f t="shared" si="4"/>
        <v>0</v>
      </c>
      <c r="AA140" s="64">
        <f t="shared" si="5"/>
        <v>0</v>
      </c>
      <c r="AB140" s="64" t="str">
        <f>IF($B140="","",(COUNTIFS(Rships!$C$2:$C$9990,$A140,Rships!$D$2:$D$9990,1)))</f>
        <v/>
      </c>
      <c r="AC140" s="64" t="str">
        <f>IF($B140="","",(COUNTIFS(Rships!$C$2:$C$9990,$A140,Rships!$D$2:$D$9990,2)))</f>
        <v/>
      </c>
      <c r="AD140" s="64" t="str">
        <f>IF($B140="","",(COUNTIFS(Rships!$C$2:$C$9990,$A140,Rships!$D$2:$D$9990,3)))</f>
        <v/>
      </c>
      <c r="AE140" s="64" t="str">
        <f>IF($B140="","",(COUNTIFS(Rships!$C$2:$C$9990,$A140,Rships!$D$2:$D$9990,4)))</f>
        <v/>
      </c>
      <c r="AF140" s="64" t="str">
        <f>IF($B140="","",(COUNTIFS(Rships!$C$2:$C$9990,$A140,Rships!$D$2:$D$9990,5)))</f>
        <v/>
      </c>
      <c r="AG140" s="64" t="str">
        <f>IF($B140="","",(COUNTIFS(Rships!$C$2:$C$9990,$A140,Rships!$D$2:$D$9990,6)))</f>
        <v/>
      </c>
      <c r="AH140" s="64" t="str">
        <f>IF($B140="","",(COUNTIFS(Rships!$C$2:$C$9990,$A140,Rships!$D$2:$D$9990,7)))</f>
        <v/>
      </c>
    </row>
    <row r="141" spans="1:34">
      <c r="A141" s="1" t="s">
        <v>393</v>
      </c>
      <c r="C141" s="11" t="s">
        <v>19</v>
      </c>
      <c r="D141" s="11" t="s">
        <v>21</v>
      </c>
      <c r="F141" s="15"/>
      <c r="G141" s="15"/>
      <c r="I141" s="17"/>
      <c r="O141" s="11" t="s">
        <v>27</v>
      </c>
      <c r="Y141" s="64">
        <f t="shared" si="4"/>
        <v>0</v>
      </c>
      <c r="AA141" s="64">
        <f t="shared" si="5"/>
        <v>0</v>
      </c>
      <c r="AB141" s="64" t="str">
        <f>IF($B141="","",(COUNTIFS(Rships!$C$2:$C$9990,$A141,Rships!$D$2:$D$9990,1)))</f>
        <v/>
      </c>
      <c r="AC141" s="64" t="str">
        <f>IF($B141="","",(COUNTIFS(Rships!$C$2:$C$9990,$A141,Rships!$D$2:$D$9990,2)))</f>
        <v/>
      </c>
      <c r="AD141" s="64" t="str">
        <f>IF($B141="","",(COUNTIFS(Rships!$C$2:$C$9990,$A141,Rships!$D$2:$D$9990,3)))</f>
        <v/>
      </c>
      <c r="AE141" s="64" t="str">
        <f>IF($B141="","",(COUNTIFS(Rships!$C$2:$C$9990,$A141,Rships!$D$2:$D$9990,4)))</f>
        <v/>
      </c>
      <c r="AF141" s="64" t="str">
        <f>IF($B141="","",(COUNTIFS(Rships!$C$2:$C$9990,$A141,Rships!$D$2:$D$9990,5)))</f>
        <v/>
      </c>
      <c r="AG141" s="64" t="str">
        <f>IF($B141="","",(COUNTIFS(Rships!$C$2:$C$9990,$A141,Rships!$D$2:$D$9990,6)))</f>
        <v/>
      </c>
      <c r="AH141" s="64" t="str">
        <f>IF($B141="","",(COUNTIFS(Rships!$C$2:$C$9990,$A141,Rships!$D$2:$D$9990,7)))</f>
        <v/>
      </c>
    </row>
    <row r="142" spans="1:34">
      <c r="A142" s="1" t="s">
        <v>394</v>
      </c>
      <c r="C142" s="11" t="s">
        <v>19</v>
      </c>
      <c r="D142" s="11" t="s">
        <v>21</v>
      </c>
      <c r="F142" s="15"/>
      <c r="G142" s="15"/>
      <c r="I142" s="17"/>
      <c r="O142" s="11" t="s">
        <v>27</v>
      </c>
      <c r="Y142" s="64">
        <f t="shared" si="4"/>
        <v>0</v>
      </c>
      <c r="AA142" s="64">
        <f t="shared" si="5"/>
        <v>0</v>
      </c>
      <c r="AB142" s="64" t="str">
        <f>IF($B142="","",(COUNTIFS(Rships!$C$2:$C$9990,$A142,Rships!$D$2:$D$9990,1)))</f>
        <v/>
      </c>
      <c r="AC142" s="64" t="str">
        <f>IF($B142="","",(COUNTIFS(Rships!$C$2:$C$9990,$A142,Rships!$D$2:$D$9990,2)))</f>
        <v/>
      </c>
      <c r="AD142" s="64" t="str">
        <f>IF($B142="","",(COUNTIFS(Rships!$C$2:$C$9990,$A142,Rships!$D$2:$D$9990,3)))</f>
        <v/>
      </c>
      <c r="AE142" s="64" t="str">
        <f>IF($B142="","",(COUNTIFS(Rships!$C$2:$C$9990,$A142,Rships!$D$2:$D$9990,4)))</f>
        <v/>
      </c>
      <c r="AF142" s="64" t="str">
        <f>IF($B142="","",(COUNTIFS(Rships!$C$2:$C$9990,$A142,Rships!$D$2:$D$9990,5)))</f>
        <v/>
      </c>
      <c r="AG142" s="64" t="str">
        <f>IF($B142="","",(COUNTIFS(Rships!$C$2:$C$9990,$A142,Rships!$D$2:$D$9990,6)))</f>
        <v/>
      </c>
      <c r="AH142" s="64" t="str">
        <f>IF($B142="","",(COUNTIFS(Rships!$C$2:$C$9990,$A142,Rships!$D$2:$D$9990,7)))</f>
        <v/>
      </c>
    </row>
    <row r="143" spans="1:34">
      <c r="A143" s="1" t="s">
        <v>395</v>
      </c>
      <c r="C143" s="11" t="s">
        <v>19</v>
      </c>
      <c r="D143" s="11" t="s">
        <v>21</v>
      </c>
      <c r="F143" s="15"/>
      <c r="G143" s="15"/>
      <c r="I143" s="17"/>
      <c r="O143" s="11" t="s">
        <v>27</v>
      </c>
      <c r="Y143" s="64">
        <f t="shared" si="4"/>
        <v>0</v>
      </c>
      <c r="AA143" s="64">
        <f t="shared" si="5"/>
        <v>0</v>
      </c>
      <c r="AB143" s="64" t="str">
        <f>IF($B143="","",(COUNTIFS(Rships!$C$2:$C$9990,$A143,Rships!$D$2:$D$9990,1)))</f>
        <v/>
      </c>
      <c r="AC143" s="64" t="str">
        <f>IF($B143="","",(COUNTIFS(Rships!$C$2:$C$9990,$A143,Rships!$D$2:$D$9990,2)))</f>
        <v/>
      </c>
      <c r="AD143" s="64" t="str">
        <f>IF($B143="","",(COUNTIFS(Rships!$C$2:$C$9990,$A143,Rships!$D$2:$D$9990,3)))</f>
        <v/>
      </c>
      <c r="AE143" s="64" t="str">
        <f>IF($B143="","",(COUNTIFS(Rships!$C$2:$C$9990,$A143,Rships!$D$2:$D$9990,4)))</f>
        <v/>
      </c>
      <c r="AF143" s="64" t="str">
        <f>IF($B143="","",(COUNTIFS(Rships!$C$2:$C$9990,$A143,Rships!$D$2:$D$9990,5)))</f>
        <v/>
      </c>
      <c r="AG143" s="64" t="str">
        <f>IF($B143="","",(COUNTIFS(Rships!$C$2:$C$9990,$A143,Rships!$D$2:$D$9990,6)))</f>
        <v/>
      </c>
      <c r="AH143" s="64" t="str">
        <f>IF($B143="","",(COUNTIFS(Rships!$C$2:$C$9990,$A143,Rships!$D$2:$D$9990,7)))</f>
        <v/>
      </c>
    </row>
    <row r="144" spans="1:34">
      <c r="A144" s="1" t="s">
        <v>396</v>
      </c>
      <c r="C144" s="11" t="s">
        <v>19</v>
      </c>
      <c r="D144" s="11" t="s">
        <v>21</v>
      </c>
      <c r="F144" s="15"/>
      <c r="G144" s="15"/>
      <c r="I144" s="17"/>
      <c r="O144" s="11" t="s">
        <v>27</v>
      </c>
      <c r="Y144" s="64">
        <f t="shared" si="4"/>
        <v>0</v>
      </c>
      <c r="AA144" s="64">
        <f t="shared" si="5"/>
        <v>0</v>
      </c>
      <c r="AB144" s="64" t="str">
        <f>IF($B144="","",(COUNTIFS(Rships!$C$2:$C$9990,$A144,Rships!$D$2:$D$9990,1)))</f>
        <v/>
      </c>
      <c r="AC144" s="64" t="str">
        <f>IF($B144="","",(COUNTIFS(Rships!$C$2:$C$9990,$A144,Rships!$D$2:$D$9990,2)))</f>
        <v/>
      </c>
      <c r="AD144" s="64" t="str">
        <f>IF($B144="","",(COUNTIFS(Rships!$C$2:$C$9990,$A144,Rships!$D$2:$D$9990,3)))</f>
        <v/>
      </c>
      <c r="AE144" s="64" t="str">
        <f>IF($B144="","",(COUNTIFS(Rships!$C$2:$C$9990,$A144,Rships!$D$2:$D$9990,4)))</f>
        <v/>
      </c>
      <c r="AF144" s="64" t="str">
        <f>IF($B144="","",(COUNTIFS(Rships!$C$2:$C$9990,$A144,Rships!$D$2:$D$9990,5)))</f>
        <v/>
      </c>
      <c r="AG144" s="64" t="str">
        <f>IF($B144="","",(COUNTIFS(Rships!$C$2:$C$9990,$A144,Rships!$D$2:$D$9990,6)))</f>
        <v/>
      </c>
      <c r="AH144" s="64" t="str">
        <f>IF($B144="","",(COUNTIFS(Rships!$C$2:$C$9990,$A144,Rships!$D$2:$D$9990,7)))</f>
        <v/>
      </c>
    </row>
    <row r="145" spans="1:34">
      <c r="A145" s="1" t="s">
        <v>397</v>
      </c>
      <c r="C145" s="11" t="s">
        <v>19</v>
      </c>
      <c r="D145" s="11" t="s">
        <v>21</v>
      </c>
      <c r="F145" s="15"/>
      <c r="G145" s="15"/>
      <c r="I145" s="17"/>
      <c r="O145" s="11" t="s">
        <v>27</v>
      </c>
      <c r="Y145" s="64">
        <f t="shared" si="4"/>
        <v>0</v>
      </c>
      <c r="AA145" s="64">
        <f t="shared" si="5"/>
        <v>0</v>
      </c>
      <c r="AB145" s="64" t="str">
        <f>IF($B145="","",(COUNTIFS(Rships!$C$2:$C$9990,$A145,Rships!$D$2:$D$9990,1)))</f>
        <v/>
      </c>
      <c r="AC145" s="64" t="str">
        <f>IF($B145="","",(COUNTIFS(Rships!$C$2:$C$9990,$A145,Rships!$D$2:$D$9990,2)))</f>
        <v/>
      </c>
      <c r="AD145" s="64" t="str">
        <f>IF($B145="","",(COUNTIFS(Rships!$C$2:$C$9990,$A145,Rships!$D$2:$D$9990,3)))</f>
        <v/>
      </c>
      <c r="AE145" s="64" t="str">
        <f>IF($B145="","",(COUNTIFS(Rships!$C$2:$C$9990,$A145,Rships!$D$2:$D$9990,4)))</f>
        <v/>
      </c>
      <c r="AF145" s="64" t="str">
        <f>IF($B145="","",(COUNTIFS(Rships!$C$2:$C$9990,$A145,Rships!$D$2:$D$9990,5)))</f>
        <v/>
      </c>
      <c r="AG145" s="64" t="str">
        <f>IF($B145="","",(COUNTIFS(Rships!$C$2:$C$9990,$A145,Rships!$D$2:$D$9990,6)))</f>
        <v/>
      </c>
      <c r="AH145" s="64" t="str">
        <f>IF($B145="","",(COUNTIFS(Rships!$C$2:$C$9990,$A145,Rships!$D$2:$D$9990,7)))</f>
        <v/>
      </c>
    </row>
    <row r="146" spans="1:34">
      <c r="A146" s="1" t="s">
        <v>398</v>
      </c>
      <c r="C146" s="11" t="s">
        <v>19</v>
      </c>
      <c r="D146" s="11" t="s">
        <v>21</v>
      </c>
      <c r="F146" s="15"/>
      <c r="G146" s="15"/>
      <c r="I146" s="17"/>
      <c r="O146" s="11" t="s">
        <v>27</v>
      </c>
      <c r="Y146" s="64">
        <f t="shared" si="4"/>
        <v>0</v>
      </c>
      <c r="AA146" s="64">
        <f t="shared" si="5"/>
        <v>0</v>
      </c>
      <c r="AB146" s="64" t="str">
        <f>IF($B146="","",(COUNTIFS(Rships!$C$2:$C$9990,$A146,Rships!$D$2:$D$9990,1)))</f>
        <v/>
      </c>
      <c r="AC146" s="64" t="str">
        <f>IF($B146="","",(COUNTIFS(Rships!$C$2:$C$9990,$A146,Rships!$D$2:$D$9990,2)))</f>
        <v/>
      </c>
      <c r="AD146" s="64" t="str">
        <f>IF($B146="","",(COUNTIFS(Rships!$C$2:$C$9990,$A146,Rships!$D$2:$D$9990,3)))</f>
        <v/>
      </c>
      <c r="AE146" s="64" t="str">
        <f>IF($B146="","",(COUNTIFS(Rships!$C$2:$C$9990,$A146,Rships!$D$2:$D$9990,4)))</f>
        <v/>
      </c>
      <c r="AF146" s="64" t="str">
        <f>IF($B146="","",(COUNTIFS(Rships!$C$2:$C$9990,$A146,Rships!$D$2:$D$9990,5)))</f>
        <v/>
      </c>
      <c r="AG146" s="64" t="str">
        <f>IF($B146="","",(COUNTIFS(Rships!$C$2:$C$9990,$A146,Rships!$D$2:$D$9990,6)))</f>
        <v/>
      </c>
      <c r="AH146" s="64" t="str">
        <f>IF($B146="","",(COUNTIFS(Rships!$C$2:$C$9990,$A146,Rships!$D$2:$D$9990,7)))</f>
        <v/>
      </c>
    </row>
    <row r="147" spans="1:34">
      <c r="A147" s="1" t="s">
        <v>399</v>
      </c>
      <c r="C147" s="11" t="s">
        <v>19</v>
      </c>
      <c r="D147" s="11" t="s">
        <v>21</v>
      </c>
      <c r="F147" s="15"/>
      <c r="G147" s="15"/>
      <c r="I147" s="17"/>
      <c r="O147" s="11" t="s">
        <v>27</v>
      </c>
      <c r="Y147" s="64">
        <f t="shared" si="4"/>
        <v>0</v>
      </c>
      <c r="AA147" s="64">
        <f t="shared" si="5"/>
        <v>0</v>
      </c>
      <c r="AB147" s="64" t="str">
        <f>IF($B147="","",(COUNTIFS(Rships!$C$2:$C$9990,$A147,Rships!$D$2:$D$9990,1)))</f>
        <v/>
      </c>
      <c r="AC147" s="64" t="str">
        <f>IF($B147="","",(COUNTIFS(Rships!$C$2:$C$9990,$A147,Rships!$D$2:$D$9990,2)))</f>
        <v/>
      </c>
      <c r="AD147" s="64" t="str">
        <f>IF($B147="","",(COUNTIFS(Rships!$C$2:$C$9990,$A147,Rships!$D$2:$D$9990,3)))</f>
        <v/>
      </c>
      <c r="AE147" s="64" t="str">
        <f>IF($B147="","",(COUNTIFS(Rships!$C$2:$C$9990,$A147,Rships!$D$2:$D$9990,4)))</f>
        <v/>
      </c>
      <c r="AF147" s="64" t="str">
        <f>IF($B147="","",(COUNTIFS(Rships!$C$2:$C$9990,$A147,Rships!$D$2:$D$9990,5)))</f>
        <v/>
      </c>
      <c r="AG147" s="64" t="str">
        <f>IF($B147="","",(COUNTIFS(Rships!$C$2:$C$9990,$A147,Rships!$D$2:$D$9990,6)))</f>
        <v/>
      </c>
      <c r="AH147" s="64" t="str">
        <f>IF($B147="","",(COUNTIFS(Rships!$C$2:$C$9990,$A147,Rships!$D$2:$D$9990,7)))</f>
        <v/>
      </c>
    </row>
    <row r="148" spans="1:34">
      <c r="A148" s="1" t="s">
        <v>400</v>
      </c>
      <c r="C148" s="11" t="s">
        <v>19</v>
      </c>
      <c r="D148" s="11" t="s">
        <v>21</v>
      </c>
      <c r="F148" s="15"/>
      <c r="G148" s="15"/>
      <c r="I148" s="17"/>
      <c r="O148" s="11" t="s">
        <v>27</v>
      </c>
      <c r="Y148" s="64">
        <f t="shared" si="4"/>
        <v>0</v>
      </c>
      <c r="AA148" s="64">
        <f t="shared" si="5"/>
        <v>0</v>
      </c>
      <c r="AB148" s="64" t="str">
        <f>IF($B148="","",(COUNTIFS(Rships!$C$2:$C$9990,$A148,Rships!$D$2:$D$9990,1)))</f>
        <v/>
      </c>
      <c r="AC148" s="64" t="str">
        <f>IF($B148="","",(COUNTIFS(Rships!$C$2:$C$9990,$A148,Rships!$D$2:$D$9990,2)))</f>
        <v/>
      </c>
      <c r="AD148" s="64" t="str">
        <f>IF($B148="","",(COUNTIFS(Rships!$C$2:$C$9990,$A148,Rships!$D$2:$D$9990,3)))</f>
        <v/>
      </c>
      <c r="AE148" s="64" t="str">
        <f>IF($B148="","",(COUNTIFS(Rships!$C$2:$C$9990,$A148,Rships!$D$2:$D$9990,4)))</f>
        <v/>
      </c>
      <c r="AF148" s="64" t="str">
        <f>IF($B148="","",(COUNTIFS(Rships!$C$2:$C$9990,$A148,Rships!$D$2:$D$9990,5)))</f>
        <v/>
      </c>
      <c r="AG148" s="64" t="str">
        <f>IF($B148="","",(COUNTIFS(Rships!$C$2:$C$9990,$A148,Rships!$D$2:$D$9990,6)))</f>
        <v/>
      </c>
      <c r="AH148" s="64" t="str">
        <f>IF($B148="","",(COUNTIFS(Rships!$C$2:$C$9990,$A148,Rships!$D$2:$D$9990,7)))</f>
        <v/>
      </c>
    </row>
    <row r="149" spans="1:34">
      <c r="A149" s="1" t="s">
        <v>401</v>
      </c>
      <c r="C149" s="11" t="s">
        <v>19</v>
      </c>
      <c r="D149" s="11" t="s">
        <v>21</v>
      </c>
      <c r="F149" s="15"/>
      <c r="G149" s="15"/>
      <c r="I149" s="17"/>
      <c r="O149" s="11" t="s">
        <v>27</v>
      </c>
      <c r="Y149" s="64">
        <f t="shared" si="4"/>
        <v>0</v>
      </c>
      <c r="AA149" s="64">
        <f t="shared" si="5"/>
        <v>0</v>
      </c>
      <c r="AB149" s="64" t="str">
        <f>IF($B149="","",(COUNTIFS(Rships!$C$2:$C$9990,$A149,Rships!$D$2:$D$9990,1)))</f>
        <v/>
      </c>
      <c r="AC149" s="64" t="str">
        <f>IF($B149="","",(COUNTIFS(Rships!$C$2:$C$9990,$A149,Rships!$D$2:$D$9990,2)))</f>
        <v/>
      </c>
      <c r="AD149" s="64" t="str">
        <f>IF($B149="","",(COUNTIFS(Rships!$C$2:$C$9990,$A149,Rships!$D$2:$D$9990,3)))</f>
        <v/>
      </c>
      <c r="AE149" s="64" t="str">
        <f>IF($B149="","",(COUNTIFS(Rships!$C$2:$C$9990,$A149,Rships!$D$2:$D$9990,4)))</f>
        <v/>
      </c>
      <c r="AF149" s="64" t="str">
        <f>IF($B149="","",(COUNTIFS(Rships!$C$2:$C$9990,$A149,Rships!$D$2:$D$9990,5)))</f>
        <v/>
      </c>
      <c r="AG149" s="64" t="str">
        <f>IF($B149="","",(COUNTIFS(Rships!$C$2:$C$9990,$A149,Rships!$D$2:$D$9990,6)))</f>
        <v/>
      </c>
      <c r="AH149" s="64" t="str">
        <f>IF($B149="","",(COUNTIFS(Rships!$C$2:$C$9990,$A149,Rships!$D$2:$D$9990,7)))</f>
        <v/>
      </c>
    </row>
    <row r="150" spans="1:34">
      <c r="A150" s="1" t="s">
        <v>402</v>
      </c>
      <c r="C150" s="11" t="s">
        <v>19</v>
      </c>
      <c r="D150" s="11" t="s">
        <v>21</v>
      </c>
      <c r="F150" s="15"/>
      <c r="G150" s="15"/>
      <c r="I150" s="17"/>
      <c r="O150" s="11" t="s">
        <v>27</v>
      </c>
      <c r="Y150" s="64">
        <f t="shared" si="4"/>
        <v>0</v>
      </c>
      <c r="AA150" s="64">
        <f t="shared" si="5"/>
        <v>0</v>
      </c>
      <c r="AB150" s="64" t="str">
        <f>IF($B150="","",(COUNTIFS(Rships!$C$2:$C$9990,$A150,Rships!$D$2:$D$9990,1)))</f>
        <v/>
      </c>
      <c r="AC150" s="64" t="str">
        <f>IF($B150="","",(COUNTIFS(Rships!$C$2:$C$9990,$A150,Rships!$D$2:$D$9990,2)))</f>
        <v/>
      </c>
      <c r="AD150" s="64" t="str">
        <f>IF($B150="","",(COUNTIFS(Rships!$C$2:$C$9990,$A150,Rships!$D$2:$D$9990,3)))</f>
        <v/>
      </c>
      <c r="AE150" s="64" t="str">
        <f>IF($B150="","",(COUNTIFS(Rships!$C$2:$C$9990,$A150,Rships!$D$2:$D$9990,4)))</f>
        <v/>
      </c>
      <c r="AF150" s="64" t="str">
        <f>IF($B150="","",(COUNTIFS(Rships!$C$2:$C$9990,$A150,Rships!$D$2:$D$9990,5)))</f>
        <v/>
      </c>
      <c r="AG150" s="64" t="str">
        <f>IF($B150="","",(COUNTIFS(Rships!$C$2:$C$9990,$A150,Rships!$D$2:$D$9990,6)))</f>
        <v/>
      </c>
      <c r="AH150" s="64" t="str">
        <f>IF($B150="","",(COUNTIFS(Rships!$C$2:$C$9990,$A150,Rships!$D$2:$D$9990,7)))</f>
        <v/>
      </c>
    </row>
    <row r="151" spans="1:34">
      <c r="A151" s="1" t="s">
        <v>403</v>
      </c>
      <c r="C151" s="11" t="s">
        <v>19</v>
      </c>
      <c r="D151" s="11" t="s">
        <v>21</v>
      </c>
      <c r="F151" s="15"/>
      <c r="G151" s="15"/>
      <c r="I151" s="17"/>
      <c r="O151" s="11" t="s">
        <v>27</v>
      </c>
      <c r="Y151" s="64">
        <f t="shared" si="4"/>
        <v>0</v>
      </c>
      <c r="AA151" s="64">
        <f t="shared" si="5"/>
        <v>0</v>
      </c>
      <c r="AB151" s="64" t="str">
        <f>IF($B151="","",(COUNTIFS(Rships!$C$2:$C$9990,$A151,Rships!$D$2:$D$9990,1)))</f>
        <v/>
      </c>
      <c r="AC151" s="64" t="str">
        <f>IF($B151="","",(COUNTIFS(Rships!$C$2:$C$9990,$A151,Rships!$D$2:$D$9990,2)))</f>
        <v/>
      </c>
      <c r="AD151" s="64" t="str">
        <f>IF($B151="","",(COUNTIFS(Rships!$C$2:$C$9990,$A151,Rships!$D$2:$D$9990,3)))</f>
        <v/>
      </c>
      <c r="AE151" s="64" t="str">
        <f>IF($B151="","",(COUNTIFS(Rships!$C$2:$C$9990,$A151,Rships!$D$2:$D$9990,4)))</f>
        <v/>
      </c>
      <c r="AF151" s="64" t="str">
        <f>IF($B151="","",(COUNTIFS(Rships!$C$2:$C$9990,$A151,Rships!$D$2:$D$9990,5)))</f>
        <v/>
      </c>
      <c r="AG151" s="64" t="str">
        <f>IF($B151="","",(COUNTIFS(Rships!$C$2:$C$9990,$A151,Rships!$D$2:$D$9990,6)))</f>
        <v/>
      </c>
      <c r="AH151" s="64" t="str">
        <f>IF($B151="","",(COUNTIFS(Rships!$C$2:$C$9990,$A151,Rships!$D$2:$D$9990,7)))</f>
        <v/>
      </c>
    </row>
    <row r="152" spans="1:34">
      <c r="A152" s="1" t="s">
        <v>404</v>
      </c>
      <c r="C152" s="11" t="s">
        <v>19</v>
      </c>
      <c r="D152" s="11" t="s">
        <v>21</v>
      </c>
      <c r="F152" s="15"/>
      <c r="G152" s="15"/>
      <c r="I152" s="17"/>
      <c r="O152" s="11" t="s">
        <v>27</v>
      </c>
      <c r="Y152" s="64">
        <f t="shared" si="4"/>
        <v>0</v>
      </c>
      <c r="AA152" s="64">
        <f t="shared" si="5"/>
        <v>0</v>
      </c>
      <c r="AB152" s="64" t="str">
        <f>IF($B152="","",(COUNTIFS(Rships!$C$2:$C$9990,$A152,Rships!$D$2:$D$9990,1)))</f>
        <v/>
      </c>
      <c r="AC152" s="64" t="str">
        <f>IF($B152="","",(COUNTIFS(Rships!$C$2:$C$9990,$A152,Rships!$D$2:$D$9990,2)))</f>
        <v/>
      </c>
      <c r="AD152" s="64" t="str">
        <f>IF($B152="","",(COUNTIFS(Rships!$C$2:$C$9990,$A152,Rships!$D$2:$D$9990,3)))</f>
        <v/>
      </c>
      <c r="AE152" s="64" t="str">
        <f>IF($B152="","",(COUNTIFS(Rships!$C$2:$C$9990,$A152,Rships!$D$2:$D$9990,4)))</f>
        <v/>
      </c>
      <c r="AF152" s="64" t="str">
        <f>IF($B152="","",(COUNTIFS(Rships!$C$2:$C$9990,$A152,Rships!$D$2:$D$9990,5)))</f>
        <v/>
      </c>
      <c r="AG152" s="64" t="str">
        <f>IF($B152="","",(COUNTIFS(Rships!$C$2:$C$9990,$A152,Rships!$D$2:$D$9990,6)))</f>
        <v/>
      </c>
      <c r="AH152" s="64" t="str">
        <f>IF($B152="","",(COUNTIFS(Rships!$C$2:$C$9990,$A152,Rships!$D$2:$D$9990,7)))</f>
        <v/>
      </c>
    </row>
    <row r="153" spans="1:34">
      <c r="A153" s="1" t="s">
        <v>405</v>
      </c>
      <c r="C153" s="11" t="s">
        <v>19</v>
      </c>
      <c r="D153" s="11" t="s">
        <v>21</v>
      </c>
      <c r="F153" s="15"/>
      <c r="G153" s="15"/>
      <c r="I153" s="17"/>
      <c r="O153" s="11" t="s">
        <v>27</v>
      </c>
      <c r="Y153" s="64">
        <f t="shared" si="4"/>
        <v>0</v>
      </c>
      <c r="AA153" s="64">
        <f t="shared" si="5"/>
        <v>0</v>
      </c>
      <c r="AB153" s="64" t="str">
        <f>IF($B153="","",(COUNTIFS(Rships!$C$2:$C$9990,$A153,Rships!$D$2:$D$9990,1)))</f>
        <v/>
      </c>
      <c r="AC153" s="64" t="str">
        <f>IF($B153="","",(COUNTIFS(Rships!$C$2:$C$9990,$A153,Rships!$D$2:$D$9990,2)))</f>
        <v/>
      </c>
      <c r="AD153" s="64" t="str">
        <f>IF($B153="","",(COUNTIFS(Rships!$C$2:$C$9990,$A153,Rships!$D$2:$D$9990,3)))</f>
        <v/>
      </c>
      <c r="AE153" s="64" t="str">
        <f>IF($B153="","",(COUNTIFS(Rships!$C$2:$C$9990,$A153,Rships!$D$2:$D$9990,4)))</f>
        <v/>
      </c>
      <c r="AF153" s="64" t="str">
        <f>IF($B153="","",(COUNTIFS(Rships!$C$2:$C$9990,$A153,Rships!$D$2:$D$9990,5)))</f>
        <v/>
      </c>
      <c r="AG153" s="64" t="str">
        <f>IF($B153="","",(COUNTIFS(Rships!$C$2:$C$9990,$A153,Rships!$D$2:$D$9990,6)))</f>
        <v/>
      </c>
      <c r="AH153" s="64" t="str">
        <f>IF($B153="","",(COUNTIFS(Rships!$C$2:$C$9990,$A153,Rships!$D$2:$D$9990,7)))</f>
        <v/>
      </c>
    </row>
    <row r="154" spans="1:34">
      <c r="A154" s="1" t="s">
        <v>406</v>
      </c>
      <c r="C154" s="11" t="s">
        <v>19</v>
      </c>
      <c r="D154" s="11" t="s">
        <v>21</v>
      </c>
      <c r="F154" s="15"/>
      <c r="G154" s="15"/>
      <c r="I154" s="17"/>
      <c r="O154" s="11" t="s">
        <v>27</v>
      </c>
      <c r="Y154" s="64">
        <f t="shared" si="4"/>
        <v>0</v>
      </c>
      <c r="AA154" s="64">
        <f t="shared" si="5"/>
        <v>0</v>
      </c>
      <c r="AB154" s="64" t="str">
        <f>IF($B154="","",(COUNTIFS(Rships!$C$2:$C$9990,$A154,Rships!$D$2:$D$9990,1)))</f>
        <v/>
      </c>
      <c r="AC154" s="64" t="str">
        <f>IF($B154="","",(COUNTIFS(Rships!$C$2:$C$9990,$A154,Rships!$D$2:$D$9990,2)))</f>
        <v/>
      </c>
      <c r="AD154" s="64" t="str">
        <f>IF($B154="","",(COUNTIFS(Rships!$C$2:$C$9990,$A154,Rships!$D$2:$D$9990,3)))</f>
        <v/>
      </c>
      <c r="AE154" s="64" t="str">
        <f>IF($B154="","",(COUNTIFS(Rships!$C$2:$C$9990,$A154,Rships!$D$2:$D$9990,4)))</f>
        <v/>
      </c>
      <c r="AF154" s="64" t="str">
        <f>IF($B154="","",(COUNTIFS(Rships!$C$2:$C$9990,$A154,Rships!$D$2:$D$9990,5)))</f>
        <v/>
      </c>
      <c r="AG154" s="64" t="str">
        <f>IF($B154="","",(COUNTIFS(Rships!$C$2:$C$9990,$A154,Rships!$D$2:$D$9990,6)))</f>
        <v/>
      </c>
      <c r="AH154" s="64" t="str">
        <f>IF($B154="","",(COUNTIFS(Rships!$C$2:$C$9990,$A154,Rships!$D$2:$D$9990,7)))</f>
        <v/>
      </c>
    </row>
    <row r="155" spans="1:34">
      <c r="A155" s="1" t="s">
        <v>407</v>
      </c>
      <c r="C155" s="11" t="s">
        <v>19</v>
      </c>
      <c r="D155" s="11" t="s">
        <v>21</v>
      </c>
      <c r="F155" s="15"/>
      <c r="G155" s="15"/>
      <c r="I155" s="17"/>
      <c r="O155" s="11" t="s">
        <v>27</v>
      </c>
      <c r="Y155" s="64">
        <f t="shared" si="4"/>
        <v>0</v>
      </c>
      <c r="AA155" s="64">
        <f t="shared" si="5"/>
        <v>0</v>
      </c>
      <c r="AB155" s="64" t="str">
        <f>IF($B155="","",(COUNTIFS(Rships!$C$2:$C$9990,$A155,Rships!$D$2:$D$9990,1)))</f>
        <v/>
      </c>
      <c r="AC155" s="64" t="str">
        <f>IF($B155="","",(COUNTIFS(Rships!$C$2:$C$9990,$A155,Rships!$D$2:$D$9990,2)))</f>
        <v/>
      </c>
      <c r="AD155" s="64" t="str">
        <f>IF($B155="","",(COUNTIFS(Rships!$C$2:$C$9990,$A155,Rships!$D$2:$D$9990,3)))</f>
        <v/>
      </c>
      <c r="AE155" s="64" t="str">
        <f>IF($B155="","",(COUNTIFS(Rships!$C$2:$C$9990,$A155,Rships!$D$2:$D$9990,4)))</f>
        <v/>
      </c>
      <c r="AF155" s="64" t="str">
        <f>IF($B155="","",(COUNTIFS(Rships!$C$2:$C$9990,$A155,Rships!$D$2:$D$9990,5)))</f>
        <v/>
      </c>
      <c r="AG155" s="64" t="str">
        <f>IF($B155="","",(COUNTIFS(Rships!$C$2:$C$9990,$A155,Rships!$D$2:$D$9990,6)))</f>
        <v/>
      </c>
      <c r="AH155" s="64" t="str">
        <f>IF($B155="","",(COUNTIFS(Rships!$C$2:$C$9990,$A155,Rships!$D$2:$D$9990,7)))</f>
        <v/>
      </c>
    </row>
    <row r="156" spans="1:34">
      <c r="A156" s="1" t="s">
        <v>408</v>
      </c>
      <c r="C156" s="11" t="s">
        <v>19</v>
      </c>
      <c r="D156" s="11" t="s">
        <v>21</v>
      </c>
      <c r="F156" s="15"/>
      <c r="G156" s="15"/>
      <c r="I156" s="17"/>
      <c r="O156" s="11" t="s">
        <v>27</v>
      </c>
      <c r="Y156" s="64">
        <f t="shared" si="4"/>
        <v>0</v>
      </c>
      <c r="AA156" s="64">
        <f t="shared" si="5"/>
        <v>0</v>
      </c>
      <c r="AB156" s="64" t="str">
        <f>IF($B156="","",(COUNTIFS(Rships!$C$2:$C$9990,$A156,Rships!$D$2:$D$9990,1)))</f>
        <v/>
      </c>
      <c r="AC156" s="64" t="str">
        <f>IF($B156="","",(COUNTIFS(Rships!$C$2:$C$9990,$A156,Rships!$D$2:$D$9990,2)))</f>
        <v/>
      </c>
      <c r="AD156" s="64" t="str">
        <f>IF($B156="","",(COUNTIFS(Rships!$C$2:$C$9990,$A156,Rships!$D$2:$D$9990,3)))</f>
        <v/>
      </c>
      <c r="AE156" s="64" t="str">
        <f>IF($B156="","",(COUNTIFS(Rships!$C$2:$C$9990,$A156,Rships!$D$2:$D$9990,4)))</f>
        <v/>
      </c>
      <c r="AF156" s="64" t="str">
        <f>IF($B156="","",(COUNTIFS(Rships!$C$2:$C$9990,$A156,Rships!$D$2:$D$9990,5)))</f>
        <v/>
      </c>
      <c r="AG156" s="64" t="str">
        <f>IF($B156="","",(COUNTIFS(Rships!$C$2:$C$9990,$A156,Rships!$D$2:$D$9990,6)))</f>
        <v/>
      </c>
      <c r="AH156" s="64" t="str">
        <f>IF($B156="","",(COUNTIFS(Rships!$C$2:$C$9990,$A156,Rships!$D$2:$D$9990,7)))</f>
        <v/>
      </c>
    </row>
    <row r="157" spans="1:34">
      <c r="A157" s="1" t="s">
        <v>409</v>
      </c>
      <c r="C157" s="11" t="s">
        <v>19</v>
      </c>
      <c r="D157" s="11" t="s">
        <v>21</v>
      </c>
      <c r="F157" s="15"/>
      <c r="G157" s="15"/>
      <c r="I157" s="17"/>
      <c r="O157" s="11" t="s">
        <v>27</v>
      </c>
      <c r="Y157" s="64">
        <f t="shared" si="4"/>
        <v>0</v>
      </c>
      <c r="AA157" s="64">
        <f t="shared" si="5"/>
        <v>0</v>
      </c>
      <c r="AB157" s="64" t="str">
        <f>IF($B157="","",(COUNTIFS(Rships!$C$2:$C$9990,$A157,Rships!$D$2:$D$9990,1)))</f>
        <v/>
      </c>
      <c r="AC157" s="64" t="str">
        <f>IF($B157="","",(COUNTIFS(Rships!$C$2:$C$9990,$A157,Rships!$D$2:$D$9990,2)))</f>
        <v/>
      </c>
      <c r="AD157" s="64" t="str">
        <f>IF($B157="","",(COUNTIFS(Rships!$C$2:$C$9990,$A157,Rships!$D$2:$D$9990,3)))</f>
        <v/>
      </c>
      <c r="AE157" s="64" t="str">
        <f>IF($B157="","",(COUNTIFS(Rships!$C$2:$C$9990,$A157,Rships!$D$2:$D$9990,4)))</f>
        <v/>
      </c>
      <c r="AF157" s="64" t="str">
        <f>IF($B157="","",(COUNTIFS(Rships!$C$2:$C$9990,$A157,Rships!$D$2:$D$9990,5)))</f>
        <v/>
      </c>
      <c r="AG157" s="64" t="str">
        <f>IF($B157="","",(COUNTIFS(Rships!$C$2:$C$9990,$A157,Rships!$D$2:$D$9990,6)))</f>
        <v/>
      </c>
      <c r="AH157" s="64" t="str">
        <f>IF($B157="","",(COUNTIFS(Rships!$C$2:$C$9990,$A157,Rships!$D$2:$D$9990,7)))</f>
        <v/>
      </c>
    </row>
    <row r="158" spans="1:34">
      <c r="A158" s="1" t="s">
        <v>410</v>
      </c>
      <c r="C158" s="11" t="s">
        <v>19</v>
      </c>
      <c r="D158" s="11" t="s">
        <v>21</v>
      </c>
      <c r="F158" s="15"/>
      <c r="G158" s="15"/>
      <c r="I158" s="17"/>
      <c r="O158" s="11" t="s">
        <v>27</v>
      </c>
      <c r="Y158" s="64">
        <f t="shared" si="4"/>
        <v>0</v>
      </c>
      <c r="AA158" s="64">
        <f t="shared" si="5"/>
        <v>0</v>
      </c>
      <c r="AB158" s="64" t="str">
        <f>IF($B158="","",(COUNTIFS(Rships!$C$2:$C$9990,$A158,Rships!$D$2:$D$9990,1)))</f>
        <v/>
      </c>
      <c r="AC158" s="64" t="str">
        <f>IF($B158="","",(COUNTIFS(Rships!$C$2:$C$9990,$A158,Rships!$D$2:$D$9990,2)))</f>
        <v/>
      </c>
      <c r="AD158" s="64" t="str">
        <f>IF($B158="","",(COUNTIFS(Rships!$C$2:$C$9990,$A158,Rships!$D$2:$D$9990,3)))</f>
        <v/>
      </c>
      <c r="AE158" s="64" t="str">
        <f>IF($B158="","",(COUNTIFS(Rships!$C$2:$C$9990,$A158,Rships!$D$2:$D$9990,4)))</f>
        <v/>
      </c>
      <c r="AF158" s="64" t="str">
        <f>IF($B158="","",(COUNTIFS(Rships!$C$2:$C$9990,$A158,Rships!$D$2:$D$9990,5)))</f>
        <v/>
      </c>
      <c r="AG158" s="64" t="str">
        <f>IF($B158="","",(COUNTIFS(Rships!$C$2:$C$9990,$A158,Rships!$D$2:$D$9990,6)))</f>
        <v/>
      </c>
      <c r="AH158" s="64" t="str">
        <f>IF($B158="","",(COUNTIFS(Rships!$C$2:$C$9990,$A158,Rships!$D$2:$D$9990,7)))</f>
        <v/>
      </c>
    </row>
    <row r="159" spans="1:34">
      <c r="A159" s="1" t="s">
        <v>411</v>
      </c>
      <c r="C159" s="11" t="s">
        <v>19</v>
      </c>
      <c r="D159" s="11" t="s">
        <v>21</v>
      </c>
      <c r="F159" s="15"/>
      <c r="G159" s="15"/>
      <c r="I159" s="17"/>
      <c r="O159" s="11" t="s">
        <v>27</v>
      </c>
      <c r="Y159" s="64">
        <f t="shared" si="4"/>
        <v>0</v>
      </c>
      <c r="AA159" s="64">
        <f t="shared" si="5"/>
        <v>0</v>
      </c>
      <c r="AB159" s="64" t="str">
        <f>IF($B159="","",(COUNTIFS(Rships!$C$2:$C$9990,$A159,Rships!$D$2:$D$9990,1)))</f>
        <v/>
      </c>
      <c r="AC159" s="64" t="str">
        <f>IF($B159="","",(COUNTIFS(Rships!$C$2:$C$9990,$A159,Rships!$D$2:$D$9990,2)))</f>
        <v/>
      </c>
      <c r="AD159" s="64" t="str">
        <f>IF($B159="","",(COUNTIFS(Rships!$C$2:$C$9990,$A159,Rships!$D$2:$D$9990,3)))</f>
        <v/>
      </c>
      <c r="AE159" s="64" t="str">
        <f>IF($B159="","",(COUNTIFS(Rships!$C$2:$C$9990,$A159,Rships!$D$2:$D$9990,4)))</f>
        <v/>
      </c>
      <c r="AF159" s="64" t="str">
        <f>IF($B159="","",(COUNTIFS(Rships!$C$2:$C$9990,$A159,Rships!$D$2:$D$9990,5)))</f>
        <v/>
      </c>
      <c r="AG159" s="64" t="str">
        <f>IF($B159="","",(COUNTIFS(Rships!$C$2:$C$9990,$A159,Rships!$D$2:$D$9990,6)))</f>
        <v/>
      </c>
      <c r="AH159" s="64" t="str">
        <f>IF($B159="","",(COUNTIFS(Rships!$C$2:$C$9990,$A159,Rships!$D$2:$D$9990,7)))</f>
        <v/>
      </c>
    </row>
    <row r="160" spans="1:34">
      <c r="A160" s="1" t="s">
        <v>412</v>
      </c>
      <c r="C160" s="11" t="s">
        <v>19</v>
      </c>
      <c r="D160" s="11" t="s">
        <v>21</v>
      </c>
      <c r="F160" s="15"/>
      <c r="G160" s="15"/>
      <c r="I160" s="17"/>
      <c r="O160" s="11" t="s">
        <v>27</v>
      </c>
      <c r="Y160" s="64">
        <f t="shared" si="4"/>
        <v>0</v>
      </c>
      <c r="AA160" s="64">
        <f t="shared" si="5"/>
        <v>0</v>
      </c>
      <c r="AB160" s="64" t="str">
        <f>IF($B160="","",(COUNTIFS(Rships!$C$2:$C$9990,$A160,Rships!$D$2:$D$9990,1)))</f>
        <v/>
      </c>
      <c r="AC160" s="64" t="str">
        <f>IF($B160="","",(COUNTIFS(Rships!$C$2:$C$9990,$A160,Rships!$D$2:$D$9990,2)))</f>
        <v/>
      </c>
      <c r="AD160" s="64" t="str">
        <f>IF($B160="","",(COUNTIFS(Rships!$C$2:$C$9990,$A160,Rships!$D$2:$D$9990,3)))</f>
        <v/>
      </c>
      <c r="AE160" s="64" t="str">
        <f>IF($B160="","",(COUNTIFS(Rships!$C$2:$C$9990,$A160,Rships!$D$2:$D$9990,4)))</f>
        <v/>
      </c>
      <c r="AF160" s="64" t="str">
        <f>IF($B160="","",(COUNTIFS(Rships!$C$2:$C$9990,$A160,Rships!$D$2:$D$9990,5)))</f>
        <v/>
      </c>
      <c r="AG160" s="64" t="str">
        <f>IF($B160="","",(COUNTIFS(Rships!$C$2:$C$9990,$A160,Rships!$D$2:$D$9990,6)))</f>
        <v/>
      </c>
      <c r="AH160" s="64" t="str">
        <f>IF($B160="","",(COUNTIFS(Rships!$C$2:$C$9990,$A160,Rships!$D$2:$D$9990,7)))</f>
        <v/>
      </c>
    </row>
    <row r="161" spans="1:34">
      <c r="A161" s="1" t="s">
        <v>413</v>
      </c>
      <c r="C161" s="11" t="s">
        <v>19</v>
      </c>
      <c r="D161" s="11" t="s">
        <v>21</v>
      </c>
      <c r="F161" s="15"/>
      <c r="G161" s="15"/>
      <c r="I161" s="17"/>
      <c r="O161" s="11" t="s">
        <v>27</v>
      </c>
      <c r="Y161" s="64">
        <f t="shared" si="4"/>
        <v>0</v>
      </c>
      <c r="AA161" s="64">
        <f t="shared" si="5"/>
        <v>0</v>
      </c>
      <c r="AB161" s="64" t="str">
        <f>IF($B161="","",(COUNTIFS(Rships!$C$2:$C$9990,$A161,Rships!$D$2:$D$9990,1)))</f>
        <v/>
      </c>
      <c r="AC161" s="64" t="str">
        <f>IF($B161="","",(COUNTIFS(Rships!$C$2:$C$9990,$A161,Rships!$D$2:$D$9990,2)))</f>
        <v/>
      </c>
      <c r="AD161" s="64" t="str">
        <f>IF($B161="","",(COUNTIFS(Rships!$C$2:$C$9990,$A161,Rships!$D$2:$D$9990,3)))</f>
        <v/>
      </c>
      <c r="AE161" s="64" t="str">
        <f>IF($B161="","",(COUNTIFS(Rships!$C$2:$C$9990,$A161,Rships!$D$2:$D$9990,4)))</f>
        <v/>
      </c>
      <c r="AF161" s="64" t="str">
        <f>IF($B161="","",(COUNTIFS(Rships!$C$2:$C$9990,$A161,Rships!$D$2:$D$9990,5)))</f>
        <v/>
      </c>
      <c r="AG161" s="64" t="str">
        <f>IF($B161="","",(COUNTIFS(Rships!$C$2:$C$9990,$A161,Rships!$D$2:$D$9990,6)))</f>
        <v/>
      </c>
      <c r="AH161" s="64" t="str">
        <f>IF($B161="","",(COUNTIFS(Rships!$C$2:$C$9990,$A161,Rships!$D$2:$D$9990,7)))</f>
        <v/>
      </c>
    </row>
    <row r="162" spans="1:34">
      <c r="A162" s="1" t="s">
        <v>414</v>
      </c>
      <c r="C162" s="11" t="s">
        <v>19</v>
      </c>
      <c r="D162" s="11" t="s">
        <v>21</v>
      </c>
      <c r="F162" s="15"/>
      <c r="G162" s="15"/>
      <c r="I162" s="17"/>
      <c r="O162" s="11" t="s">
        <v>27</v>
      </c>
      <c r="Y162" s="64">
        <f t="shared" si="4"/>
        <v>0</v>
      </c>
      <c r="AA162" s="64">
        <f t="shared" si="5"/>
        <v>0</v>
      </c>
      <c r="AB162" s="64" t="str">
        <f>IF($B162="","",(COUNTIFS(Rships!$C$2:$C$9990,$A162,Rships!$D$2:$D$9990,1)))</f>
        <v/>
      </c>
      <c r="AC162" s="64" t="str">
        <f>IF($B162="","",(COUNTIFS(Rships!$C$2:$C$9990,$A162,Rships!$D$2:$D$9990,2)))</f>
        <v/>
      </c>
      <c r="AD162" s="64" t="str">
        <f>IF($B162="","",(COUNTIFS(Rships!$C$2:$C$9990,$A162,Rships!$D$2:$D$9990,3)))</f>
        <v/>
      </c>
      <c r="AE162" s="64" t="str">
        <f>IF($B162="","",(COUNTIFS(Rships!$C$2:$C$9990,$A162,Rships!$D$2:$D$9990,4)))</f>
        <v/>
      </c>
      <c r="AF162" s="64" t="str">
        <f>IF($B162="","",(COUNTIFS(Rships!$C$2:$C$9990,$A162,Rships!$D$2:$D$9990,5)))</f>
        <v/>
      </c>
      <c r="AG162" s="64" t="str">
        <f>IF($B162="","",(COUNTIFS(Rships!$C$2:$C$9990,$A162,Rships!$D$2:$D$9990,6)))</f>
        <v/>
      </c>
      <c r="AH162" s="64" t="str">
        <f>IF($B162="","",(COUNTIFS(Rships!$C$2:$C$9990,$A162,Rships!$D$2:$D$9990,7)))</f>
        <v/>
      </c>
    </row>
    <row r="163" spans="1:34">
      <c r="A163" s="1" t="s">
        <v>415</v>
      </c>
      <c r="C163" s="11" t="s">
        <v>19</v>
      </c>
      <c r="D163" s="11" t="s">
        <v>21</v>
      </c>
      <c r="F163" s="15"/>
      <c r="G163" s="15"/>
      <c r="I163" s="17"/>
      <c r="O163" s="11" t="s">
        <v>27</v>
      </c>
      <c r="Y163" s="64">
        <f t="shared" si="4"/>
        <v>0</v>
      </c>
      <c r="AA163" s="64">
        <f t="shared" si="5"/>
        <v>0</v>
      </c>
      <c r="AB163" s="64" t="str">
        <f>IF($B163="","",(COUNTIFS(Rships!$C$2:$C$9990,$A163,Rships!$D$2:$D$9990,1)))</f>
        <v/>
      </c>
      <c r="AC163" s="64" t="str">
        <f>IF($B163="","",(COUNTIFS(Rships!$C$2:$C$9990,$A163,Rships!$D$2:$D$9990,2)))</f>
        <v/>
      </c>
      <c r="AD163" s="64" t="str">
        <f>IF($B163="","",(COUNTIFS(Rships!$C$2:$C$9990,$A163,Rships!$D$2:$D$9990,3)))</f>
        <v/>
      </c>
      <c r="AE163" s="64" t="str">
        <f>IF($B163="","",(COUNTIFS(Rships!$C$2:$C$9990,$A163,Rships!$D$2:$D$9990,4)))</f>
        <v/>
      </c>
      <c r="AF163" s="64" t="str">
        <f>IF($B163="","",(COUNTIFS(Rships!$C$2:$C$9990,$A163,Rships!$D$2:$D$9990,5)))</f>
        <v/>
      </c>
      <c r="AG163" s="64" t="str">
        <f>IF($B163="","",(COUNTIFS(Rships!$C$2:$C$9990,$A163,Rships!$D$2:$D$9990,6)))</f>
        <v/>
      </c>
      <c r="AH163" s="64" t="str">
        <f>IF($B163="","",(COUNTIFS(Rships!$C$2:$C$9990,$A163,Rships!$D$2:$D$9990,7)))</f>
        <v/>
      </c>
    </row>
    <row r="164" spans="1:34">
      <c r="A164" s="1" t="s">
        <v>416</v>
      </c>
      <c r="C164" s="11" t="s">
        <v>19</v>
      </c>
      <c r="D164" s="11" t="s">
        <v>21</v>
      </c>
      <c r="F164" s="15"/>
      <c r="G164" s="15"/>
      <c r="I164" s="17"/>
      <c r="O164" s="11" t="s">
        <v>27</v>
      </c>
      <c r="Y164" s="64">
        <f t="shared" si="4"/>
        <v>0</v>
      </c>
      <c r="AA164" s="64">
        <f t="shared" si="5"/>
        <v>0</v>
      </c>
      <c r="AB164" s="64" t="str">
        <f>IF($B164="","",(COUNTIFS(Rships!$C$2:$C$9990,$A164,Rships!$D$2:$D$9990,1)))</f>
        <v/>
      </c>
      <c r="AC164" s="64" t="str">
        <f>IF($B164="","",(COUNTIFS(Rships!$C$2:$C$9990,$A164,Rships!$D$2:$D$9990,2)))</f>
        <v/>
      </c>
      <c r="AD164" s="64" t="str">
        <f>IF($B164="","",(COUNTIFS(Rships!$C$2:$C$9990,$A164,Rships!$D$2:$D$9990,3)))</f>
        <v/>
      </c>
      <c r="AE164" s="64" t="str">
        <f>IF($B164="","",(COUNTIFS(Rships!$C$2:$C$9990,$A164,Rships!$D$2:$D$9990,4)))</f>
        <v/>
      </c>
      <c r="AF164" s="64" t="str">
        <f>IF($B164="","",(COUNTIFS(Rships!$C$2:$C$9990,$A164,Rships!$D$2:$D$9990,5)))</f>
        <v/>
      </c>
      <c r="AG164" s="64" t="str">
        <f>IF($B164="","",(COUNTIFS(Rships!$C$2:$C$9990,$A164,Rships!$D$2:$D$9990,6)))</f>
        <v/>
      </c>
      <c r="AH164" s="64" t="str">
        <f>IF($B164="","",(COUNTIFS(Rships!$C$2:$C$9990,$A164,Rships!$D$2:$D$9990,7)))</f>
        <v/>
      </c>
    </row>
    <row r="165" spans="1:34">
      <c r="A165" s="1" t="s">
        <v>417</v>
      </c>
      <c r="C165" s="11" t="s">
        <v>19</v>
      </c>
      <c r="D165" s="11" t="s">
        <v>21</v>
      </c>
      <c r="F165" s="15"/>
      <c r="G165" s="15"/>
      <c r="I165" s="17"/>
      <c r="O165" s="11" t="s">
        <v>27</v>
      </c>
      <c r="Y165" s="64">
        <f t="shared" si="4"/>
        <v>0</v>
      </c>
      <c r="AA165" s="64">
        <f t="shared" si="5"/>
        <v>0</v>
      </c>
      <c r="AB165" s="64" t="str">
        <f>IF($B165="","",(COUNTIFS(Rships!$C$2:$C$9990,$A165,Rships!$D$2:$D$9990,1)))</f>
        <v/>
      </c>
      <c r="AC165" s="64" t="str">
        <f>IF($B165="","",(COUNTIFS(Rships!$C$2:$C$9990,$A165,Rships!$D$2:$D$9990,2)))</f>
        <v/>
      </c>
      <c r="AD165" s="64" t="str">
        <f>IF($B165="","",(COUNTIFS(Rships!$C$2:$C$9990,$A165,Rships!$D$2:$D$9990,3)))</f>
        <v/>
      </c>
      <c r="AE165" s="64" t="str">
        <f>IF($B165="","",(COUNTIFS(Rships!$C$2:$C$9990,$A165,Rships!$D$2:$D$9990,4)))</f>
        <v/>
      </c>
      <c r="AF165" s="64" t="str">
        <f>IF($B165="","",(COUNTIFS(Rships!$C$2:$C$9990,$A165,Rships!$D$2:$D$9990,5)))</f>
        <v/>
      </c>
      <c r="AG165" s="64" t="str">
        <f>IF($B165="","",(COUNTIFS(Rships!$C$2:$C$9990,$A165,Rships!$D$2:$D$9990,6)))</f>
        <v/>
      </c>
      <c r="AH165" s="64" t="str">
        <f>IF($B165="","",(COUNTIFS(Rships!$C$2:$C$9990,$A165,Rships!$D$2:$D$9990,7)))</f>
        <v/>
      </c>
    </row>
    <row r="166" spans="1:34">
      <c r="A166" s="1" t="s">
        <v>418</v>
      </c>
      <c r="C166" s="11" t="s">
        <v>19</v>
      </c>
      <c r="D166" s="11" t="s">
        <v>21</v>
      </c>
      <c r="F166" s="15"/>
      <c r="G166" s="15"/>
      <c r="I166" s="17"/>
      <c r="O166" s="11" t="s">
        <v>27</v>
      </c>
      <c r="Y166" s="64">
        <f t="shared" si="4"/>
        <v>0</v>
      </c>
      <c r="AA166" s="64">
        <f t="shared" si="5"/>
        <v>0</v>
      </c>
      <c r="AB166" s="64" t="str">
        <f>IF($B166="","",(COUNTIFS(Rships!$C$2:$C$9990,$A166,Rships!$D$2:$D$9990,1)))</f>
        <v/>
      </c>
      <c r="AC166" s="64" t="str">
        <f>IF($B166="","",(COUNTIFS(Rships!$C$2:$C$9990,$A166,Rships!$D$2:$D$9990,2)))</f>
        <v/>
      </c>
      <c r="AD166" s="64" t="str">
        <f>IF($B166="","",(COUNTIFS(Rships!$C$2:$C$9990,$A166,Rships!$D$2:$D$9990,3)))</f>
        <v/>
      </c>
      <c r="AE166" s="64" t="str">
        <f>IF($B166="","",(COUNTIFS(Rships!$C$2:$C$9990,$A166,Rships!$D$2:$D$9990,4)))</f>
        <v/>
      </c>
      <c r="AF166" s="64" t="str">
        <f>IF($B166="","",(COUNTIFS(Rships!$C$2:$C$9990,$A166,Rships!$D$2:$D$9990,5)))</f>
        <v/>
      </c>
      <c r="AG166" s="64" t="str">
        <f>IF($B166="","",(COUNTIFS(Rships!$C$2:$C$9990,$A166,Rships!$D$2:$D$9990,6)))</f>
        <v/>
      </c>
      <c r="AH166" s="64" t="str">
        <f>IF($B166="","",(COUNTIFS(Rships!$C$2:$C$9990,$A166,Rships!$D$2:$D$9990,7)))</f>
        <v/>
      </c>
    </row>
    <row r="167" spans="1:34">
      <c r="A167" s="1" t="s">
        <v>419</v>
      </c>
      <c r="C167" s="11" t="s">
        <v>19</v>
      </c>
      <c r="D167" s="11" t="s">
        <v>21</v>
      </c>
      <c r="F167" s="15"/>
      <c r="G167" s="15"/>
      <c r="I167" s="17"/>
      <c r="O167" s="11" t="s">
        <v>27</v>
      </c>
      <c r="Y167" s="64">
        <f t="shared" si="4"/>
        <v>0</v>
      </c>
      <c r="AA167" s="64">
        <f t="shared" si="5"/>
        <v>0</v>
      </c>
      <c r="AB167" s="64" t="str">
        <f>IF($B167="","",(COUNTIFS(Rships!$C$2:$C$9990,$A167,Rships!$D$2:$D$9990,1)))</f>
        <v/>
      </c>
      <c r="AC167" s="64" t="str">
        <f>IF($B167="","",(COUNTIFS(Rships!$C$2:$C$9990,$A167,Rships!$D$2:$D$9990,2)))</f>
        <v/>
      </c>
      <c r="AD167" s="64" t="str">
        <f>IF($B167="","",(COUNTIFS(Rships!$C$2:$C$9990,$A167,Rships!$D$2:$D$9990,3)))</f>
        <v/>
      </c>
      <c r="AE167" s="64" t="str">
        <f>IF($B167="","",(COUNTIFS(Rships!$C$2:$C$9990,$A167,Rships!$D$2:$D$9990,4)))</f>
        <v/>
      </c>
      <c r="AF167" s="64" t="str">
        <f>IF($B167="","",(COUNTIFS(Rships!$C$2:$C$9990,$A167,Rships!$D$2:$D$9990,5)))</f>
        <v/>
      </c>
      <c r="AG167" s="64" t="str">
        <f>IF($B167="","",(COUNTIFS(Rships!$C$2:$C$9990,$A167,Rships!$D$2:$D$9990,6)))</f>
        <v/>
      </c>
      <c r="AH167" s="64" t="str">
        <f>IF($B167="","",(COUNTIFS(Rships!$C$2:$C$9990,$A167,Rships!$D$2:$D$9990,7)))</f>
        <v/>
      </c>
    </row>
    <row r="168" spans="1:34">
      <c r="A168" s="1" t="s">
        <v>420</v>
      </c>
      <c r="C168" s="11" t="s">
        <v>19</v>
      </c>
      <c r="D168" s="11" t="s">
        <v>21</v>
      </c>
      <c r="F168" s="15"/>
      <c r="G168" s="15"/>
      <c r="I168" s="17"/>
      <c r="O168" s="11" t="s">
        <v>27</v>
      </c>
      <c r="Y168" s="64">
        <f t="shared" si="4"/>
        <v>0</v>
      </c>
      <c r="AA168" s="64">
        <f t="shared" si="5"/>
        <v>0</v>
      </c>
      <c r="AB168" s="64" t="str">
        <f>IF($B168="","",(COUNTIFS(Rships!$C$2:$C$9990,$A168,Rships!$D$2:$D$9990,1)))</f>
        <v/>
      </c>
      <c r="AC168" s="64" t="str">
        <f>IF($B168="","",(COUNTIFS(Rships!$C$2:$C$9990,$A168,Rships!$D$2:$D$9990,2)))</f>
        <v/>
      </c>
      <c r="AD168" s="64" t="str">
        <f>IF($B168="","",(COUNTIFS(Rships!$C$2:$C$9990,$A168,Rships!$D$2:$D$9990,3)))</f>
        <v/>
      </c>
      <c r="AE168" s="64" t="str">
        <f>IF($B168="","",(COUNTIFS(Rships!$C$2:$C$9990,$A168,Rships!$D$2:$D$9990,4)))</f>
        <v/>
      </c>
      <c r="AF168" s="64" t="str">
        <f>IF($B168="","",(COUNTIFS(Rships!$C$2:$C$9990,$A168,Rships!$D$2:$D$9990,5)))</f>
        <v/>
      </c>
      <c r="AG168" s="64" t="str">
        <f>IF($B168="","",(COUNTIFS(Rships!$C$2:$C$9990,$A168,Rships!$D$2:$D$9990,6)))</f>
        <v/>
      </c>
      <c r="AH168" s="64" t="str">
        <f>IF($B168="","",(COUNTIFS(Rships!$C$2:$C$9990,$A168,Rships!$D$2:$D$9990,7)))</f>
        <v/>
      </c>
    </row>
    <row r="169" spans="1:34">
      <c r="A169" s="1" t="s">
        <v>421</v>
      </c>
      <c r="C169" s="11" t="s">
        <v>19</v>
      </c>
      <c r="D169" s="11" t="s">
        <v>21</v>
      </c>
      <c r="F169" s="15"/>
      <c r="G169" s="15"/>
      <c r="I169" s="17"/>
      <c r="O169" s="11" t="s">
        <v>27</v>
      </c>
      <c r="Y169" s="64">
        <f t="shared" si="4"/>
        <v>0</v>
      </c>
      <c r="AA169" s="64">
        <f t="shared" si="5"/>
        <v>0</v>
      </c>
      <c r="AB169" s="64" t="str">
        <f>IF($B169="","",(COUNTIFS(Rships!$C$2:$C$9990,$A169,Rships!$D$2:$D$9990,1)))</f>
        <v/>
      </c>
      <c r="AC169" s="64" t="str">
        <f>IF($B169="","",(COUNTIFS(Rships!$C$2:$C$9990,$A169,Rships!$D$2:$D$9990,2)))</f>
        <v/>
      </c>
      <c r="AD169" s="64" t="str">
        <f>IF($B169="","",(COUNTIFS(Rships!$C$2:$C$9990,$A169,Rships!$D$2:$D$9990,3)))</f>
        <v/>
      </c>
      <c r="AE169" s="64" t="str">
        <f>IF($B169="","",(COUNTIFS(Rships!$C$2:$C$9990,$A169,Rships!$D$2:$D$9990,4)))</f>
        <v/>
      </c>
      <c r="AF169" s="64" t="str">
        <f>IF($B169="","",(COUNTIFS(Rships!$C$2:$C$9990,$A169,Rships!$D$2:$D$9990,5)))</f>
        <v/>
      </c>
      <c r="AG169" s="64" t="str">
        <f>IF($B169="","",(COUNTIFS(Rships!$C$2:$C$9990,$A169,Rships!$D$2:$D$9990,6)))</f>
        <v/>
      </c>
      <c r="AH169" s="64" t="str">
        <f>IF($B169="","",(COUNTIFS(Rships!$C$2:$C$9990,$A169,Rships!$D$2:$D$9990,7)))</f>
        <v/>
      </c>
    </row>
    <row r="170" spans="1:34">
      <c r="A170" s="1" t="s">
        <v>422</v>
      </c>
      <c r="C170" s="11" t="s">
        <v>19</v>
      </c>
      <c r="D170" s="11" t="s">
        <v>21</v>
      </c>
      <c r="F170" s="15"/>
      <c r="G170" s="15"/>
      <c r="I170" s="17"/>
      <c r="O170" s="11" t="s">
        <v>27</v>
      </c>
      <c r="Y170" s="64">
        <f t="shared" si="4"/>
        <v>0</v>
      </c>
      <c r="AA170" s="64">
        <f t="shared" si="5"/>
        <v>0</v>
      </c>
      <c r="AB170" s="64" t="str">
        <f>IF($B170="","",(COUNTIFS(Rships!$C$2:$C$9990,$A170,Rships!$D$2:$D$9990,1)))</f>
        <v/>
      </c>
      <c r="AC170" s="64" t="str">
        <f>IF($B170="","",(COUNTIFS(Rships!$C$2:$C$9990,$A170,Rships!$D$2:$D$9990,2)))</f>
        <v/>
      </c>
      <c r="AD170" s="64" t="str">
        <f>IF($B170="","",(COUNTIFS(Rships!$C$2:$C$9990,$A170,Rships!$D$2:$D$9990,3)))</f>
        <v/>
      </c>
      <c r="AE170" s="64" t="str">
        <f>IF($B170="","",(COUNTIFS(Rships!$C$2:$C$9990,$A170,Rships!$D$2:$D$9990,4)))</f>
        <v/>
      </c>
      <c r="AF170" s="64" t="str">
        <f>IF($B170="","",(COUNTIFS(Rships!$C$2:$C$9990,$A170,Rships!$D$2:$D$9990,5)))</f>
        <v/>
      </c>
      <c r="AG170" s="64" t="str">
        <f>IF($B170="","",(COUNTIFS(Rships!$C$2:$C$9990,$A170,Rships!$D$2:$D$9990,6)))</f>
        <v/>
      </c>
      <c r="AH170" s="64" t="str">
        <f>IF($B170="","",(COUNTIFS(Rships!$C$2:$C$9990,$A170,Rships!$D$2:$D$9990,7)))</f>
        <v/>
      </c>
    </row>
    <row r="171" spans="1:34">
      <c r="A171" s="1" t="s">
        <v>423</v>
      </c>
      <c r="C171" s="11" t="s">
        <v>19</v>
      </c>
      <c r="D171" s="11" t="s">
        <v>21</v>
      </c>
      <c r="F171" s="15"/>
      <c r="G171" s="15"/>
      <c r="I171" s="17"/>
      <c r="O171" s="11" t="s">
        <v>27</v>
      </c>
      <c r="Y171" s="64">
        <f t="shared" si="4"/>
        <v>0</v>
      </c>
      <c r="AA171" s="64">
        <f t="shared" si="5"/>
        <v>0</v>
      </c>
      <c r="AB171" s="64" t="str">
        <f>IF($B171="","",(COUNTIFS(Rships!$C$2:$C$9990,$A171,Rships!$D$2:$D$9990,1)))</f>
        <v/>
      </c>
      <c r="AC171" s="64" t="str">
        <f>IF($B171="","",(COUNTIFS(Rships!$C$2:$C$9990,$A171,Rships!$D$2:$D$9990,2)))</f>
        <v/>
      </c>
      <c r="AD171" s="64" t="str">
        <f>IF($B171="","",(COUNTIFS(Rships!$C$2:$C$9990,$A171,Rships!$D$2:$D$9990,3)))</f>
        <v/>
      </c>
      <c r="AE171" s="64" t="str">
        <f>IF($B171="","",(COUNTIFS(Rships!$C$2:$C$9990,$A171,Rships!$D$2:$D$9990,4)))</f>
        <v/>
      </c>
      <c r="AF171" s="64" t="str">
        <f>IF($B171="","",(COUNTIFS(Rships!$C$2:$C$9990,$A171,Rships!$D$2:$D$9990,5)))</f>
        <v/>
      </c>
      <c r="AG171" s="64" t="str">
        <f>IF($B171="","",(COUNTIFS(Rships!$C$2:$C$9990,$A171,Rships!$D$2:$D$9990,6)))</f>
        <v/>
      </c>
      <c r="AH171" s="64" t="str">
        <f>IF($B171="","",(COUNTIFS(Rships!$C$2:$C$9990,$A171,Rships!$D$2:$D$9990,7)))</f>
        <v/>
      </c>
    </row>
    <row r="172" spans="1:34">
      <c r="A172" s="1" t="s">
        <v>424</v>
      </c>
      <c r="C172" s="11" t="s">
        <v>19</v>
      </c>
      <c r="D172" s="11" t="s">
        <v>21</v>
      </c>
      <c r="F172" s="15"/>
      <c r="G172" s="15"/>
      <c r="I172" s="17"/>
      <c r="O172" s="11" t="s">
        <v>27</v>
      </c>
      <c r="Y172" s="64">
        <f t="shared" si="4"/>
        <v>0</v>
      </c>
      <c r="AA172" s="64">
        <f t="shared" si="5"/>
        <v>0</v>
      </c>
      <c r="AB172" s="64" t="str">
        <f>IF($B172="","",(COUNTIFS(Rships!$C$2:$C$9990,$A172,Rships!$D$2:$D$9990,1)))</f>
        <v/>
      </c>
      <c r="AC172" s="64" t="str">
        <f>IF($B172="","",(COUNTIFS(Rships!$C$2:$C$9990,$A172,Rships!$D$2:$D$9990,2)))</f>
        <v/>
      </c>
      <c r="AD172" s="64" t="str">
        <f>IF($B172="","",(COUNTIFS(Rships!$C$2:$C$9990,$A172,Rships!$D$2:$D$9990,3)))</f>
        <v/>
      </c>
      <c r="AE172" s="64" t="str">
        <f>IF($B172="","",(COUNTIFS(Rships!$C$2:$C$9990,$A172,Rships!$D$2:$D$9990,4)))</f>
        <v/>
      </c>
      <c r="AF172" s="64" t="str">
        <f>IF($B172="","",(COUNTIFS(Rships!$C$2:$C$9990,$A172,Rships!$D$2:$D$9990,5)))</f>
        <v/>
      </c>
      <c r="AG172" s="64" t="str">
        <f>IF($B172="","",(COUNTIFS(Rships!$C$2:$C$9990,$A172,Rships!$D$2:$D$9990,6)))</f>
        <v/>
      </c>
      <c r="AH172" s="64" t="str">
        <f>IF($B172="","",(COUNTIFS(Rships!$C$2:$C$9990,$A172,Rships!$D$2:$D$9990,7)))</f>
        <v/>
      </c>
    </row>
    <row r="173" spans="1:34">
      <c r="A173" s="1" t="s">
        <v>425</v>
      </c>
      <c r="C173" s="11" t="s">
        <v>19</v>
      </c>
      <c r="D173" s="11" t="s">
        <v>21</v>
      </c>
      <c r="F173" s="15"/>
      <c r="G173" s="15"/>
      <c r="I173" s="17"/>
      <c r="O173" s="11" t="s">
        <v>27</v>
      </c>
      <c r="Y173" s="64">
        <f t="shared" si="4"/>
        <v>0</v>
      </c>
      <c r="AA173" s="64">
        <f t="shared" si="5"/>
        <v>0</v>
      </c>
      <c r="AB173" s="64" t="str">
        <f>IF($B173="","",(COUNTIFS(Rships!$C$2:$C$9990,$A173,Rships!$D$2:$D$9990,1)))</f>
        <v/>
      </c>
      <c r="AC173" s="64" t="str">
        <f>IF($B173="","",(COUNTIFS(Rships!$C$2:$C$9990,$A173,Rships!$D$2:$D$9990,2)))</f>
        <v/>
      </c>
      <c r="AD173" s="64" t="str">
        <f>IF($B173="","",(COUNTIFS(Rships!$C$2:$C$9990,$A173,Rships!$D$2:$D$9990,3)))</f>
        <v/>
      </c>
      <c r="AE173" s="64" t="str">
        <f>IF($B173="","",(COUNTIFS(Rships!$C$2:$C$9990,$A173,Rships!$D$2:$D$9990,4)))</f>
        <v/>
      </c>
      <c r="AF173" s="64" t="str">
        <f>IF($B173="","",(COUNTIFS(Rships!$C$2:$C$9990,$A173,Rships!$D$2:$D$9990,5)))</f>
        <v/>
      </c>
      <c r="AG173" s="64" t="str">
        <f>IF($B173="","",(COUNTIFS(Rships!$C$2:$C$9990,$A173,Rships!$D$2:$D$9990,6)))</f>
        <v/>
      </c>
      <c r="AH173" s="64" t="str">
        <f>IF($B173="","",(COUNTIFS(Rships!$C$2:$C$9990,$A173,Rships!$D$2:$D$9990,7)))</f>
        <v/>
      </c>
    </row>
    <row r="174" spans="1:34">
      <c r="A174" s="1" t="s">
        <v>426</v>
      </c>
      <c r="C174" s="11" t="s">
        <v>19</v>
      </c>
      <c r="D174" s="11" t="s">
        <v>21</v>
      </c>
      <c r="F174" s="15"/>
      <c r="G174" s="15"/>
      <c r="I174" s="17"/>
      <c r="O174" s="11" t="s">
        <v>27</v>
      </c>
      <c r="Y174" s="64">
        <f t="shared" si="4"/>
        <v>0</v>
      </c>
      <c r="AA174" s="64">
        <f t="shared" si="5"/>
        <v>0</v>
      </c>
      <c r="AB174" s="64" t="str">
        <f>IF($B174="","",(COUNTIFS(Rships!$C$2:$C$9990,$A174,Rships!$D$2:$D$9990,1)))</f>
        <v/>
      </c>
      <c r="AC174" s="64" t="str">
        <f>IF($B174="","",(COUNTIFS(Rships!$C$2:$C$9990,$A174,Rships!$D$2:$D$9990,2)))</f>
        <v/>
      </c>
      <c r="AD174" s="64" t="str">
        <f>IF($B174="","",(COUNTIFS(Rships!$C$2:$C$9990,$A174,Rships!$D$2:$D$9990,3)))</f>
        <v/>
      </c>
      <c r="AE174" s="64" t="str">
        <f>IF($B174="","",(COUNTIFS(Rships!$C$2:$C$9990,$A174,Rships!$D$2:$D$9990,4)))</f>
        <v/>
      </c>
      <c r="AF174" s="64" t="str">
        <f>IF($B174="","",(COUNTIFS(Rships!$C$2:$C$9990,$A174,Rships!$D$2:$D$9990,5)))</f>
        <v/>
      </c>
      <c r="AG174" s="64" t="str">
        <f>IF($B174="","",(COUNTIFS(Rships!$C$2:$C$9990,$A174,Rships!$D$2:$D$9990,6)))</f>
        <v/>
      </c>
      <c r="AH174" s="64" t="str">
        <f>IF($B174="","",(COUNTIFS(Rships!$C$2:$C$9990,$A174,Rships!$D$2:$D$9990,7)))</f>
        <v/>
      </c>
    </row>
    <row r="175" spans="1:34">
      <c r="A175" s="1" t="s">
        <v>427</v>
      </c>
      <c r="B175" s="13" t="s">
        <v>428</v>
      </c>
      <c r="C175" s="11" t="s">
        <v>19</v>
      </c>
      <c r="D175" s="11" t="s">
        <v>22</v>
      </c>
      <c r="E175" s="11" t="s">
        <v>1429</v>
      </c>
      <c r="F175" s="15" t="s">
        <v>1430</v>
      </c>
      <c r="G175" s="15" t="s">
        <v>1431</v>
      </c>
      <c r="H175" s="16">
        <v>5708030714086</v>
      </c>
      <c r="I175" s="17">
        <v>733615657</v>
      </c>
      <c r="K175" s="11" t="s">
        <v>1432</v>
      </c>
      <c r="L175" s="16">
        <v>9323</v>
      </c>
      <c r="M175" s="11" t="s">
        <v>1432</v>
      </c>
      <c r="N175" s="16">
        <v>9323</v>
      </c>
      <c r="O175" s="11" t="s">
        <v>26</v>
      </c>
      <c r="P175" s="18" t="s">
        <v>1433</v>
      </c>
      <c r="Q175" s="11" t="s">
        <v>134</v>
      </c>
      <c r="R175" s="11" t="s">
        <v>238</v>
      </c>
      <c r="S175" s="11" t="s">
        <v>123</v>
      </c>
      <c r="T175" s="11" t="s">
        <v>1434</v>
      </c>
      <c r="U175" s="16">
        <v>1122565796</v>
      </c>
      <c r="V175" s="11" t="s">
        <v>31</v>
      </c>
      <c r="W175" s="26">
        <v>41698</v>
      </c>
      <c r="X175" s="46">
        <v>41662</v>
      </c>
      <c r="Y175" s="64">
        <f t="shared" si="4"/>
        <v>0</v>
      </c>
      <c r="AA175" s="64">
        <f t="shared" si="5"/>
        <v>0</v>
      </c>
      <c r="AB175" s="64">
        <f>IF($B175="","",(COUNTIFS(Rships!$C$2:$C$9990,$A175,Rships!$D$2:$D$9990,1)))</f>
        <v>0</v>
      </c>
      <c r="AC175" s="64">
        <f>IF($B175="","",(COUNTIFS(Rships!$C$2:$C$9990,$A175,Rships!$D$2:$D$9990,2)))</f>
        <v>0</v>
      </c>
      <c r="AD175" s="64">
        <f>IF($B175="","",(COUNTIFS(Rships!$C$2:$C$9990,$A175,Rships!$D$2:$D$9990,3)))</f>
        <v>0</v>
      </c>
      <c r="AE175" s="64">
        <f>IF($B175="","",(COUNTIFS(Rships!$C$2:$C$9990,$A175,Rships!$D$2:$D$9990,4)))</f>
        <v>0</v>
      </c>
      <c r="AF175" s="64">
        <f>IF($B175="","",(COUNTIFS(Rships!$C$2:$C$9990,$A175,Rships!$D$2:$D$9990,5)))</f>
        <v>0</v>
      </c>
      <c r="AG175" s="64">
        <f>IF($B175="","",(COUNTIFS(Rships!$C$2:$C$9990,$A175,Rships!$D$2:$D$9990,6)))</f>
        <v>0</v>
      </c>
      <c r="AH175" s="64">
        <f>IF($B175="","",(COUNTIFS(Rships!$C$2:$C$9990,$A175,Rships!$D$2:$D$9990,7)))</f>
        <v>0</v>
      </c>
    </row>
    <row r="176" spans="1:34">
      <c r="A176" s="1" t="s">
        <v>428</v>
      </c>
      <c r="B176" s="13" t="s">
        <v>484</v>
      </c>
      <c r="C176" s="11" t="s">
        <v>19</v>
      </c>
      <c r="D176" s="11" t="s">
        <v>22</v>
      </c>
      <c r="E176" s="11" t="s">
        <v>1441</v>
      </c>
      <c r="F176" s="15" t="s">
        <v>1442</v>
      </c>
      <c r="G176" s="15" t="s">
        <v>1443</v>
      </c>
      <c r="H176" s="16">
        <v>5611090780080</v>
      </c>
      <c r="I176" s="17">
        <v>845858666</v>
      </c>
      <c r="K176" s="11" t="s">
        <v>1444</v>
      </c>
      <c r="L176" s="16">
        <v>9323</v>
      </c>
      <c r="M176" s="11" t="s">
        <v>1444</v>
      </c>
      <c r="N176" s="16">
        <v>9323</v>
      </c>
      <c r="O176" s="11" t="s">
        <v>26</v>
      </c>
      <c r="Q176" s="11" t="s">
        <v>164</v>
      </c>
      <c r="R176" s="11" t="s">
        <v>238</v>
      </c>
      <c r="S176" s="11" t="s">
        <v>123</v>
      </c>
      <c r="T176" s="11" t="s">
        <v>1445</v>
      </c>
      <c r="U176" s="16">
        <v>1323355829</v>
      </c>
      <c r="V176" s="11" t="s">
        <v>31</v>
      </c>
      <c r="W176" s="26">
        <v>41670</v>
      </c>
      <c r="X176" s="46">
        <v>41640</v>
      </c>
      <c r="Y176" s="64">
        <f t="shared" si="4"/>
        <v>0</v>
      </c>
      <c r="Z176" s="11" t="s">
        <v>123</v>
      </c>
      <c r="AA176" s="64">
        <f t="shared" si="5"/>
        <v>1</v>
      </c>
      <c r="AB176" s="64">
        <f>IF($B176="","",(COUNTIFS(Rships!$C$2:$C$9990,$A176,Rships!$D$2:$D$9990,1)))</f>
        <v>1</v>
      </c>
      <c r="AC176" s="64">
        <f>IF($B176="","",(COUNTIFS(Rships!$C$2:$C$9990,$A176,Rships!$D$2:$D$9990,2)))</f>
        <v>0</v>
      </c>
      <c r="AD176" s="64">
        <f>IF($B176="","",(COUNTIFS(Rships!$C$2:$C$9990,$A176,Rships!$D$2:$D$9990,3)))</f>
        <v>0</v>
      </c>
      <c r="AE176" s="64">
        <f>IF($B176="","",(COUNTIFS(Rships!$C$2:$C$9990,$A176,Rships!$D$2:$D$9990,4)))</f>
        <v>0</v>
      </c>
      <c r="AF176" s="64">
        <f>IF($B176="","",(COUNTIFS(Rships!$C$2:$C$9990,$A176,Rships!$D$2:$D$9990,5)))</f>
        <v>0</v>
      </c>
      <c r="AG176" s="64">
        <f>IF($B176="","",(COUNTIFS(Rships!$C$2:$C$9990,$A176,Rships!$D$2:$D$9990,6)))</f>
        <v>0</v>
      </c>
      <c r="AH176" s="64">
        <f>IF($B176="","",(COUNTIFS(Rships!$C$2:$C$9990,$A176,Rships!$D$2:$D$9990,7)))</f>
        <v>0</v>
      </c>
    </row>
    <row r="177" spans="1:34">
      <c r="A177" s="1" t="s">
        <v>429</v>
      </c>
      <c r="C177" s="11" t="s">
        <v>19</v>
      </c>
      <c r="D177" s="11" t="s">
        <v>21</v>
      </c>
      <c r="F177" s="15"/>
      <c r="G177" s="15"/>
      <c r="I177" s="17"/>
      <c r="O177" s="11" t="s">
        <v>27</v>
      </c>
      <c r="Y177" s="64">
        <f t="shared" si="4"/>
        <v>0</v>
      </c>
      <c r="AA177" s="64">
        <f t="shared" si="5"/>
        <v>0</v>
      </c>
      <c r="AB177" s="64" t="str">
        <f>IF($B177="","",(COUNTIFS(Rships!$C$2:$C$9990,$A177,Rships!$D$2:$D$9990,1)))</f>
        <v/>
      </c>
      <c r="AC177" s="64" t="str">
        <f>IF($B177="","",(COUNTIFS(Rships!$C$2:$C$9990,$A177,Rships!$D$2:$D$9990,2)))</f>
        <v/>
      </c>
      <c r="AD177" s="64" t="str">
        <f>IF($B177="","",(COUNTIFS(Rships!$C$2:$C$9990,$A177,Rships!$D$2:$D$9990,3)))</f>
        <v/>
      </c>
      <c r="AE177" s="64" t="str">
        <f>IF($B177="","",(COUNTIFS(Rships!$C$2:$C$9990,$A177,Rships!$D$2:$D$9990,4)))</f>
        <v/>
      </c>
      <c r="AF177" s="64" t="str">
        <f>IF($B177="","",(COUNTIFS(Rships!$C$2:$C$9990,$A177,Rships!$D$2:$D$9990,5)))</f>
        <v/>
      </c>
      <c r="AG177" s="64" t="str">
        <f>IF($B177="","",(COUNTIFS(Rships!$C$2:$C$9990,$A177,Rships!$D$2:$D$9990,6)))</f>
        <v/>
      </c>
      <c r="AH177" s="64" t="str">
        <f>IF($B177="","",(COUNTIFS(Rships!$C$2:$C$9990,$A177,Rships!$D$2:$D$9990,7)))</f>
        <v/>
      </c>
    </row>
    <row r="178" spans="1:34">
      <c r="A178" s="1" t="s">
        <v>430</v>
      </c>
      <c r="C178" s="11" t="s">
        <v>19</v>
      </c>
      <c r="D178" s="11" t="s">
        <v>21</v>
      </c>
      <c r="F178" s="15"/>
      <c r="G178" s="15"/>
      <c r="I178" s="17"/>
      <c r="O178" s="11" t="s">
        <v>27</v>
      </c>
      <c r="Y178" s="64">
        <f t="shared" si="4"/>
        <v>0</v>
      </c>
      <c r="AA178" s="64">
        <f t="shared" si="5"/>
        <v>0</v>
      </c>
      <c r="AB178" s="64" t="str">
        <f>IF($B178="","",(COUNTIFS(Rships!$C$2:$C$9990,$A178,Rships!$D$2:$D$9990,1)))</f>
        <v/>
      </c>
      <c r="AC178" s="64" t="str">
        <f>IF($B178="","",(COUNTIFS(Rships!$C$2:$C$9990,$A178,Rships!$D$2:$D$9990,2)))</f>
        <v/>
      </c>
      <c r="AD178" s="64" t="str">
        <f>IF($B178="","",(COUNTIFS(Rships!$C$2:$C$9990,$A178,Rships!$D$2:$D$9990,3)))</f>
        <v/>
      </c>
      <c r="AE178" s="64" t="str">
        <f>IF($B178="","",(COUNTIFS(Rships!$C$2:$C$9990,$A178,Rships!$D$2:$D$9990,4)))</f>
        <v/>
      </c>
      <c r="AF178" s="64" t="str">
        <f>IF($B178="","",(COUNTIFS(Rships!$C$2:$C$9990,$A178,Rships!$D$2:$D$9990,5)))</f>
        <v/>
      </c>
      <c r="AG178" s="64" t="str">
        <f>IF($B178="","",(COUNTIFS(Rships!$C$2:$C$9990,$A178,Rships!$D$2:$D$9990,6)))</f>
        <v/>
      </c>
      <c r="AH178" s="64" t="str">
        <f>IF($B178="","",(COUNTIFS(Rships!$C$2:$C$9990,$A178,Rships!$D$2:$D$9990,7)))</f>
        <v/>
      </c>
    </row>
    <row r="179" spans="1:34">
      <c r="A179" s="1" t="s">
        <v>431</v>
      </c>
      <c r="C179" s="11" t="s">
        <v>19</v>
      </c>
      <c r="D179" s="11" t="s">
        <v>21</v>
      </c>
      <c r="F179" s="15"/>
      <c r="G179" s="15"/>
      <c r="I179" s="17"/>
      <c r="O179" s="11" t="s">
        <v>27</v>
      </c>
      <c r="Y179" s="64">
        <f t="shared" ref="Y179:Y242" si="6">SUMIF($B$2:$B$100,$A179,$AA$2:$AA$100)</f>
        <v>0</v>
      </c>
      <c r="AA179" s="64">
        <f t="shared" si="5"/>
        <v>0</v>
      </c>
      <c r="AB179" s="64" t="str">
        <f>IF($B179="","",(COUNTIFS(Rships!$C$2:$C$9990,$A179,Rships!$D$2:$D$9990,1)))</f>
        <v/>
      </c>
      <c r="AC179" s="64" t="str">
        <f>IF($B179="","",(COUNTIFS(Rships!$C$2:$C$9990,$A179,Rships!$D$2:$D$9990,2)))</f>
        <v/>
      </c>
      <c r="AD179" s="64" t="str">
        <f>IF($B179="","",(COUNTIFS(Rships!$C$2:$C$9990,$A179,Rships!$D$2:$D$9990,3)))</f>
        <v/>
      </c>
      <c r="AE179" s="64" t="str">
        <f>IF($B179="","",(COUNTIFS(Rships!$C$2:$C$9990,$A179,Rships!$D$2:$D$9990,4)))</f>
        <v/>
      </c>
      <c r="AF179" s="64" t="str">
        <f>IF($B179="","",(COUNTIFS(Rships!$C$2:$C$9990,$A179,Rships!$D$2:$D$9990,5)))</f>
        <v/>
      </c>
      <c r="AG179" s="64" t="str">
        <f>IF($B179="","",(COUNTIFS(Rships!$C$2:$C$9990,$A179,Rships!$D$2:$D$9990,6)))</f>
        <v/>
      </c>
      <c r="AH179" s="64" t="str">
        <f>IF($B179="","",(COUNTIFS(Rships!$C$2:$C$9990,$A179,Rships!$D$2:$D$9990,7)))</f>
        <v/>
      </c>
    </row>
    <row r="180" spans="1:34">
      <c r="A180" s="1" t="s">
        <v>432</v>
      </c>
      <c r="C180" s="11" t="s">
        <v>19</v>
      </c>
      <c r="D180" s="11" t="s">
        <v>21</v>
      </c>
      <c r="F180" s="15"/>
      <c r="G180" s="15"/>
      <c r="I180" s="17"/>
      <c r="O180" s="11" t="s">
        <v>27</v>
      </c>
      <c r="Y180" s="64">
        <f t="shared" si="6"/>
        <v>0</v>
      </c>
      <c r="AA180" s="64">
        <f t="shared" si="5"/>
        <v>0</v>
      </c>
      <c r="AB180" s="64" t="str">
        <f>IF($B180="","",(COUNTIFS(Rships!$C$2:$C$9990,$A180,Rships!$D$2:$D$9990,1)))</f>
        <v/>
      </c>
      <c r="AC180" s="64" t="str">
        <f>IF($B180="","",(COUNTIFS(Rships!$C$2:$C$9990,$A180,Rships!$D$2:$D$9990,2)))</f>
        <v/>
      </c>
      <c r="AD180" s="64" t="str">
        <f>IF($B180="","",(COUNTIFS(Rships!$C$2:$C$9990,$A180,Rships!$D$2:$D$9990,3)))</f>
        <v/>
      </c>
      <c r="AE180" s="64" t="str">
        <f>IF($B180="","",(COUNTIFS(Rships!$C$2:$C$9990,$A180,Rships!$D$2:$D$9990,4)))</f>
        <v/>
      </c>
      <c r="AF180" s="64" t="str">
        <f>IF($B180="","",(COUNTIFS(Rships!$C$2:$C$9990,$A180,Rships!$D$2:$D$9990,5)))</f>
        <v/>
      </c>
      <c r="AG180" s="64" t="str">
        <f>IF($B180="","",(COUNTIFS(Rships!$C$2:$C$9990,$A180,Rships!$D$2:$D$9990,6)))</f>
        <v/>
      </c>
      <c r="AH180" s="64" t="str">
        <f>IF($B180="","",(COUNTIFS(Rships!$C$2:$C$9990,$A180,Rships!$D$2:$D$9990,7)))</f>
        <v/>
      </c>
    </row>
    <row r="181" spans="1:34">
      <c r="A181" s="1" t="s">
        <v>433</v>
      </c>
      <c r="C181" s="11" t="s">
        <v>19</v>
      </c>
      <c r="D181" s="11" t="s">
        <v>21</v>
      </c>
      <c r="F181" s="15"/>
      <c r="G181" s="15"/>
      <c r="I181" s="17"/>
      <c r="O181" s="11" t="s">
        <v>27</v>
      </c>
      <c r="Y181" s="64">
        <f t="shared" si="6"/>
        <v>0</v>
      </c>
      <c r="AA181" s="64">
        <f t="shared" si="5"/>
        <v>0</v>
      </c>
      <c r="AB181" s="64" t="str">
        <f>IF($B181="","",(COUNTIFS(Rships!$C$2:$C$9990,$A181,Rships!$D$2:$D$9990,1)))</f>
        <v/>
      </c>
      <c r="AC181" s="64" t="str">
        <f>IF($B181="","",(COUNTIFS(Rships!$C$2:$C$9990,$A181,Rships!$D$2:$D$9990,2)))</f>
        <v/>
      </c>
      <c r="AD181" s="64" t="str">
        <f>IF($B181="","",(COUNTIFS(Rships!$C$2:$C$9990,$A181,Rships!$D$2:$D$9990,3)))</f>
        <v/>
      </c>
      <c r="AE181" s="64" t="str">
        <f>IF($B181="","",(COUNTIFS(Rships!$C$2:$C$9990,$A181,Rships!$D$2:$D$9990,4)))</f>
        <v/>
      </c>
      <c r="AF181" s="64" t="str">
        <f>IF($B181="","",(COUNTIFS(Rships!$C$2:$C$9990,$A181,Rships!$D$2:$D$9990,5)))</f>
        <v/>
      </c>
      <c r="AG181" s="64" t="str">
        <f>IF($B181="","",(COUNTIFS(Rships!$C$2:$C$9990,$A181,Rships!$D$2:$D$9990,6)))</f>
        <v/>
      </c>
      <c r="AH181" s="64" t="str">
        <f>IF($B181="","",(COUNTIFS(Rships!$C$2:$C$9990,$A181,Rships!$D$2:$D$9990,7)))</f>
        <v/>
      </c>
    </row>
    <row r="182" spans="1:34">
      <c r="A182" s="1" t="s">
        <v>434</v>
      </c>
      <c r="C182" s="11" t="s">
        <v>19</v>
      </c>
      <c r="D182" s="11" t="s">
        <v>21</v>
      </c>
      <c r="F182" s="15"/>
      <c r="G182" s="15"/>
      <c r="I182" s="17"/>
      <c r="O182" s="11" t="s">
        <v>27</v>
      </c>
      <c r="Y182" s="64">
        <f t="shared" si="6"/>
        <v>0</v>
      </c>
      <c r="AA182" s="64">
        <f t="shared" si="5"/>
        <v>0</v>
      </c>
      <c r="AB182" s="64" t="str">
        <f>IF($B182="","",(COUNTIFS(Rships!$C$2:$C$9990,$A182,Rships!$D$2:$D$9990,1)))</f>
        <v/>
      </c>
      <c r="AC182" s="64" t="str">
        <f>IF($B182="","",(COUNTIFS(Rships!$C$2:$C$9990,$A182,Rships!$D$2:$D$9990,2)))</f>
        <v/>
      </c>
      <c r="AD182" s="64" t="str">
        <f>IF($B182="","",(COUNTIFS(Rships!$C$2:$C$9990,$A182,Rships!$D$2:$D$9990,3)))</f>
        <v/>
      </c>
      <c r="AE182" s="64" t="str">
        <f>IF($B182="","",(COUNTIFS(Rships!$C$2:$C$9990,$A182,Rships!$D$2:$D$9990,4)))</f>
        <v/>
      </c>
      <c r="AF182" s="64" t="str">
        <f>IF($B182="","",(COUNTIFS(Rships!$C$2:$C$9990,$A182,Rships!$D$2:$D$9990,5)))</f>
        <v/>
      </c>
      <c r="AG182" s="64" t="str">
        <f>IF($B182="","",(COUNTIFS(Rships!$C$2:$C$9990,$A182,Rships!$D$2:$D$9990,6)))</f>
        <v/>
      </c>
      <c r="AH182" s="64" t="str">
        <f>IF($B182="","",(COUNTIFS(Rships!$C$2:$C$9990,$A182,Rships!$D$2:$D$9990,7)))</f>
        <v/>
      </c>
    </row>
    <row r="183" spans="1:34">
      <c r="A183" s="1" t="s">
        <v>435</v>
      </c>
      <c r="C183" s="11" t="s">
        <v>19</v>
      </c>
      <c r="D183" s="11" t="s">
        <v>21</v>
      </c>
      <c r="F183" s="15"/>
      <c r="G183" s="15"/>
      <c r="I183" s="17"/>
      <c r="O183" s="11" t="s">
        <v>27</v>
      </c>
      <c r="Y183" s="64">
        <f t="shared" si="6"/>
        <v>0</v>
      </c>
      <c r="AA183" s="64">
        <f t="shared" si="5"/>
        <v>0</v>
      </c>
      <c r="AB183" s="64" t="str">
        <f>IF($B183="","",(COUNTIFS(Rships!$C$2:$C$9990,$A183,Rships!$D$2:$D$9990,1)))</f>
        <v/>
      </c>
      <c r="AC183" s="64" t="str">
        <f>IF($B183="","",(COUNTIFS(Rships!$C$2:$C$9990,$A183,Rships!$D$2:$D$9990,2)))</f>
        <v/>
      </c>
      <c r="AD183" s="64" t="str">
        <f>IF($B183="","",(COUNTIFS(Rships!$C$2:$C$9990,$A183,Rships!$D$2:$D$9990,3)))</f>
        <v/>
      </c>
      <c r="AE183" s="64" t="str">
        <f>IF($B183="","",(COUNTIFS(Rships!$C$2:$C$9990,$A183,Rships!$D$2:$D$9990,4)))</f>
        <v/>
      </c>
      <c r="AF183" s="64" t="str">
        <f>IF($B183="","",(COUNTIFS(Rships!$C$2:$C$9990,$A183,Rships!$D$2:$D$9990,5)))</f>
        <v/>
      </c>
      <c r="AG183" s="64" t="str">
        <f>IF($B183="","",(COUNTIFS(Rships!$C$2:$C$9990,$A183,Rships!$D$2:$D$9990,6)))</f>
        <v/>
      </c>
      <c r="AH183" s="64" t="str">
        <f>IF($B183="","",(COUNTIFS(Rships!$C$2:$C$9990,$A183,Rships!$D$2:$D$9990,7)))</f>
        <v/>
      </c>
    </row>
    <row r="184" spans="1:34">
      <c r="A184" s="1" t="s">
        <v>436</v>
      </c>
      <c r="B184" s="13" t="s">
        <v>137</v>
      </c>
      <c r="C184" s="11" t="s">
        <v>19</v>
      </c>
      <c r="D184" s="11" t="s">
        <v>21</v>
      </c>
      <c r="E184" s="11" t="s">
        <v>1275</v>
      </c>
      <c r="F184" s="15" t="s">
        <v>1276</v>
      </c>
      <c r="G184" s="15" t="s">
        <v>1277</v>
      </c>
      <c r="H184" s="16">
        <v>540955773087</v>
      </c>
      <c r="I184" s="17">
        <v>836892849</v>
      </c>
      <c r="J184" s="15" t="s">
        <v>1278</v>
      </c>
      <c r="K184" s="11" t="s">
        <v>1279</v>
      </c>
      <c r="L184" s="16">
        <v>9323</v>
      </c>
      <c r="M184" s="11" t="s">
        <v>1279</v>
      </c>
      <c r="N184" s="16">
        <v>9323</v>
      </c>
      <c r="O184" s="11" t="s">
        <v>26</v>
      </c>
      <c r="P184" s="18">
        <v>28000</v>
      </c>
      <c r="Q184" s="11" t="s">
        <v>156</v>
      </c>
      <c r="R184" s="11" t="s">
        <v>56</v>
      </c>
      <c r="S184" s="11" t="s">
        <v>1280</v>
      </c>
      <c r="T184" s="11" t="s">
        <v>1281</v>
      </c>
      <c r="U184" s="16">
        <v>62244593308</v>
      </c>
      <c r="V184" s="11" t="s">
        <v>29</v>
      </c>
      <c r="W184" s="26">
        <v>41666</v>
      </c>
      <c r="X184" s="46">
        <v>41628</v>
      </c>
      <c r="Y184" s="64">
        <f t="shared" si="6"/>
        <v>0</v>
      </c>
      <c r="AA184" s="64">
        <f t="shared" si="5"/>
        <v>0</v>
      </c>
      <c r="AB184" s="64">
        <f>IF($B184="","",(COUNTIFS(Rships!$C$2:$C$9990,$A184,Rships!$D$2:$D$9990,1)))</f>
        <v>0</v>
      </c>
      <c r="AC184" s="64">
        <f>IF($B184="","",(COUNTIFS(Rships!$C$2:$C$9990,$A184,Rships!$D$2:$D$9990,2)))</f>
        <v>0</v>
      </c>
      <c r="AD184" s="64">
        <f>IF($B184="","",(COUNTIFS(Rships!$C$2:$C$9990,$A184,Rships!$D$2:$D$9990,3)))</f>
        <v>0</v>
      </c>
      <c r="AE184" s="64">
        <f>IF($B184="","",(COUNTIFS(Rships!$C$2:$C$9990,$A184,Rships!$D$2:$D$9990,4)))</f>
        <v>0</v>
      </c>
      <c r="AF184" s="64">
        <f>IF($B184="","",(COUNTIFS(Rships!$C$2:$C$9990,$A184,Rships!$D$2:$D$9990,5)))</f>
        <v>0</v>
      </c>
      <c r="AG184" s="64">
        <f>IF($B184="","",(COUNTIFS(Rships!$C$2:$C$9990,$A184,Rships!$D$2:$D$9990,6)))</f>
        <v>0</v>
      </c>
      <c r="AH184" s="64">
        <f>IF($B184="","",(COUNTIFS(Rships!$C$2:$C$9990,$A184,Rships!$D$2:$D$9990,7)))</f>
        <v>0</v>
      </c>
    </row>
    <row r="185" spans="1:34">
      <c r="A185" s="1" t="s">
        <v>437</v>
      </c>
      <c r="C185" s="11" t="s">
        <v>19</v>
      </c>
      <c r="D185" s="11" t="s">
        <v>21</v>
      </c>
      <c r="F185" s="15"/>
      <c r="G185" s="15"/>
      <c r="I185" s="17"/>
      <c r="O185" s="11" t="s">
        <v>27</v>
      </c>
      <c r="Y185" s="64">
        <f t="shared" si="6"/>
        <v>0</v>
      </c>
      <c r="AA185" s="64">
        <f t="shared" si="5"/>
        <v>0</v>
      </c>
      <c r="AB185" s="64" t="str">
        <f>IF($B185="","",(COUNTIFS(Rships!$C$2:$C$9990,$A185,Rships!$D$2:$D$9990,1)))</f>
        <v/>
      </c>
      <c r="AC185" s="64" t="str">
        <f>IF($B185="","",(COUNTIFS(Rships!$C$2:$C$9990,$A185,Rships!$D$2:$D$9990,2)))</f>
        <v/>
      </c>
      <c r="AD185" s="64" t="str">
        <f>IF($B185="","",(COUNTIFS(Rships!$C$2:$C$9990,$A185,Rships!$D$2:$D$9990,3)))</f>
        <v/>
      </c>
      <c r="AE185" s="64" t="str">
        <f>IF($B185="","",(COUNTIFS(Rships!$C$2:$C$9990,$A185,Rships!$D$2:$D$9990,4)))</f>
        <v/>
      </c>
      <c r="AF185" s="64" t="str">
        <f>IF($B185="","",(COUNTIFS(Rships!$C$2:$C$9990,$A185,Rships!$D$2:$D$9990,5)))</f>
        <v/>
      </c>
      <c r="AG185" s="64" t="str">
        <f>IF($B185="","",(COUNTIFS(Rships!$C$2:$C$9990,$A185,Rships!$D$2:$D$9990,6)))</f>
        <v/>
      </c>
      <c r="AH185" s="64" t="str">
        <f>IF($B185="","",(COUNTIFS(Rships!$C$2:$C$9990,$A185,Rships!$D$2:$D$9990,7)))</f>
        <v/>
      </c>
    </row>
    <row r="186" spans="1:34">
      <c r="A186" s="1" t="s">
        <v>438</v>
      </c>
      <c r="C186" s="11" t="s">
        <v>19</v>
      </c>
      <c r="D186" s="11" t="s">
        <v>21</v>
      </c>
      <c r="F186" s="15"/>
      <c r="G186" s="15"/>
      <c r="I186" s="17"/>
      <c r="O186" s="11" t="s">
        <v>27</v>
      </c>
      <c r="Y186" s="64">
        <f t="shared" si="6"/>
        <v>0</v>
      </c>
      <c r="AA186" s="64">
        <f t="shared" si="5"/>
        <v>0</v>
      </c>
      <c r="AB186" s="64" t="str">
        <f>IF($B186="","",(COUNTIFS(Rships!$C$2:$C$9990,$A186,Rships!$D$2:$D$9990,1)))</f>
        <v/>
      </c>
      <c r="AC186" s="64" t="str">
        <f>IF($B186="","",(COUNTIFS(Rships!$C$2:$C$9990,$A186,Rships!$D$2:$D$9990,2)))</f>
        <v/>
      </c>
      <c r="AD186" s="64" t="str">
        <f>IF($B186="","",(COUNTIFS(Rships!$C$2:$C$9990,$A186,Rships!$D$2:$D$9990,3)))</f>
        <v/>
      </c>
      <c r="AE186" s="64" t="str">
        <f>IF($B186="","",(COUNTIFS(Rships!$C$2:$C$9990,$A186,Rships!$D$2:$D$9990,4)))</f>
        <v/>
      </c>
      <c r="AF186" s="64" t="str">
        <f>IF($B186="","",(COUNTIFS(Rships!$C$2:$C$9990,$A186,Rships!$D$2:$D$9990,5)))</f>
        <v/>
      </c>
      <c r="AG186" s="64" t="str">
        <f>IF($B186="","",(COUNTIFS(Rships!$C$2:$C$9990,$A186,Rships!$D$2:$D$9990,6)))</f>
        <v/>
      </c>
      <c r="AH186" s="64" t="str">
        <f>IF($B186="","",(COUNTIFS(Rships!$C$2:$C$9990,$A186,Rships!$D$2:$D$9990,7)))</f>
        <v/>
      </c>
    </row>
    <row r="187" spans="1:34">
      <c r="A187" s="1" t="s">
        <v>439</v>
      </c>
      <c r="C187" s="11" t="s">
        <v>19</v>
      </c>
      <c r="D187" s="11" t="s">
        <v>21</v>
      </c>
      <c r="F187" s="15"/>
      <c r="G187" s="15"/>
      <c r="I187" s="17"/>
      <c r="O187" s="11" t="s">
        <v>27</v>
      </c>
      <c r="Y187" s="64">
        <f t="shared" si="6"/>
        <v>0</v>
      </c>
      <c r="AA187" s="64">
        <f t="shared" si="5"/>
        <v>0</v>
      </c>
      <c r="AB187" s="64" t="str">
        <f>IF($B187="","",(COUNTIFS(Rships!$C$2:$C$9990,$A187,Rships!$D$2:$D$9990,1)))</f>
        <v/>
      </c>
      <c r="AC187" s="64" t="str">
        <f>IF($B187="","",(COUNTIFS(Rships!$C$2:$C$9990,$A187,Rships!$D$2:$D$9990,2)))</f>
        <v/>
      </c>
      <c r="AD187" s="64" t="str">
        <f>IF($B187="","",(COUNTIFS(Rships!$C$2:$C$9990,$A187,Rships!$D$2:$D$9990,3)))</f>
        <v/>
      </c>
      <c r="AE187" s="64" t="str">
        <f>IF($B187="","",(COUNTIFS(Rships!$C$2:$C$9990,$A187,Rships!$D$2:$D$9990,4)))</f>
        <v/>
      </c>
      <c r="AF187" s="64" t="str">
        <f>IF($B187="","",(COUNTIFS(Rships!$C$2:$C$9990,$A187,Rships!$D$2:$D$9990,5)))</f>
        <v/>
      </c>
      <c r="AG187" s="64" t="str">
        <f>IF($B187="","",(COUNTIFS(Rships!$C$2:$C$9990,$A187,Rships!$D$2:$D$9990,6)))</f>
        <v/>
      </c>
      <c r="AH187" s="64" t="str">
        <f>IF($B187="","",(COUNTIFS(Rships!$C$2:$C$9990,$A187,Rships!$D$2:$D$9990,7)))</f>
        <v/>
      </c>
    </row>
    <row r="188" spans="1:34">
      <c r="A188" s="1" t="s">
        <v>440</v>
      </c>
      <c r="C188" s="11" t="s">
        <v>19</v>
      </c>
      <c r="D188" s="11" t="s">
        <v>21</v>
      </c>
      <c r="F188" s="15"/>
      <c r="G188" s="15"/>
      <c r="I188" s="17"/>
      <c r="O188" s="11" t="s">
        <v>27</v>
      </c>
      <c r="Y188" s="64">
        <f t="shared" si="6"/>
        <v>0</v>
      </c>
      <c r="AA188" s="64">
        <f t="shared" si="5"/>
        <v>0</v>
      </c>
      <c r="AB188" s="64" t="str">
        <f>IF($B188="","",(COUNTIFS(Rships!$C$2:$C$9990,$A188,Rships!$D$2:$D$9990,1)))</f>
        <v/>
      </c>
      <c r="AC188" s="64" t="str">
        <f>IF($B188="","",(COUNTIFS(Rships!$C$2:$C$9990,$A188,Rships!$D$2:$D$9990,2)))</f>
        <v/>
      </c>
      <c r="AD188" s="64" t="str">
        <f>IF($B188="","",(COUNTIFS(Rships!$C$2:$C$9990,$A188,Rships!$D$2:$D$9990,3)))</f>
        <v/>
      </c>
      <c r="AE188" s="64" t="str">
        <f>IF($B188="","",(COUNTIFS(Rships!$C$2:$C$9990,$A188,Rships!$D$2:$D$9990,4)))</f>
        <v/>
      </c>
      <c r="AF188" s="64" t="str">
        <f>IF($B188="","",(COUNTIFS(Rships!$C$2:$C$9990,$A188,Rships!$D$2:$D$9990,5)))</f>
        <v/>
      </c>
      <c r="AG188" s="64" t="str">
        <f>IF($B188="","",(COUNTIFS(Rships!$C$2:$C$9990,$A188,Rships!$D$2:$D$9990,6)))</f>
        <v/>
      </c>
      <c r="AH188" s="64" t="str">
        <f>IF($B188="","",(COUNTIFS(Rships!$C$2:$C$9990,$A188,Rships!$D$2:$D$9990,7)))</f>
        <v/>
      </c>
    </row>
    <row r="189" spans="1:34">
      <c r="A189" s="1" t="s">
        <v>441</v>
      </c>
      <c r="C189" s="11" t="s">
        <v>19</v>
      </c>
      <c r="D189" s="11" t="s">
        <v>21</v>
      </c>
      <c r="F189" s="15"/>
      <c r="G189" s="15"/>
      <c r="I189" s="17"/>
      <c r="O189" s="11" t="s">
        <v>27</v>
      </c>
      <c r="Y189" s="64">
        <f t="shared" si="6"/>
        <v>0</v>
      </c>
      <c r="AA189" s="64">
        <f t="shared" si="5"/>
        <v>0</v>
      </c>
      <c r="AB189" s="64" t="str">
        <f>IF($B189="","",(COUNTIFS(Rships!$C$2:$C$9990,$A189,Rships!$D$2:$D$9990,1)))</f>
        <v/>
      </c>
      <c r="AC189" s="64" t="str">
        <f>IF($B189="","",(COUNTIFS(Rships!$C$2:$C$9990,$A189,Rships!$D$2:$D$9990,2)))</f>
        <v/>
      </c>
      <c r="AD189" s="64" t="str">
        <f>IF($B189="","",(COUNTIFS(Rships!$C$2:$C$9990,$A189,Rships!$D$2:$D$9990,3)))</f>
        <v/>
      </c>
      <c r="AE189" s="64" t="str">
        <f>IF($B189="","",(COUNTIFS(Rships!$C$2:$C$9990,$A189,Rships!$D$2:$D$9990,4)))</f>
        <v/>
      </c>
      <c r="AF189" s="64" t="str">
        <f>IF($B189="","",(COUNTIFS(Rships!$C$2:$C$9990,$A189,Rships!$D$2:$D$9990,5)))</f>
        <v/>
      </c>
      <c r="AG189" s="64" t="str">
        <f>IF($B189="","",(COUNTIFS(Rships!$C$2:$C$9990,$A189,Rships!$D$2:$D$9990,6)))</f>
        <v/>
      </c>
      <c r="AH189" s="64" t="str">
        <f>IF($B189="","",(COUNTIFS(Rships!$C$2:$C$9990,$A189,Rships!$D$2:$D$9990,7)))</f>
        <v/>
      </c>
    </row>
    <row r="190" spans="1:34">
      <c r="A190" s="1" t="s">
        <v>442</v>
      </c>
      <c r="C190" s="11" t="s">
        <v>19</v>
      </c>
      <c r="D190" s="11" t="s">
        <v>21</v>
      </c>
      <c r="F190" s="15"/>
      <c r="G190" s="15"/>
      <c r="I190" s="17"/>
      <c r="O190" s="11" t="s">
        <v>27</v>
      </c>
      <c r="Y190" s="64">
        <f t="shared" si="6"/>
        <v>0</v>
      </c>
      <c r="AA190" s="64">
        <f t="shared" si="5"/>
        <v>0</v>
      </c>
      <c r="AB190" s="64" t="str">
        <f>IF($B190="","",(COUNTIFS(Rships!$C$2:$C$9990,$A190,Rships!$D$2:$D$9990,1)))</f>
        <v/>
      </c>
      <c r="AC190" s="64" t="str">
        <f>IF($B190="","",(COUNTIFS(Rships!$C$2:$C$9990,$A190,Rships!$D$2:$D$9990,2)))</f>
        <v/>
      </c>
      <c r="AD190" s="64" t="str">
        <f>IF($B190="","",(COUNTIFS(Rships!$C$2:$C$9990,$A190,Rships!$D$2:$D$9990,3)))</f>
        <v/>
      </c>
      <c r="AE190" s="64" t="str">
        <f>IF($B190="","",(COUNTIFS(Rships!$C$2:$C$9990,$A190,Rships!$D$2:$D$9990,4)))</f>
        <v/>
      </c>
      <c r="AF190" s="64" t="str">
        <f>IF($B190="","",(COUNTIFS(Rships!$C$2:$C$9990,$A190,Rships!$D$2:$D$9990,5)))</f>
        <v/>
      </c>
      <c r="AG190" s="64" t="str">
        <f>IF($B190="","",(COUNTIFS(Rships!$C$2:$C$9990,$A190,Rships!$D$2:$D$9990,6)))</f>
        <v/>
      </c>
      <c r="AH190" s="64" t="str">
        <f>IF($B190="","",(COUNTIFS(Rships!$C$2:$C$9990,$A190,Rships!$D$2:$D$9990,7)))</f>
        <v/>
      </c>
    </row>
    <row r="191" spans="1:34">
      <c r="A191" s="1" t="s">
        <v>443</v>
      </c>
      <c r="C191" s="11" t="s">
        <v>19</v>
      </c>
      <c r="D191" s="11" t="s">
        <v>21</v>
      </c>
      <c r="F191" s="15"/>
      <c r="G191" s="15"/>
      <c r="I191" s="17"/>
      <c r="O191" s="11" t="s">
        <v>27</v>
      </c>
      <c r="Y191" s="64">
        <f t="shared" si="6"/>
        <v>0</v>
      </c>
      <c r="AA191" s="64">
        <f t="shared" si="5"/>
        <v>0</v>
      </c>
      <c r="AB191" s="64" t="str">
        <f>IF($B191="","",(COUNTIFS(Rships!$C$2:$C$9990,$A191,Rships!$D$2:$D$9990,1)))</f>
        <v/>
      </c>
      <c r="AC191" s="64" t="str">
        <f>IF($B191="","",(COUNTIFS(Rships!$C$2:$C$9990,$A191,Rships!$D$2:$D$9990,2)))</f>
        <v/>
      </c>
      <c r="AD191" s="64" t="str">
        <f>IF($B191="","",(COUNTIFS(Rships!$C$2:$C$9990,$A191,Rships!$D$2:$D$9990,3)))</f>
        <v/>
      </c>
      <c r="AE191" s="64" t="str">
        <f>IF($B191="","",(COUNTIFS(Rships!$C$2:$C$9990,$A191,Rships!$D$2:$D$9990,4)))</f>
        <v/>
      </c>
      <c r="AF191" s="64" t="str">
        <f>IF($B191="","",(COUNTIFS(Rships!$C$2:$C$9990,$A191,Rships!$D$2:$D$9990,5)))</f>
        <v/>
      </c>
      <c r="AG191" s="64" t="str">
        <f>IF($B191="","",(COUNTIFS(Rships!$C$2:$C$9990,$A191,Rships!$D$2:$D$9990,6)))</f>
        <v/>
      </c>
      <c r="AH191" s="64" t="str">
        <f>IF($B191="","",(COUNTIFS(Rships!$C$2:$C$9990,$A191,Rships!$D$2:$D$9990,7)))</f>
        <v/>
      </c>
    </row>
    <row r="192" spans="1:34">
      <c r="A192" s="1" t="s">
        <v>444</v>
      </c>
      <c r="C192" s="11" t="s">
        <v>19</v>
      </c>
      <c r="D192" s="11" t="s">
        <v>21</v>
      </c>
      <c r="F192" s="15"/>
      <c r="G192" s="15"/>
      <c r="I192" s="17"/>
      <c r="O192" s="11" t="s">
        <v>27</v>
      </c>
      <c r="Y192" s="64">
        <f t="shared" si="6"/>
        <v>0</v>
      </c>
      <c r="AA192" s="64">
        <f t="shared" si="5"/>
        <v>0</v>
      </c>
      <c r="AB192" s="64" t="str">
        <f>IF($B192="","",(COUNTIFS(Rships!$C$2:$C$9990,$A192,Rships!$D$2:$D$9990,1)))</f>
        <v/>
      </c>
      <c r="AC192" s="64" t="str">
        <f>IF($B192="","",(COUNTIFS(Rships!$C$2:$C$9990,$A192,Rships!$D$2:$D$9990,2)))</f>
        <v/>
      </c>
      <c r="AD192" s="64" t="str">
        <f>IF($B192="","",(COUNTIFS(Rships!$C$2:$C$9990,$A192,Rships!$D$2:$D$9990,3)))</f>
        <v/>
      </c>
      <c r="AE192" s="64" t="str">
        <f>IF($B192="","",(COUNTIFS(Rships!$C$2:$C$9990,$A192,Rships!$D$2:$D$9990,4)))</f>
        <v/>
      </c>
      <c r="AF192" s="64" t="str">
        <f>IF($B192="","",(COUNTIFS(Rships!$C$2:$C$9990,$A192,Rships!$D$2:$D$9990,5)))</f>
        <v/>
      </c>
      <c r="AG192" s="64" t="str">
        <f>IF($B192="","",(COUNTIFS(Rships!$C$2:$C$9990,$A192,Rships!$D$2:$D$9990,6)))</f>
        <v/>
      </c>
      <c r="AH192" s="64" t="str">
        <f>IF($B192="","",(COUNTIFS(Rships!$C$2:$C$9990,$A192,Rships!$D$2:$D$9990,7)))</f>
        <v/>
      </c>
    </row>
    <row r="193" spans="1:34">
      <c r="A193" s="1" t="s">
        <v>445</v>
      </c>
      <c r="C193" s="11" t="s">
        <v>19</v>
      </c>
      <c r="D193" s="11" t="s">
        <v>21</v>
      </c>
      <c r="F193" s="15"/>
      <c r="G193" s="15"/>
      <c r="I193" s="17"/>
      <c r="O193" s="11" t="s">
        <v>27</v>
      </c>
      <c r="Y193" s="64">
        <f t="shared" si="6"/>
        <v>0</v>
      </c>
      <c r="AA193" s="64">
        <f t="shared" si="5"/>
        <v>0</v>
      </c>
      <c r="AB193" s="64" t="str">
        <f>IF($B193="","",(COUNTIFS(Rships!$C$2:$C$9990,$A193,Rships!$D$2:$D$9990,1)))</f>
        <v/>
      </c>
      <c r="AC193" s="64" t="str">
        <f>IF($B193="","",(COUNTIFS(Rships!$C$2:$C$9990,$A193,Rships!$D$2:$D$9990,2)))</f>
        <v/>
      </c>
      <c r="AD193" s="64" t="str">
        <f>IF($B193="","",(COUNTIFS(Rships!$C$2:$C$9990,$A193,Rships!$D$2:$D$9990,3)))</f>
        <v/>
      </c>
      <c r="AE193" s="64" t="str">
        <f>IF($B193="","",(COUNTIFS(Rships!$C$2:$C$9990,$A193,Rships!$D$2:$D$9990,4)))</f>
        <v/>
      </c>
      <c r="AF193" s="64" t="str">
        <f>IF($B193="","",(COUNTIFS(Rships!$C$2:$C$9990,$A193,Rships!$D$2:$D$9990,5)))</f>
        <v/>
      </c>
      <c r="AG193" s="64" t="str">
        <f>IF($B193="","",(COUNTIFS(Rships!$C$2:$C$9990,$A193,Rships!$D$2:$D$9990,6)))</f>
        <v/>
      </c>
      <c r="AH193" s="64" t="str">
        <f>IF($B193="","",(COUNTIFS(Rships!$C$2:$C$9990,$A193,Rships!$D$2:$D$9990,7)))</f>
        <v/>
      </c>
    </row>
    <row r="194" spans="1:34">
      <c r="A194" s="1" t="s">
        <v>446</v>
      </c>
      <c r="C194" s="11" t="s">
        <v>19</v>
      </c>
      <c r="D194" s="11" t="s">
        <v>21</v>
      </c>
      <c r="F194" s="15"/>
      <c r="G194" s="15"/>
      <c r="I194" s="17"/>
      <c r="O194" s="11" t="s">
        <v>27</v>
      </c>
      <c r="Y194" s="64">
        <f t="shared" si="6"/>
        <v>0</v>
      </c>
      <c r="AA194" s="64">
        <f t="shared" si="5"/>
        <v>0</v>
      </c>
      <c r="AB194" s="64" t="str">
        <f>IF($B194="","",(COUNTIFS(Rships!$C$2:$C$9990,$A194,Rships!$D$2:$D$9990,1)))</f>
        <v/>
      </c>
      <c r="AC194" s="64" t="str">
        <f>IF($B194="","",(COUNTIFS(Rships!$C$2:$C$9990,$A194,Rships!$D$2:$D$9990,2)))</f>
        <v/>
      </c>
      <c r="AD194" s="64" t="str">
        <f>IF($B194="","",(COUNTIFS(Rships!$C$2:$C$9990,$A194,Rships!$D$2:$D$9990,3)))</f>
        <v/>
      </c>
      <c r="AE194" s="64" t="str">
        <f>IF($B194="","",(COUNTIFS(Rships!$C$2:$C$9990,$A194,Rships!$D$2:$D$9990,4)))</f>
        <v/>
      </c>
      <c r="AF194" s="64" t="str">
        <f>IF($B194="","",(COUNTIFS(Rships!$C$2:$C$9990,$A194,Rships!$D$2:$D$9990,5)))</f>
        <v/>
      </c>
      <c r="AG194" s="64" t="str">
        <f>IF($B194="","",(COUNTIFS(Rships!$C$2:$C$9990,$A194,Rships!$D$2:$D$9990,6)))</f>
        <v/>
      </c>
      <c r="AH194" s="64" t="str">
        <f>IF($B194="","",(COUNTIFS(Rships!$C$2:$C$9990,$A194,Rships!$D$2:$D$9990,7)))</f>
        <v/>
      </c>
    </row>
    <row r="195" spans="1:34">
      <c r="A195" s="1" t="s">
        <v>447</v>
      </c>
      <c r="C195" s="11" t="s">
        <v>19</v>
      </c>
      <c r="D195" s="11" t="s">
        <v>21</v>
      </c>
      <c r="F195" s="15"/>
      <c r="G195" s="15"/>
      <c r="I195" s="17"/>
      <c r="O195" s="11" t="s">
        <v>27</v>
      </c>
      <c r="Y195" s="64">
        <f t="shared" si="6"/>
        <v>0</v>
      </c>
      <c r="AA195" s="64">
        <f t="shared" ref="AA195:AA258" si="7">SUM($AB195:$AH195)</f>
        <v>0</v>
      </c>
      <c r="AB195" s="64" t="str">
        <f>IF($B195="","",(COUNTIFS(Rships!$C$2:$C$9990,$A195,Rships!$D$2:$D$9990,1)))</f>
        <v/>
      </c>
      <c r="AC195" s="64" t="str">
        <f>IF($B195="","",(COUNTIFS(Rships!$C$2:$C$9990,$A195,Rships!$D$2:$D$9990,2)))</f>
        <v/>
      </c>
      <c r="AD195" s="64" t="str">
        <f>IF($B195="","",(COUNTIFS(Rships!$C$2:$C$9990,$A195,Rships!$D$2:$D$9990,3)))</f>
        <v/>
      </c>
      <c r="AE195" s="64" t="str">
        <f>IF($B195="","",(COUNTIFS(Rships!$C$2:$C$9990,$A195,Rships!$D$2:$D$9990,4)))</f>
        <v/>
      </c>
      <c r="AF195" s="64" t="str">
        <f>IF($B195="","",(COUNTIFS(Rships!$C$2:$C$9990,$A195,Rships!$D$2:$D$9990,5)))</f>
        <v/>
      </c>
      <c r="AG195" s="64" t="str">
        <f>IF($B195="","",(COUNTIFS(Rships!$C$2:$C$9990,$A195,Rships!$D$2:$D$9990,6)))</f>
        <v/>
      </c>
      <c r="AH195" s="64" t="str">
        <f>IF($B195="","",(COUNTIFS(Rships!$C$2:$C$9990,$A195,Rships!$D$2:$D$9990,7)))</f>
        <v/>
      </c>
    </row>
    <row r="196" spans="1:34">
      <c r="A196" s="1" t="s">
        <v>448</v>
      </c>
      <c r="C196" s="11" t="s">
        <v>19</v>
      </c>
      <c r="D196" s="11" t="s">
        <v>21</v>
      </c>
      <c r="F196" s="15"/>
      <c r="G196" s="15"/>
      <c r="I196" s="17"/>
      <c r="O196" s="11" t="s">
        <v>27</v>
      </c>
      <c r="Y196" s="64">
        <f t="shared" si="6"/>
        <v>0</v>
      </c>
      <c r="AA196" s="64">
        <f t="shared" si="7"/>
        <v>0</v>
      </c>
      <c r="AB196" s="64" t="str">
        <f>IF($B196="","",(COUNTIFS(Rships!$C$2:$C$9990,$A196,Rships!$D$2:$D$9990,1)))</f>
        <v/>
      </c>
      <c r="AC196" s="64" t="str">
        <f>IF($B196="","",(COUNTIFS(Rships!$C$2:$C$9990,$A196,Rships!$D$2:$D$9990,2)))</f>
        <v/>
      </c>
      <c r="AD196" s="64" t="str">
        <f>IF($B196="","",(COUNTIFS(Rships!$C$2:$C$9990,$A196,Rships!$D$2:$D$9990,3)))</f>
        <v/>
      </c>
      <c r="AE196" s="64" t="str">
        <f>IF($B196="","",(COUNTIFS(Rships!$C$2:$C$9990,$A196,Rships!$D$2:$D$9990,4)))</f>
        <v/>
      </c>
      <c r="AF196" s="64" t="str">
        <f>IF($B196="","",(COUNTIFS(Rships!$C$2:$C$9990,$A196,Rships!$D$2:$D$9990,5)))</f>
        <v/>
      </c>
      <c r="AG196" s="64" t="str">
        <f>IF($B196="","",(COUNTIFS(Rships!$C$2:$C$9990,$A196,Rships!$D$2:$D$9990,6)))</f>
        <v/>
      </c>
      <c r="AH196" s="64" t="str">
        <f>IF($B196="","",(COUNTIFS(Rships!$C$2:$C$9990,$A196,Rships!$D$2:$D$9990,7)))</f>
        <v/>
      </c>
    </row>
    <row r="197" spans="1:34">
      <c r="A197" s="1" t="s">
        <v>449</v>
      </c>
      <c r="C197" s="11" t="s">
        <v>19</v>
      </c>
      <c r="D197" s="11" t="s">
        <v>21</v>
      </c>
      <c r="F197" s="15"/>
      <c r="G197" s="15"/>
      <c r="I197" s="17"/>
      <c r="O197" s="11" t="s">
        <v>27</v>
      </c>
      <c r="Y197" s="64">
        <f t="shared" si="6"/>
        <v>0</v>
      </c>
      <c r="AA197" s="64">
        <f t="shared" si="7"/>
        <v>0</v>
      </c>
      <c r="AB197" s="64" t="str">
        <f>IF($B197="","",(COUNTIFS(Rships!$C$2:$C$9990,$A197,Rships!$D$2:$D$9990,1)))</f>
        <v/>
      </c>
      <c r="AC197" s="64" t="str">
        <f>IF($B197="","",(COUNTIFS(Rships!$C$2:$C$9990,$A197,Rships!$D$2:$D$9990,2)))</f>
        <v/>
      </c>
      <c r="AD197" s="64" t="str">
        <f>IF($B197="","",(COUNTIFS(Rships!$C$2:$C$9990,$A197,Rships!$D$2:$D$9990,3)))</f>
        <v/>
      </c>
      <c r="AE197" s="64" t="str">
        <f>IF($B197="","",(COUNTIFS(Rships!$C$2:$C$9990,$A197,Rships!$D$2:$D$9990,4)))</f>
        <v/>
      </c>
      <c r="AF197" s="64" t="str">
        <f>IF($B197="","",(COUNTIFS(Rships!$C$2:$C$9990,$A197,Rships!$D$2:$D$9990,5)))</f>
        <v/>
      </c>
      <c r="AG197" s="64" t="str">
        <f>IF($B197="","",(COUNTIFS(Rships!$C$2:$C$9990,$A197,Rships!$D$2:$D$9990,6)))</f>
        <v/>
      </c>
      <c r="AH197" s="64" t="str">
        <f>IF($B197="","",(COUNTIFS(Rships!$C$2:$C$9990,$A197,Rships!$D$2:$D$9990,7)))</f>
        <v/>
      </c>
    </row>
    <row r="198" spans="1:34">
      <c r="A198" s="1" t="s">
        <v>450</v>
      </c>
      <c r="C198" s="11" t="s">
        <v>19</v>
      </c>
      <c r="D198" s="11" t="s">
        <v>21</v>
      </c>
      <c r="F198" s="15"/>
      <c r="G198" s="15"/>
      <c r="I198" s="17"/>
      <c r="O198" s="11" t="s">
        <v>27</v>
      </c>
      <c r="Y198" s="64">
        <f t="shared" si="6"/>
        <v>0</v>
      </c>
      <c r="AA198" s="64">
        <f t="shared" si="7"/>
        <v>0</v>
      </c>
      <c r="AB198" s="64" t="str">
        <f>IF($B198="","",(COUNTIFS(Rships!$C$2:$C$9990,$A198,Rships!$D$2:$D$9990,1)))</f>
        <v/>
      </c>
      <c r="AC198" s="64" t="str">
        <f>IF($B198="","",(COUNTIFS(Rships!$C$2:$C$9990,$A198,Rships!$D$2:$D$9990,2)))</f>
        <v/>
      </c>
      <c r="AD198" s="64" t="str">
        <f>IF($B198="","",(COUNTIFS(Rships!$C$2:$C$9990,$A198,Rships!$D$2:$D$9990,3)))</f>
        <v/>
      </c>
      <c r="AE198" s="64" t="str">
        <f>IF($B198="","",(COUNTIFS(Rships!$C$2:$C$9990,$A198,Rships!$D$2:$D$9990,4)))</f>
        <v/>
      </c>
      <c r="AF198" s="64" t="str">
        <f>IF($B198="","",(COUNTIFS(Rships!$C$2:$C$9990,$A198,Rships!$D$2:$D$9990,5)))</f>
        <v/>
      </c>
      <c r="AG198" s="64" t="str">
        <f>IF($B198="","",(COUNTIFS(Rships!$C$2:$C$9990,$A198,Rships!$D$2:$D$9990,6)))</f>
        <v/>
      </c>
      <c r="AH198" s="64" t="str">
        <f>IF($B198="","",(COUNTIFS(Rships!$C$2:$C$9990,$A198,Rships!$D$2:$D$9990,7)))</f>
        <v/>
      </c>
    </row>
    <row r="199" spans="1:34">
      <c r="A199" s="1" t="s">
        <v>451</v>
      </c>
      <c r="C199" s="11" t="s">
        <v>19</v>
      </c>
      <c r="D199" s="11" t="s">
        <v>21</v>
      </c>
      <c r="F199" s="15"/>
      <c r="G199" s="15"/>
      <c r="I199" s="17"/>
      <c r="O199" s="11" t="s">
        <v>27</v>
      </c>
      <c r="Y199" s="64">
        <f t="shared" si="6"/>
        <v>0</v>
      </c>
      <c r="AA199" s="64">
        <f t="shared" si="7"/>
        <v>0</v>
      </c>
      <c r="AB199" s="64" t="str">
        <f>IF($B199="","",(COUNTIFS(Rships!$C$2:$C$9990,$A199,Rships!$D$2:$D$9990,1)))</f>
        <v/>
      </c>
      <c r="AC199" s="64" t="str">
        <f>IF($B199="","",(COUNTIFS(Rships!$C$2:$C$9990,$A199,Rships!$D$2:$D$9990,2)))</f>
        <v/>
      </c>
      <c r="AD199" s="64" t="str">
        <f>IF($B199="","",(COUNTIFS(Rships!$C$2:$C$9990,$A199,Rships!$D$2:$D$9990,3)))</f>
        <v/>
      </c>
      <c r="AE199" s="64" t="str">
        <f>IF($B199="","",(COUNTIFS(Rships!$C$2:$C$9990,$A199,Rships!$D$2:$D$9990,4)))</f>
        <v/>
      </c>
      <c r="AF199" s="64" t="str">
        <f>IF($B199="","",(COUNTIFS(Rships!$C$2:$C$9990,$A199,Rships!$D$2:$D$9990,5)))</f>
        <v/>
      </c>
      <c r="AG199" s="64" t="str">
        <f>IF($B199="","",(COUNTIFS(Rships!$C$2:$C$9990,$A199,Rships!$D$2:$D$9990,6)))</f>
        <v/>
      </c>
      <c r="AH199" s="64" t="str">
        <f>IF($B199="","",(COUNTIFS(Rships!$C$2:$C$9990,$A199,Rships!$D$2:$D$9990,7)))</f>
        <v/>
      </c>
    </row>
    <row r="200" spans="1:34">
      <c r="A200" s="1" t="s">
        <v>452</v>
      </c>
      <c r="C200" s="11" t="s">
        <v>19</v>
      </c>
      <c r="D200" s="11" t="s">
        <v>21</v>
      </c>
      <c r="F200" s="15"/>
      <c r="G200" s="15"/>
      <c r="I200" s="17"/>
      <c r="O200" s="11" t="s">
        <v>27</v>
      </c>
      <c r="Y200" s="64">
        <f t="shared" si="6"/>
        <v>0</v>
      </c>
      <c r="AA200" s="64">
        <f t="shared" si="7"/>
        <v>0</v>
      </c>
      <c r="AB200" s="64" t="str">
        <f>IF($B200="","",(COUNTIFS(Rships!$C$2:$C$9990,$A200,Rships!$D$2:$D$9990,1)))</f>
        <v/>
      </c>
      <c r="AC200" s="64" t="str">
        <f>IF($B200="","",(COUNTIFS(Rships!$C$2:$C$9990,$A200,Rships!$D$2:$D$9990,2)))</f>
        <v/>
      </c>
      <c r="AD200" s="64" t="str">
        <f>IF($B200="","",(COUNTIFS(Rships!$C$2:$C$9990,$A200,Rships!$D$2:$D$9990,3)))</f>
        <v/>
      </c>
      <c r="AE200" s="64" t="str">
        <f>IF($B200="","",(COUNTIFS(Rships!$C$2:$C$9990,$A200,Rships!$D$2:$D$9990,4)))</f>
        <v/>
      </c>
      <c r="AF200" s="64" t="str">
        <f>IF($B200="","",(COUNTIFS(Rships!$C$2:$C$9990,$A200,Rships!$D$2:$D$9990,5)))</f>
        <v/>
      </c>
      <c r="AG200" s="64" t="str">
        <f>IF($B200="","",(COUNTIFS(Rships!$C$2:$C$9990,$A200,Rships!$D$2:$D$9990,6)))</f>
        <v/>
      </c>
      <c r="AH200" s="64" t="str">
        <f>IF($B200="","",(COUNTIFS(Rships!$C$2:$C$9990,$A200,Rships!$D$2:$D$9990,7)))</f>
        <v/>
      </c>
    </row>
    <row r="201" spans="1:34">
      <c r="A201" s="1" t="s">
        <v>453</v>
      </c>
      <c r="C201" s="11" t="s">
        <v>19</v>
      </c>
      <c r="D201" s="11" t="s">
        <v>21</v>
      </c>
      <c r="F201" s="15"/>
      <c r="G201" s="15"/>
      <c r="I201" s="17"/>
      <c r="O201" s="11" t="s">
        <v>27</v>
      </c>
      <c r="Y201" s="64">
        <f t="shared" si="6"/>
        <v>0</v>
      </c>
      <c r="AA201" s="64">
        <f t="shared" si="7"/>
        <v>0</v>
      </c>
      <c r="AB201" s="64" t="str">
        <f>IF($B201="","",(COUNTIFS(Rships!$C$2:$C$9990,$A201,Rships!$D$2:$D$9990,1)))</f>
        <v/>
      </c>
      <c r="AC201" s="64" t="str">
        <f>IF($B201="","",(COUNTIFS(Rships!$C$2:$C$9990,$A201,Rships!$D$2:$D$9990,2)))</f>
        <v/>
      </c>
      <c r="AD201" s="64" t="str">
        <f>IF($B201="","",(COUNTIFS(Rships!$C$2:$C$9990,$A201,Rships!$D$2:$D$9990,3)))</f>
        <v/>
      </c>
      <c r="AE201" s="64" t="str">
        <f>IF($B201="","",(COUNTIFS(Rships!$C$2:$C$9990,$A201,Rships!$D$2:$D$9990,4)))</f>
        <v/>
      </c>
      <c r="AF201" s="64" t="str">
        <f>IF($B201="","",(COUNTIFS(Rships!$C$2:$C$9990,$A201,Rships!$D$2:$D$9990,5)))</f>
        <v/>
      </c>
      <c r="AG201" s="64" t="str">
        <f>IF($B201="","",(COUNTIFS(Rships!$C$2:$C$9990,$A201,Rships!$D$2:$D$9990,6)))</f>
        <v/>
      </c>
      <c r="AH201" s="64" t="str">
        <f>IF($B201="","",(COUNTIFS(Rships!$C$2:$C$9990,$A201,Rships!$D$2:$D$9990,7)))</f>
        <v/>
      </c>
    </row>
    <row r="202" spans="1:34">
      <c r="A202" s="1" t="s">
        <v>454</v>
      </c>
      <c r="C202" s="11" t="s">
        <v>19</v>
      </c>
      <c r="D202" s="11" t="s">
        <v>21</v>
      </c>
      <c r="F202" s="15"/>
      <c r="G202" s="15"/>
      <c r="I202" s="17"/>
      <c r="O202" s="11" t="s">
        <v>27</v>
      </c>
      <c r="Y202" s="64">
        <f t="shared" si="6"/>
        <v>0</v>
      </c>
      <c r="AA202" s="64">
        <f t="shared" si="7"/>
        <v>0</v>
      </c>
      <c r="AB202" s="64" t="str">
        <f>IF($B202="","",(COUNTIFS(Rships!$C$2:$C$9990,$A202,Rships!$D$2:$D$9990,1)))</f>
        <v/>
      </c>
      <c r="AC202" s="64" t="str">
        <f>IF($B202="","",(COUNTIFS(Rships!$C$2:$C$9990,$A202,Rships!$D$2:$D$9990,2)))</f>
        <v/>
      </c>
      <c r="AD202" s="64" t="str">
        <f>IF($B202="","",(COUNTIFS(Rships!$C$2:$C$9990,$A202,Rships!$D$2:$D$9990,3)))</f>
        <v/>
      </c>
      <c r="AE202" s="64" t="str">
        <f>IF($B202="","",(COUNTIFS(Rships!$C$2:$C$9990,$A202,Rships!$D$2:$D$9990,4)))</f>
        <v/>
      </c>
      <c r="AF202" s="64" t="str">
        <f>IF($B202="","",(COUNTIFS(Rships!$C$2:$C$9990,$A202,Rships!$D$2:$D$9990,5)))</f>
        <v/>
      </c>
      <c r="AG202" s="64" t="str">
        <f>IF($B202="","",(COUNTIFS(Rships!$C$2:$C$9990,$A202,Rships!$D$2:$D$9990,6)))</f>
        <v/>
      </c>
      <c r="AH202" s="64" t="str">
        <f>IF($B202="","",(COUNTIFS(Rships!$C$2:$C$9990,$A202,Rships!$D$2:$D$9990,7)))</f>
        <v/>
      </c>
    </row>
    <row r="203" spans="1:34">
      <c r="A203" s="1" t="s">
        <v>455</v>
      </c>
      <c r="C203" s="11" t="s">
        <v>19</v>
      </c>
      <c r="D203" s="11" t="s">
        <v>21</v>
      </c>
      <c r="F203" s="15"/>
      <c r="G203" s="15"/>
      <c r="I203" s="17"/>
      <c r="O203" s="11" t="s">
        <v>27</v>
      </c>
      <c r="Y203" s="64">
        <f t="shared" si="6"/>
        <v>0</v>
      </c>
      <c r="AA203" s="64">
        <f t="shared" si="7"/>
        <v>0</v>
      </c>
      <c r="AB203" s="64" t="str">
        <f>IF($B203="","",(COUNTIFS(Rships!$C$2:$C$9990,$A203,Rships!$D$2:$D$9990,1)))</f>
        <v/>
      </c>
      <c r="AC203" s="64" t="str">
        <f>IF($B203="","",(COUNTIFS(Rships!$C$2:$C$9990,$A203,Rships!$D$2:$D$9990,2)))</f>
        <v/>
      </c>
      <c r="AD203" s="64" t="str">
        <f>IF($B203="","",(COUNTIFS(Rships!$C$2:$C$9990,$A203,Rships!$D$2:$D$9990,3)))</f>
        <v/>
      </c>
      <c r="AE203" s="64" t="str">
        <f>IF($B203="","",(COUNTIFS(Rships!$C$2:$C$9990,$A203,Rships!$D$2:$D$9990,4)))</f>
        <v/>
      </c>
      <c r="AF203" s="64" t="str">
        <f>IF($B203="","",(COUNTIFS(Rships!$C$2:$C$9990,$A203,Rships!$D$2:$D$9990,5)))</f>
        <v/>
      </c>
      <c r="AG203" s="64" t="str">
        <f>IF($B203="","",(COUNTIFS(Rships!$C$2:$C$9990,$A203,Rships!$D$2:$D$9990,6)))</f>
        <v/>
      </c>
      <c r="AH203" s="64" t="str">
        <f>IF($B203="","",(COUNTIFS(Rships!$C$2:$C$9990,$A203,Rships!$D$2:$D$9990,7)))</f>
        <v/>
      </c>
    </row>
    <row r="204" spans="1:34">
      <c r="A204" s="1" t="s">
        <v>456</v>
      </c>
      <c r="C204" s="11" t="s">
        <v>19</v>
      </c>
      <c r="D204" s="11" t="s">
        <v>21</v>
      </c>
      <c r="F204" s="15"/>
      <c r="G204" s="15"/>
      <c r="I204" s="17"/>
      <c r="O204" s="11" t="s">
        <v>27</v>
      </c>
      <c r="Y204" s="64">
        <f t="shared" si="6"/>
        <v>0</v>
      </c>
      <c r="AA204" s="64">
        <f t="shared" si="7"/>
        <v>0</v>
      </c>
      <c r="AB204" s="64" t="str">
        <f>IF($B204="","",(COUNTIFS(Rships!$C$2:$C$9990,$A204,Rships!$D$2:$D$9990,1)))</f>
        <v/>
      </c>
      <c r="AC204" s="64" t="str">
        <f>IF($B204="","",(COUNTIFS(Rships!$C$2:$C$9990,$A204,Rships!$D$2:$D$9990,2)))</f>
        <v/>
      </c>
      <c r="AD204" s="64" t="str">
        <f>IF($B204="","",(COUNTIFS(Rships!$C$2:$C$9990,$A204,Rships!$D$2:$D$9990,3)))</f>
        <v/>
      </c>
      <c r="AE204" s="64" t="str">
        <f>IF($B204="","",(COUNTIFS(Rships!$C$2:$C$9990,$A204,Rships!$D$2:$D$9990,4)))</f>
        <v/>
      </c>
      <c r="AF204" s="64" t="str">
        <f>IF($B204="","",(COUNTIFS(Rships!$C$2:$C$9990,$A204,Rships!$D$2:$D$9990,5)))</f>
        <v/>
      </c>
      <c r="AG204" s="64" t="str">
        <f>IF($B204="","",(COUNTIFS(Rships!$C$2:$C$9990,$A204,Rships!$D$2:$D$9990,6)))</f>
        <v/>
      </c>
      <c r="AH204" s="64" t="str">
        <f>IF($B204="","",(COUNTIFS(Rships!$C$2:$C$9990,$A204,Rships!$D$2:$D$9990,7)))</f>
        <v/>
      </c>
    </row>
    <row r="205" spans="1:34">
      <c r="A205" s="1" t="s">
        <v>457</v>
      </c>
      <c r="C205" s="11" t="s">
        <v>19</v>
      </c>
      <c r="D205" s="11" t="s">
        <v>21</v>
      </c>
      <c r="F205" s="15"/>
      <c r="G205" s="15"/>
      <c r="I205" s="17"/>
      <c r="O205" s="11" t="s">
        <v>27</v>
      </c>
      <c r="Y205" s="64">
        <f t="shared" si="6"/>
        <v>0</v>
      </c>
      <c r="AA205" s="64">
        <f t="shared" si="7"/>
        <v>0</v>
      </c>
      <c r="AB205" s="64" t="str">
        <f>IF($B205="","",(COUNTIFS(Rships!$C$2:$C$9990,$A205,Rships!$D$2:$D$9990,1)))</f>
        <v/>
      </c>
      <c r="AC205" s="64" t="str">
        <f>IF($B205="","",(COUNTIFS(Rships!$C$2:$C$9990,$A205,Rships!$D$2:$D$9990,2)))</f>
        <v/>
      </c>
      <c r="AD205" s="64" t="str">
        <f>IF($B205="","",(COUNTIFS(Rships!$C$2:$C$9990,$A205,Rships!$D$2:$D$9990,3)))</f>
        <v/>
      </c>
      <c r="AE205" s="64" t="str">
        <f>IF($B205="","",(COUNTIFS(Rships!$C$2:$C$9990,$A205,Rships!$D$2:$D$9990,4)))</f>
        <v/>
      </c>
      <c r="AF205" s="64" t="str">
        <f>IF($B205="","",(COUNTIFS(Rships!$C$2:$C$9990,$A205,Rships!$D$2:$D$9990,5)))</f>
        <v/>
      </c>
      <c r="AG205" s="64" t="str">
        <f>IF($B205="","",(COUNTIFS(Rships!$C$2:$C$9990,$A205,Rships!$D$2:$D$9990,6)))</f>
        <v/>
      </c>
      <c r="AH205" s="64" t="str">
        <f>IF($B205="","",(COUNTIFS(Rships!$C$2:$C$9990,$A205,Rships!$D$2:$D$9990,7)))</f>
        <v/>
      </c>
    </row>
    <row r="206" spans="1:34">
      <c r="A206" s="1" t="s">
        <v>458</v>
      </c>
      <c r="C206" s="11" t="s">
        <v>19</v>
      </c>
      <c r="D206" s="11" t="s">
        <v>21</v>
      </c>
      <c r="F206" s="15"/>
      <c r="G206" s="15"/>
      <c r="I206" s="17"/>
      <c r="O206" s="11" t="s">
        <v>27</v>
      </c>
      <c r="Y206" s="64">
        <f t="shared" si="6"/>
        <v>0</v>
      </c>
      <c r="AA206" s="64">
        <f t="shared" si="7"/>
        <v>0</v>
      </c>
      <c r="AB206" s="64" t="str">
        <f>IF($B206="","",(COUNTIFS(Rships!$C$2:$C$9990,$A206,Rships!$D$2:$D$9990,1)))</f>
        <v/>
      </c>
      <c r="AC206" s="64" t="str">
        <f>IF($B206="","",(COUNTIFS(Rships!$C$2:$C$9990,$A206,Rships!$D$2:$D$9990,2)))</f>
        <v/>
      </c>
      <c r="AD206" s="64" t="str">
        <f>IF($B206="","",(COUNTIFS(Rships!$C$2:$C$9990,$A206,Rships!$D$2:$D$9990,3)))</f>
        <v/>
      </c>
      <c r="AE206" s="64" t="str">
        <f>IF($B206="","",(COUNTIFS(Rships!$C$2:$C$9990,$A206,Rships!$D$2:$D$9990,4)))</f>
        <v/>
      </c>
      <c r="AF206" s="64" t="str">
        <f>IF($B206="","",(COUNTIFS(Rships!$C$2:$C$9990,$A206,Rships!$D$2:$D$9990,5)))</f>
        <v/>
      </c>
      <c r="AG206" s="64" t="str">
        <f>IF($B206="","",(COUNTIFS(Rships!$C$2:$C$9990,$A206,Rships!$D$2:$D$9990,6)))</f>
        <v/>
      </c>
      <c r="AH206" s="64" t="str">
        <f>IF($B206="","",(COUNTIFS(Rships!$C$2:$C$9990,$A206,Rships!$D$2:$D$9990,7)))</f>
        <v/>
      </c>
    </row>
    <row r="207" spans="1:34">
      <c r="A207" s="1" t="s">
        <v>459</v>
      </c>
      <c r="C207" s="11" t="s">
        <v>19</v>
      </c>
      <c r="D207" s="11" t="s">
        <v>21</v>
      </c>
      <c r="F207" s="15"/>
      <c r="G207" s="15"/>
      <c r="I207" s="17"/>
      <c r="O207" s="11" t="s">
        <v>27</v>
      </c>
      <c r="W207" s="36"/>
      <c r="Y207" s="64">
        <f t="shared" si="6"/>
        <v>0</v>
      </c>
      <c r="AA207" s="64">
        <f t="shared" si="7"/>
        <v>0</v>
      </c>
      <c r="AB207" s="64" t="str">
        <f>IF($B207="","",(COUNTIFS(Rships!$C$2:$C$9990,$A207,Rships!$D$2:$D$9990,1)))</f>
        <v/>
      </c>
      <c r="AC207" s="64" t="str">
        <f>IF($B207="","",(COUNTIFS(Rships!$C$2:$C$9990,$A207,Rships!$D$2:$D$9990,2)))</f>
        <v/>
      </c>
      <c r="AD207" s="64" t="str">
        <f>IF($B207="","",(COUNTIFS(Rships!$C$2:$C$9990,$A207,Rships!$D$2:$D$9990,3)))</f>
        <v/>
      </c>
      <c r="AE207" s="64" t="str">
        <f>IF($B207="","",(COUNTIFS(Rships!$C$2:$C$9990,$A207,Rships!$D$2:$D$9990,4)))</f>
        <v/>
      </c>
      <c r="AF207" s="64" t="str">
        <f>IF($B207="","",(COUNTIFS(Rships!$C$2:$C$9990,$A207,Rships!$D$2:$D$9990,5)))</f>
        <v/>
      </c>
      <c r="AG207" s="64" t="str">
        <f>IF($B207="","",(COUNTIFS(Rships!$C$2:$C$9990,$A207,Rships!$D$2:$D$9990,6)))</f>
        <v/>
      </c>
      <c r="AH207" s="64" t="str">
        <f>IF($B207="","",(COUNTIFS(Rships!$C$2:$C$9990,$A207,Rships!$D$2:$D$9990,7)))</f>
        <v/>
      </c>
    </row>
    <row r="208" spans="1:34">
      <c r="A208" s="1" t="s">
        <v>460</v>
      </c>
      <c r="C208" s="11" t="s">
        <v>19</v>
      </c>
      <c r="D208" s="11" t="s">
        <v>21</v>
      </c>
      <c r="F208" s="30"/>
      <c r="G208" s="30"/>
      <c r="I208" s="17"/>
      <c r="K208" s="29"/>
      <c r="O208" s="11" t="s">
        <v>27</v>
      </c>
      <c r="T208" s="29"/>
      <c r="Y208" s="64">
        <f t="shared" si="6"/>
        <v>0</v>
      </c>
      <c r="AA208" s="64">
        <f t="shared" si="7"/>
        <v>0</v>
      </c>
      <c r="AB208" s="64" t="str">
        <f>IF($B208="","",(COUNTIFS(Rships!$C$2:$C$9990,$A208,Rships!$D$2:$D$9990,1)))</f>
        <v/>
      </c>
      <c r="AC208" s="64" t="str">
        <f>IF($B208="","",(COUNTIFS(Rships!$C$2:$C$9990,$A208,Rships!$D$2:$D$9990,2)))</f>
        <v/>
      </c>
      <c r="AD208" s="64" t="str">
        <f>IF($B208="","",(COUNTIFS(Rships!$C$2:$C$9990,$A208,Rships!$D$2:$D$9990,3)))</f>
        <v/>
      </c>
      <c r="AE208" s="64" t="str">
        <f>IF($B208="","",(COUNTIFS(Rships!$C$2:$C$9990,$A208,Rships!$D$2:$D$9990,4)))</f>
        <v/>
      </c>
      <c r="AF208" s="64" t="str">
        <f>IF($B208="","",(COUNTIFS(Rships!$C$2:$C$9990,$A208,Rships!$D$2:$D$9990,5)))</f>
        <v/>
      </c>
      <c r="AG208" s="64" t="str">
        <f>IF($B208="","",(COUNTIFS(Rships!$C$2:$C$9990,$A208,Rships!$D$2:$D$9990,6)))</f>
        <v/>
      </c>
      <c r="AH208" s="64" t="str">
        <f>IF($B208="","",(COUNTIFS(Rships!$C$2:$C$9990,$A208,Rships!$D$2:$D$9990,7)))</f>
        <v/>
      </c>
    </row>
    <row r="209" spans="1:34" s="29" customFormat="1">
      <c r="A209" s="1" t="s">
        <v>461</v>
      </c>
      <c r="B209" s="35" t="s">
        <v>184</v>
      </c>
      <c r="C209" s="29" t="s">
        <v>19</v>
      </c>
      <c r="D209" s="29" t="s">
        <v>21</v>
      </c>
      <c r="E209" s="29" t="s">
        <v>185</v>
      </c>
      <c r="F209" s="29" t="s">
        <v>186</v>
      </c>
      <c r="G209" s="29" t="s">
        <v>187</v>
      </c>
      <c r="H209" s="31">
        <v>8002275490082</v>
      </c>
      <c r="I209" s="32">
        <v>795702145</v>
      </c>
      <c r="J209" s="30" t="s">
        <v>139</v>
      </c>
      <c r="K209" s="29" t="s">
        <v>191</v>
      </c>
      <c r="L209" s="31">
        <v>2530</v>
      </c>
      <c r="M209" s="29" t="s">
        <v>188</v>
      </c>
      <c r="N209" s="31">
        <v>2530</v>
      </c>
      <c r="O209" s="29" t="s">
        <v>27</v>
      </c>
      <c r="P209" s="34"/>
      <c r="Q209" s="29" t="s">
        <v>139</v>
      </c>
      <c r="R209" s="29" t="s">
        <v>238</v>
      </c>
      <c r="S209" s="29">
        <v>470010</v>
      </c>
      <c r="T209" s="29" t="s">
        <v>189</v>
      </c>
      <c r="U209" s="31">
        <v>1324320026</v>
      </c>
      <c r="V209" s="29" t="s">
        <v>31</v>
      </c>
      <c r="W209" s="26">
        <v>41670</v>
      </c>
      <c r="X209" s="48">
        <v>41591</v>
      </c>
      <c r="Y209" s="64">
        <f t="shared" si="6"/>
        <v>0</v>
      </c>
      <c r="Z209" s="29" t="s">
        <v>190</v>
      </c>
      <c r="AA209" s="64">
        <f t="shared" si="7"/>
        <v>0</v>
      </c>
      <c r="AB209" s="64">
        <f>IF($B209="","",(COUNTIFS(Rships!$C$2:$C$9990,$A209,Rships!$D$2:$D$9990,1)))</f>
        <v>0</v>
      </c>
      <c r="AC209" s="64">
        <f>IF($B209="","",(COUNTIFS(Rships!$C$2:$C$9990,$A209,Rships!$D$2:$D$9990,2)))</f>
        <v>0</v>
      </c>
      <c r="AD209" s="64">
        <f>IF($B209="","",(COUNTIFS(Rships!$C$2:$C$9990,$A209,Rships!$D$2:$D$9990,3)))</f>
        <v>0</v>
      </c>
      <c r="AE209" s="64">
        <f>IF($B209="","",(COUNTIFS(Rships!$C$2:$C$9990,$A209,Rships!$D$2:$D$9990,4)))</f>
        <v>0</v>
      </c>
      <c r="AF209" s="64">
        <f>IF($B209="","",(COUNTIFS(Rships!$C$2:$C$9990,$A209,Rships!$D$2:$D$9990,5)))</f>
        <v>0</v>
      </c>
      <c r="AG209" s="64">
        <f>IF($B209="","",(COUNTIFS(Rships!$C$2:$C$9990,$A209,Rships!$D$2:$D$9990,6)))</f>
        <v>0</v>
      </c>
      <c r="AH209" s="64">
        <f>IF($B209="","",(COUNTIFS(Rships!$C$2:$C$9990,$A209,Rships!$D$2:$D$9990,7)))</f>
        <v>0</v>
      </c>
    </row>
    <row r="210" spans="1:34">
      <c r="A210" s="1" t="s">
        <v>462</v>
      </c>
      <c r="C210" s="11" t="s">
        <v>19</v>
      </c>
      <c r="D210" s="11" t="s">
        <v>21</v>
      </c>
      <c r="F210" s="15"/>
      <c r="G210" s="15"/>
      <c r="I210" s="17"/>
      <c r="O210" s="11" t="s">
        <v>27</v>
      </c>
      <c r="Y210" s="64">
        <f t="shared" si="6"/>
        <v>0</v>
      </c>
      <c r="AA210" s="64">
        <f t="shared" si="7"/>
        <v>0</v>
      </c>
      <c r="AB210" s="64" t="str">
        <f>IF($B210="","",(COUNTIFS(Rships!$C$2:$C$9990,$A210,Rships!$D$2:$D$9990,1)))</f>
        <v/>
      </c>
      <c r="AC210" s="64" t="str">
        <f>IF($B210="","",(COUNTIFS(Rships!$C$2:$C$9990,$A210,Rships!$D$2:$D$9990,2)))</f>
        <v/>
      </c>
      <c r="AD210" s="64" t="str">
        <f>IF($B210="","",(COUNTIFS(Rships!$C$2:$C$9990,$A210,Rships!$D$2:$D$9990,3)))</f>
        <v/>
      </c>
      <c r="AE210" s="64" t="str">
        <f>IF($B210="","",(COUNTIFS(Rships!$C$2:$C$9990,$A210,Rships!$D$2:$D$9990,4)))</f>
        <v/>
      </c>
      <c r="AF210" s="64" t="str">
        <f>IF($B210="","",(COUNTIFS(Rships!$C$2:$C$9990,$A210,Rships!$D$2:$D$9990,5)))</f>
        <v/>
      </c>
      <c r="AG210" s="64" t="str">
        <f>IF($B210="","",(COUNTIFS(Rships!$C$2:$C$9990,$A210,Rships!$D$2:$D$9990,6)))</f>
        <v/>
      </c>
      <c r="AH210" s="64" t="str">
        <f>IF($B210="","",(COUNTIFS(Rships!$C$2:$C$9990,$A210,Rships!$D$2:$D$9990,7)))</f>
        <v/>
      </c>
    </row>
    <row r="211" spans="1:34">
      <c r="A211" s="1" t="s">
        <v>463</v>
      </c>
      <c r="C211" s="11" t="s">
        <v>19</v>
      </c>
      <c r="D211" s="11" t="s">
        <v>21</v>
      </c>
      <c r="F211" s="15"/>
      <c r="G211" s="15"/>
      <c r="I211" s="17"/>
      <c r="O211" s="11" t="s">
        <v>27</v>
      </c>
      <c r="Y211" s="64">
        <f t="shared" si="6"/>
        <v>0</v>
      </c>
      <c r="AA211" s="64">
        <f t="shared" si="7"/>
        <v>0</v>
      </c>
      <c r="AB211" s="64" t="str">
        <f>IF($B211="","",(COUNTIFS(Rships!$C$2:$C$9990,$A211,Rships!$D$2:$D$9990,1)))</f>
        <v/>
      </c>
      <c r="AC211" s="64" t="str">
        <f>IF($B211="","",(COUNTIFS(Rships!$C$2:$C$9990,$A211,Rships!$D$2:$D$9990,2)))</f>
        <v/>
      </c>
      <c r="AD211" s="64" t="str">
        <f>IF($B211="","",(COUNTIFS(Rships!$C$2:$C$9990,$A211,Rships!$D$2:$D$9990,3)))</f>
        <v/>
      </c>
      <c r="AE211" s="64" t="str">
        <f>IF($B211="","",(COUNTIFS(Rships!$C$2:$C$9990,$A211,Rships!$D$2:$D$9990,4)))</f>
        <v/>
      </c>
      <c r="AF211" s="64" t="str">
        <f>IF($B211="","",(COUNTIFS(Rships!$C$2:$C$9990,$A211,Rships!$D$2:$D$9990,5)))</f>
        <v/>
      </c>
      <c r="AG211" s="64" t="str">
        <f>IF($B211="","",(COUNTIFS(Rships!$C$2:$C$9990,$A211,Rships!$D$2:$D$9990,6)))</f>
        <v/>
      </c>
      <c r="AH211" s="64" t="str">
        <f>IF($B211="","",(COUNTIFS(Rships!$C$2:$C$9990,$A211,Rships!$D$2:$D$9990,7)))</f>
        <v/>
      </c>
    </row>
    <row r="212" spans="1:34">
      <c r="A212" s="1" t="s">
        <v>464</v>
      </c>
      <c r="C212" s="11" t="s">
        <v>19</v>
      </c>
      <c r="D212" s="11" t="s">
        <v>21</v>
      </c>
      <c r="F212" s="15"/>
      <c r="G212" s="15"/>
      <c r="I212" s="17"/>
      <c r="O212" s="11" t="s">
        <v>27</v>
      </c>
      <c r="Y212" s="64">
        <f t="shared" si="6"/>
        <v>0</v>
      </c>
      <c r="AA212" s="64">
        <f t="shared" si="7"/>
        <v>0</v>
      </c>
      <c r="AB212" s="64" t="str">
        <f>IF($B212="","",(COUNTIFS(Rships!$C$2:$C$9990,$A212,Rships!$D$2:$D$9990,1)))</f>
        <v/>
      </c>
      <c r="AC212" s="64" t="str">
        <f>IF($B212="","",(COUNTIFS(Rships!$C$2:$C$9990,$A212,Rships!$D$2:$D$9990,2)))</f>
        <v/>
      </c>
      <c r="AD212" s="64" t="str">
        <f>IF($B212="","",(COUNTIFS(Rships!$C$2:$C$9990,$A212,Rships!$D$2:$D$9990,3)))</f>
        <v/>
      </c>
      <c r="AE212" s="64" t="str">
        <f>IF($B212="","",(COUNTIFS(Rships!$C$2:$C$9990,$A212,Rships!$D$2:$D$9990,4)))</f>
        <v/>
      </c>
      <c r="AF212" s="64" t="str">
        <f>IF($B212="","",(COUNTIFS(Rships!$C$2:$C$9990,$A212,Rships!$D$2:$D$9990,5)))</f>
        <v/>
      </c>
      <c r="AG212" s="64" t="str">
        <f>IF($B212="","",(COUNTIFS(Rships!$C$2:$C$9990,$A212,Rships!$D$2:$D$9990,6)))</f>
        <v/>
      </c>
      <c r="AH212" s="64" t="str">
        <f>IF($B212="","",(COUNTIFS(Rships!$C$2:$C$9990,$A212,Rships!$D$2:$D$9990,7)))</f>
        <v/>
      </c>
    </row>
    <row r="213" spans="1:34">
      <c r="A213" s="1" t="s">
        <v>465</v>
      </c>
      <c r="C213" s="11" t="s">
        <v>19</v>
      </c>
      <c r="D213" s="11" t="s">
        <v>21</v>
      </c>
      <c r="F213" s="15"/>
      <c r="G213" s="15"/>
      <c r="I213" s="17"/>
      <c r="O213" s="11" t="s">
        <v>27</v>
      </c>
      <c r="Y213" s="64">
        <f t="shared" si="6"/>
        <v>0</v>
      </c>
      <c r="AA213" s="64">
        <f t="shared" si="7"/>
        <v>0</v>
      </c>
      <c r="AB213" s="64" t="str">
        <f>IF($B213="","",(COUNTIFS(Rships!$C$2:$C$9990,$A213,Rships!$D$2:$D$9990,1)))</f>
        <v/>
      </c>
      <c r="AC213" s="64" t="str">
        <f>IF($B213="","",(COUNTIFS(Rships!$C$2:$C$9990,$A213,Rships!$D$2:$D$9990,2)))</f>
        <v/>
      </c>
      <c r="AD213" s="64" t="str">
        <f>IF($B213="","",(COUNTIFS(Rships!$C$2:$C$9990,$A213,Rships!$D$2:$D$9990,3)))</f>
        <v/>
      </c>
      <c r="AE213" s="64" t="str">
        <f>IF($B213="","",(COUNTIFS(Rships!$C$2:$C$9990,$A213,Rships!$D$2:$D$9990,4)))</f>
        <v/>
      </c>
      <c r="AF213" s="64" t="str">
        <f>IF($B213="","",(COUNTIFS(Rships!$C$2:$C$9990,$A213,Rships!$D$2:$D$9990,5)))</f>
        <v/>
      </c>
      <c r="AG213" s="64" t="str">
        <f>IF($B213="","",(COUNTIFS(Rships!$C$2:$C$9990,$A213,Rships!$D$2:$D$9990,6)))</f>
        <v/>
      </c>
      <c r="AH213" s="64" t="str">
        <f>IF($B213="","",(COUNTIFS(Rships!$C$2:$C$9990,$A213,Rships!$D$2:$D$9990,7)))</f>
        <v/>
      </c>
    </row>
    <row r="214" spans="1:34">
      <c r="A214" s="1" t="s">
        <v>466</v>
      </c>
      <c r="C214" s="11" t="s">
        <v>19</v>
      </c>
      <c r="D214" s="11" t="s">
        <v>21</v>
      </c>
      <c r="F214" s="15"/>
      <c r="G214" s="15"/>
      <c r="I214" s="17"/>
      <c r="O214" s="11" t="s">
        <v>27</v>
      </c>
      <c r="Y214" s="64">
        <f t="shared" si="6"/>
        <v>0</v>
      </c>
      <c r="AA214" s="64">
        <f t="shared" si="7"/>
        <v>0</v>
      </c>
      <c r="AB214" s="64" t="str">
        <f>IF($B214="","",(COUNTIFS(Rships!$C$2:$C$9990,$A214,Rships!$D$2:$D$9990,1)))</f>
        <v/>
      </c>
      <c r="AC214" s="64" t="str">
        <f>IF($B214="","",(COUNTIFS(Rships!$C$2:$C$9990,$A214,Rships!$D$2:$D$9990,2)))</f>
        <v/>
      </c>
      <c r="AD214" s="64" t="str">
        <f>IF($B214="","",(COUNTIFS(Rships!$C$2:$C$9990,$A214,Rships!$D$2:$D$9990,3)))</f>
        <v/>
      </c>
      <c r="AE214" s="64" t="str">
        <f>IF($B214="","",(COUNTIFS(Rships!$C$2:$C$9990,$A214,Rships!$D$2:$D$9990,4)))</f>
        <v/>
      </c>
      <c r="AF214" s="64" t="str">
        <f>IF($B214="","",(COUNTIFS(Rships!$C$2:$C$9990,$A214,Rships!$D$2:$D$9990,5)))</f>
        <v/>
      </c>
      <c r="AG214" s="64" t="str">
        <f>IF($B214="","",(COUNTIFS(Rships!$C$2:$C$9990,$A214,Rships!$D$2:$D$9990,6)))</f>
        <v/>
      </c>
      <c r="AH214" s="64" t="str">
        <f>IF($B214="","",(COUNTIFS(Rships!$C$2:$C$9990,$A214,Rships!$D$2:$D$9990,7)))</f>
        <v/>
      </c>
    </row>
    <row r="215" spans="1:34">
      <c r="A215" s="1" t="s">
        <v>467</v>
      </c>
      <c r="C215" s="11" t="s">
        <v>19</v>
      </c>
      <c r="D215" s="11" t="s">
        <v>21</v>
      </c>
      <c r="F215" s="15"/>
      <c r="G215" s="15"/>
      <c r="I215" s="17"/>
      <c r="O215" s="11" t="s">
        <v>27</v>
      </c>
      <c r="Y215" s="64">
        <f t="shared" si="6"/>
        <v>0</v>
      </c>
      <c r="AA215" s="64">
        <f t="shared" si="7"/>
        <v>0</v>
      </c>
      <c r="AB215" s="64" t="str">
        <f>IF($B215="","",(COUNTIFS(Rships!$C$2:$C$9990,$A215,Rships!$D$2:$D$9990,1)))</f>
        <v/>
      </c>
      <c r="AC215" s="64" t="str">
        <f>IF($B215="","",(COUNTIFS(Rships!$C$2:$C$9990,$A215,Rships!$D$2:$D$9990,2)))</f>
        <v/>
      </c>
      <c r="AD215" s="64" t="str">
        <f>IF($B215="","",(COUNTIFS(Rships!$C$2:$C$9990,$A215,Rships!$D$2:$D$9990,3)))</f>
        <v/>
      </c>
      <c r="AE215" s="64" t="str">
        <f>IF($B215="","",(COUNTIFS(Rships!$C$2:$C$9990,$A215,Rships!$D$2:$D$9990,4)))</f>
        <v/>
      </c>
      <c r="AF215" s="64" t="str">
        <f>IF($B215="","",(COUNTIFS(Rships!$C$2:$C$9990,$A215,Rships!$D$2:$D$9990,5)))</f>
        <v/>
      </c>
      <c r="AG215" s="64" t="str">
        <f>IF($B215="","",(COUNTIFS(Rships!$C$2:$C$9990,$A215,Rships!$D$2:$D$9990,6)))</f>
        <v/>
      </c>
      <c r="AH215" s="64" t="str">
        <f>IF($B215="","",(COUNTIFS(Rships!$C$2:$C$9990,$A215,Rships!$D$2:$D$9990,7)))</f>
        <v/>
      </c>
    </row>
    <row r="216" spans="1:34">
      <c r="A216" s="1" t="s">
        <v>468</v>
      </c>
      <c r="C216" s="11" t="s">
        <v>19</v>
      </c>
      <c r="D216" s="11" t="s">
        <v>21</v>
      </c>
      <c r="F216" s="15"/>
      <c r="G216" s="15"/>
      <c r="I216" s="17"/>
      <c r="O216" s="11" t="s">
        <v>27</v>
      </c>
      <c r="Y216" s="64">
        <f t="shared" si="6"/>
        <v>0</v>
      </c>
      <c r="AA216" s="64">
        <f t="shared" si="7"/>
        <v>0</v>
      </c>
      <c r="AB216" s="64" t="str">
        <f>IF($B216="","",(COUNTIFS(Rships!$C$2:$C$9990,$A216,Rships!$D$2:$D$9990,1)))</f>
        <v/>
      </c>
      <c r="AC216" s="64" t="str">
        <f>IF($B216="","",(COUNTIFS(Rships!$C$2:$C$9990,$A216,Rships!$D$2:$D$9990,2)))</f>
        <v/>
      </c>
      <c r="AD216" s="64" t="str">
        <f>IF($B216="","",(COUNTIFS(Rships!$C$2:$C$9990,$A216,Rships!$D$2:$D$9990,3)))</f>
        <v/>
      </c>
      <c r="AE216" s="64" t="str">
        <f>IF($B216="","",(COUNTIFS(Rships!$C$2:$C$9990,$A216,Rships!$D$2:$D$9990,4)))</f>
        <v/>
      </c>
      <c r="AF216" s="64" t="str">
        <f>IF($B216="","",(COUNTIFS(Rships!$C$2:$C$9990,$A216,Rships!$D$2:$D$9990,5)))</f>
        <v/>
      </c>
      <c r="AG216" s="64" t="str">
        <f>IF($B216="","",(COUNTIFS(Rships!$C$2:$C$9990,$A216,Rships!$D$2:$D$9990,6)))</f>
        <v/>
      </c>
      <c r="AH216" s="64" t="str">
        <f>IF($B216="","",(COUNTIFS(Rships!$C$2:$C$9990,$A216,Rships!$D$2:$D$9990,7)))</f>
        <v/>
      </c>
    </row>
    <row r="217" spans="1:34">
      <c r="A217" s="1" t="s">
        <v>469</v>
      </c>
      <c r="C217" s="11" t="s">
        <v>19</v>
      </c>
      <c r="D217" s="11" t="s">
        <v>21</v>
      </c>
      <c r="F217" s="15"/>
      <c r="G217" s="15"/>
      <c r="I217" s="17"/>
      <c r="O217" s="11" t="s">
        <v>27</v>
      </c>
      <c r="Y217" s="64">
        <f t="shared" si="6"/>
        <v>0</v>
      </c>
      <c r="AA217" s="64">
        <f t="shared" si="7"/>
        <v>0</v>
      </c>
      <c r="AB217" s="64" t="str">
        <f>IF($B217="","",(COUNTIFS(Rships!$C$2:$C$9990,$A217,Rships!$D$2:$D$9990,1)))</f>
        <v/>
      </c>
      <c r="AC217" s="64" t="str">
        <f>IF($B217="","",(COUNTIFS(Rships!$C$2:$C$9990,$A217,Rships!$D$2:$D$9990,2)))</f>
        <v/>
      </c>
      <c r="AD217" s="64" t="str">
        <f>IF($B217="","",(COUNTIFS(Rships!$C$2:$C$9990,$A217,Rships!$D$2:$D$9990,3)))</f>
        <v/>
      </c>
      <c r="AE217" s="64" t="str">
        <f>IF($B217="","",(COUNTIFS(Rships!$C$2:$C$9990,$A217,Rships!$D$2:$D$9990,4)))</f>
        <v/>
      </c>
      <c r="AF217" s="64" t="str">
        <f>IF($B217="","",(COUNTIFS(Rships!$C$2:$C$9990,$A217,Rships!$D$2:$D$9990,5)))</f>
        <v/>
      </c>
      <c r="AG217" s="64" t="str">
        <f>IF($B217="","",(COUNTIFS(Rships!$C$2:$C$9990,$A217,Rships!$D$2:$D$9990,6)))</f>
        <v/>
      </c>
      <c r="AH217" s="64" t="str">
        <f>IF($B217="","",(COUNTIFS(Rships!$C$2:$C$9990,$A217,Rships!$D$2:$D$9990,7)))</f>
        <v/>
      </c>
    </row>
    <row r="218" spans="1:34">
      <c r="A218" s="1" t="s">
        <v>470</v>
      </c>
      <c r="C218" s="11" t="s">
        <v>19</v>
      </c>
      <c r="D218" s="11" t="s">
        <v>21</v>
      </c>
      <c r="F218" s="15"/>
      <c r="G218" s="15"/>
      <c r="I218" s="17"/>
      <c r="O218" s="11" t="s">
        <v>27</v>
      </c>
      <c r="Y218" s="64">
        <f t="shared" si="6"/>
        <v>0</v>
      </c>
      <c r="AA218" s="64">
        <f t="shared" si="7"/>
        <v>0</v>
      </c>
      <c r="AB218" s="64" t="str">
        <f>IF($B218="","",(COUNTIFS(Rships!$C$2:$C$9990,$A218,Rships!$D$2:$D$9990,1)))</f>
        <v/>
      </c>
      <c r="AC218" s="64" t="str">
        <f>IF($B218="","",(COUNTIFS(Rships!$C$2:$C$9990,$A218,Rships!$D$2:$D$9990,2)))</f>
        <v/>
      </c>
      <c r="AD218" s="64" t="str">
        <f>IF($B218="","",(COUNTIFS(Rships!$C$2:$C$9990,$A218,Rships!$D$2:$D$9990,3)))</f>
        <v/>
      </c>
      <c r="AE218" s="64" t="str">
        <f>IF($B218="","",(COUNTIFS(Rships!$C$2:$C$9990,$A218,Rships!$D$2:$D$9990,4)))</f>
        <v/>
      </c>
      <c r="AF218" s="64" t="str">
        <f>IF($B218="","",(COUNTIFS(Rships!$C$2:$C$9990,$A218,Rships!$D$2:$D$9990,5)))</f>
        <v/>
      </c>
      <c r="AG218" s="64" t="str">
        <f>IF($B218="","",(COUNTIFS(Rships!$C$2:$C$9990,$A218,Rships!$D$2:$D$9990,6)))</f>
        <v/>
      </c>
      <c r="AH218" s="64" t="str">
        <f>IF($B218="","",(COUNTIFS(Rships!$C$2:$C$9990,$A218,Rships!$D$2:$D$9990,7)))</f>
        <v/>
      </c>
    </row>
    <row r="219" spans="1:34">
      <c r="A219" s="1" t="s">
        <v>471</v>
      </c>
      <c r="C219" s="11" t="s">
        <v>19</v>
      </c>
      <c r="D219" s="11" t="s">
        <v>21</v>
      </c>
      <c r="F219" s="15"/>
      <c r="G219" s="15"/>
      <c r="I219" s="17"/>
      <c r="O219" s="11" t="s">
        <v>27</v>
      </c>
      <c r="Y219" s="64">
        <f t="shared" si="6"/>
        <v>0</v>
      </c>
      <c r="AA219" s="64">
        <f t="shared" si="7"/>
        <v>0</v>
      </c>
      <c r="AB219" s="64" t="str">
        <f>IF($B219="","",(COUNTIFS(Rships!$C$2:$C$9990,$A219,Rships!$D$2:$D$9990,1)))</f>
        <v/>
      </c>
      <c r="AC219" s="64" t="str">
        <f>IF($B219="","",(COUNTIFS(Rships!$C$2:$C$9990,$A219,Rships!$D$2:$D$9990,2)))</f>
        <v/>
      </c>
      <c r="AD219" s="64" t="str">
        <f>IF($B219="","",(COUNTIFS(Rships!$C$2:$C$9990,$A219,Rships!$D$2:$D$9990,3)))</f>
        <v/>
      </c>
      <c r="AE219" s="64" t="str">
        <f>IF($B219="","",(COUNTIFS(Rships!$C$2:$C$9990,$A219,Rships!$D$2:$D$9990,4)))</f>
        <v/>
      </c>
      <c r="AF219" s="64" t="str">
        <f>IF($B219="","",(COUNTIFS(Rships!$C$2:$C$9990,$A219,Rships!$D$2:$D$9990,5)))</f>
        <v/>
      </c>
      <c r="AG219" s="64" t="str">
        <f>IF($B219="","",(COUNTIFS(Rships!$C$2:$C$9990,$A219,Rships!$D$2:$D$9990,6)))</f>
        <v/>
      </c>
      <c r="AH219" s="64" t="str">
        <f>IF($B219="","",(COUNTIFS(Rships!$C$2:$C$9990,$A219,Rships!$D$2:$D$9990,7)))</f>
        <v/>
      </c>
    </row>
    <row r="220" spans="1:34">
      <c r="A220" s="1" t="s">
        <v>472</v>
      </c>
      <c r="C220" s="11" t="s">
        <v>19</v>
      </c>
      <c r="D220" s="11" t="s">
        <v>21</v>
      </c>
      <c r="F220" s="15"/>
      <c r="G220" s="15"/>
      <c r="I220" s="17"/>
      <c r="O220" s="11" t="s">
        <v>27</v>
      </c>
      <c r="Y220" s="64">
        <f t="shared" si="6"/>
        <v>0</v>
      </c>
      <c r="AA220" s="64">
        <f t="shared" si="7"/>
        <v>0</v>
      </c>
      <c r="AB220" s="64" t="str">
        <f>IF($B220="","",(COUNTIFS(Rships!$C$2:$C$9990,$A220,Rships!$D$2:$D$9990,1)))</f>
        <v/>
      </c>
      <c r="AC220" s="64" t="str">
        <f>IF($B220="","",(COUNTIFS(Rships!$C$2:$C$9990,$A220,Rships!$D$2:$D$9990,2)))</f>
        <v/>
      </c>
      <c r="AD220" s="64" t="str">
        <f>IF($B220="","",(COUNTIFS(Rships!$C$2:$C$9990,$A220,Rships!$D$2:$D$9990,3)))</f>
        <v/>
      </c>
      <c r="AE220" s="64" t="str">
        <f>IF($B220="","",(COUNTIFS(Rships!$C$2:$C$9990,$A220,Rships!$D$2:$D$9990,4)))</f>
        <v/>
      </c>
      <c r="AF220" s="64" t="str">
        <f>IF($B220="","",(COUNTIFS(Rships!$C$2:$C$9990,$A220,Rships!$D$2:$D$9990,5)))</f>
        <v/>
      </c>
      <c r="AG220" s="64" t="str">
        <f>IF($B220="","",(COUNTIFS(Rships!$C$2:$C$9990,$A220,Rships!$D$2:$D$9990,6)))</f>
        <v/>
      </c>
      <c r="AH220" s="64" t="str">
        <f>IF($B220="","",(COUNTIFS(Rships!$C$2:$C$9990,$A220,Rships!$D$2:$D$9990,7)))</f>
        <v/>
      </c>
    </row>
    <row r="221" spans="1:34">
      <c r="A221" s="1" t="s">
        <v>473</v>
      </c>
      <c r="C221" s="11" t="s">
        <v>19</v>
      </c>
      <c r="D221" s="11" t="s">
        <v>21</v>
      </c>
      <c r="F221" s="15"/>
      <c r="G221" s="15"/>
      <c r="I221" s="17"/>
      <c r="O221" s="11" t="s">
        <v>27</v>
      </c>
      <c r="Y221" s="64">
        <f t="shared" si="6"/>
        <v>0</v>
      </c>
      <c r="AA221" s="64">
        <f t="shared" si="7"/>
        <v>0</v>
      </c>
      <c r="AB221" s="64" t="str">
        <f>IF($B221="","",(COUNTIFS(Rships!$C$2:$C$9990,$A221,Rships!$D$2:$D$9990,1)))</f>
        <v/>
      </c>
      <c r="AC221" s="64" t="str">
        <f>IF($B221="","",(COUNTIFS(Rships!$C$2:$C$9990,$A221,Rships!$D$2:$D$9990,2)))</f>
        <v/>
      </c>
      <c r="AD221" s="64" t="str">
        <f>IF($B221="","",(COUNTIFS(Rships!$C$2:$C$9990,$A221,Rships!$D$2:$D$9990,3)))</f>
        <v/>
      </c>
      <c r="AE221" s="64" t="str">
        <f>IF($B221="","",(COUNTIFS(Rships!$C$2:$C$9990,$A221,Rships!$D$2:$D$9990,4)))</f>
        <v/>
      </c>
      <c r="AF221" s="64" t="str">
        <f>IF($B221="","",(COUNTIFS(Rships!$C$2:$C$9990,$A221,Rships!$D$2:$D$9990,5)))</f>
        <v/>
      </c>
      <c r="AG221" s="64" t="str">
        <f>IF($B221="","",(COUNTIFS(Rships!$C$2:$C$9990,$A221,Rships!$D$2:$D$9990,6)))</f>
        <v/>
      </c>
      <c r="AH221" s="64" t="str">
        <f>IF($B221="","",(COUNTIFS(Rships!$C$2:$C$9990,$A221,Rships!$D$2:$D$9990,7)))</f>
        <v/>
      </c>
    </row>
    <row r="222" spans="1:34">
      <c r="A222" s="1" t="s">
        <v>474</v>
      </c>
      <c r="C222" s="11" t="s">
        <v>19</v>
      </c>
      <c r="D222" s="11" t="s">
        <v>21</v>
      </c>
      <c r="F222" s="15"/>
      <c r="G222" s="15"/>
      <c r="I222" s="17"/>
      <c r="O222" s="11" t="s">
        <v>27</v>
      </c>
      <c r="Y222" s="64">
        <f t="shared" si="6"/>
        <v>0</v>
      </c>
      <c r="AA222" s="64">
        <f t="shared" si="7"/>
        <v>0</v>
      </c>
      <c r="AB222" s="64" t="str">
        <f>IF($B222="","",(COUNTIFS(Rships!$C$2:$C$9990,$A222,Rships!$D$2:$D$9990,1)))</f>
        <v/>
      </c>
      <c r="AC222" s="64" t="str">
        <f>IF($B222="","",(COUNTIFS(Rships!$C$2:$C$9990,$A222,Rships!$D$2:$D$9990,2)))</f>
        <v/>
      </c>
      <c r="AD222" s="64" t="str">
        <f>IF($B222="","",(COUNTIFS(Rships!$C$2:$C$9990,$A222,Rships!$D$2:$D$9990,3)))</f>
        <v/>
      </c>
      <c r="AE222" s="64" t="str">
        <f>IF($B222="","",(COUNTIFS(Rships!$C$2:$C$9990,$A222,Rships!$D$2:$D$9990,4)))</f>
        <v/>
      </c>
      <c r="AF222" s="64" t="str">
        <f>IF($B222="","",(COUNTIFS(Rships!$C$2:$C$9990,$A222,Rships!$D$2:$D$9990,5)))</f>
        <v/>
      </c>
      <c r="AG222" s="64" t="str">
        <f>IF($B222="","",(COUNTIFS(Rships!$C$2:$C$9990,$A222,Rships!$D$2:$D$9990,6)))</f>
        <v/>
      </c>
      <c r="AH222" s="64" t="str">
        <f>IF($B222="","",(COUNTIFS(Rships!$C$2:$C$9990,$A222,Rships!$D$2:$D$9990,7)))</f>
        <v/>
      </c>
    </row>
    <row r="223" spans="1:34">
      <c r="A223" s="1" t="s">
        <v>475</v>
      </c>
      <c r="C223" s="11" t="s">
        <v>19</v>
      </c>
      <c r="D223" s="11" t="s">
        <v>21</v>
      </c>
      <c r="F223" s="15"/>
      <c r="G223" s="15"/>
      <c r="I223" s="17"/>
      <c r="O223" s="11" t="s">
        <v>27</v>
      </c>
      <c r="Y223" s="64">
        <f t="shared" si="6"/>
        <v>0</v>
      </c>
      <c r="AA223" s="64">
        <f t="shared" si="7"/>
        <v>0</v>
      </c>
      <c r="AB223" s="64" t="str">
        <f>IF($B223="","",(COUNTIFS(Rships!$C$2:$C$9990,$A223,Rships!$D$2:$D$9990,1)))</f>
        <v/>
      </c>
      <c r="AC223" s="64" t="str">
        <f>IF($B223="","",(COUNTIFS(Rships!$C$2:$C$9990,$A223,Rships!$D$2:$D$9990,2)))</f>
        <v/>
      </c>
      <c r="AD223" s="64" t="str">
        <f>IF($B223="","",(COUNTIFS(Rships!$C$2:$C$9990,$A223,Rships!$D$2:$D$9990,3)))</f>
        <v/>
      </c>
      <c r="AE223" s="64" t="str">
        <f>IF($B223="","",(COUNTIFS(Rships!$C$2:$C$9990,$A223,Rships!$D$2:$D$9990,4)))</f>
        <v/>
      </c>
      <c r="AF223" s="64" t="str">
        <f>IF($B223="","",(COUNTIFS(Rships!$C$2:$C$9990,$A223,Rships!$D$2:$D$9990,5)))</f>
        <v/>
      </c>
      <c r="AG223" s="64" t="str">
        <f>IF($B223="","",(COUNTIFS(Rships!$C$2:$C$9990,$A223,Rships!$D$2:$D$9990,6)))</f>
        <v/>
      </c>
      <c r="AH223" s="64" t="str">
        <f>IF($B223="","",(COUNTIFS(Rships!$C$2:$C$9990,$A223,Rships!$D$2:$D$9990,7)))</f>
        <v/>
      </c>
    </row>
    <row r="224" spans="1:34">
      <c r="A224" s="1" t="s">
        <v>476</v>
      </c>
      <c r="C224" s="11" t="s">
        <v>19</v>
      </c>
      <c r="D224" s="11" t="s">
        <v>21</v>
      </c>
      <c r="F224" s="15"/>
      <c r="G224" s="15"/>
      <c r="I224" s="17"/>
      <c r="O224" s="11" t="s">
        <v>27</v>
      </c>
      <c r="Y224" s="64">
        <f t="shared" si="6"/>
        <v>0</v>
      </c>
      <c r="AA224" s="64">
        <f t="shared" si="7"/>
        <v>0</v>
      </c>
      <c r="AB224" s="64" t="str">
        <f>IF($B224="","",(COUNTIFS(Rships!$C$2:$C$9990,$A224,Rships!$D$2:$D$9990,1)))</f>
        <v/>
      </c>
      <c r="AC224" s="64" t="str">
        <f>IF($B224="","",(COUNTIFS(Rships!$C$2:$C$9990,$A224,Rships!$D$2:$D$9990,2)))</f>
        <v/>
      </c>
      <c r="AD224" s="64" t="str">
        <f>IF($B224="","",(COUNTIFS(Rships!$C$2:$C$9990,$A224,Rships!$D$2:$D$9990,3)))</f>
        <v/>
      </c>
      <c r="AE224" s="64" t="str">
        <f>IF($B224="","",(COUNTIFS(Rships!$C$2:$C$9990,$A224,Rships!$D$2:$D$9990,4)))</f>
        <v/>
      </c>
      <c r="AF224" s="64" t="str">
        <f>IF($B224="","",(COUNTIFS(Rships!$C$2:$C$9990,$A224,Rships!$D$2:$D$9990,5)))</f>
        <v/>
      </c>
      <c r="AG224" s="64" t="str">
        <f>IF($B224="","",(COUNTIFS(Rships!$C$2:$C$9990,$A224,Rships!$D$2:$D$9990,6)))</f>
        <v/>
      </c>
      <c r="AH224" s="64" t="str">
        <f>IF($B224="","",(COUNTIFS(Rships!$C$2:$C$9990,$A224,Rships!$D$2:$D$9990,7)))</f>
        <v/>
      </c>
    </row>
    <row r="225" spans="1:34">
      <c r="A225" s="1" t="s">
        <v>477</v>
      </c>
      <c r="C225" s="11" t="s">
        <v>19</v>
      </c>
      <c r="D225" s="11" t="s">
        <v>21</v>
      </c>
      <c r="F225" s="15"/>
      <c r="G225" s="15"/>
      <c r="I225" s="17"/>
      <c r="O225" s="11" t="s">
        <v>27</v>
      </c>
      <c r="Y225" s="64">
        <f t="shared" si="6"/>
        <v>0</v>
      </c>
      <c r="AA225" s="64">
        <f t="shared" si="7"/>
        <v>0</v>
      </c>
      <c r="AB225" s="64" t="str">
        <f>IF($B225="","",(COUNTIFS(Rships!$C$2:$C$9990,$A225,Rships!$D$2:$D$9990,1)))</f>
        <v/>
      </c>
      <c r="AC225" s="64" t="str">
        <f>IF($B225="","",(COUNTIFS(Rships!$C$2:$C$9990,$A225,Rships!$D$2:$D$9990,2)))</f>
        <v/>
      </c>
      <c r="AD225" s="64" t="str">
        <f>IF($B225="","",(COUNTIFS(Rships!$C$2:$C$9990,$A225,Rships!$D$2:$D$9990,3)))</f>
        <v/>
      </c>
      <c r="AE225" s="64" t="str">
        <f>IF($B225="","",(COUNTIFS(Rships!$C$2:$C$9990,$A225,Rships!$D$2:$D$9990,4)))</f>
        <v/>
      </c>
      <c r="AF225" s="64" t="str">
        <f>IF($B225="","",(COUNTIFS(Rships!$C$2:$C$9990,$A225,Rships!$D$2:$D$9990,5)))</f>
        <v/>
      </c>
      <c r="AG225" s="64" t="str">
        <f>IF($B225="","",(COUNTIFS(Rships!$C$2:$C$9990,$A225,Rships!$D$2:$D$9990,6)))</f>
        <v/>
      </c>
      <c r="AH225" s="64" t="str">
        <f>IF($B225="","",(COUNTIFS(Rships!$C$2:$C$9990,$A225,Rships!$D$2:$D$9990,7)))</f>
        <v/>
      </c>
    </row>
    <row r="226" spans="1:34">
      <c r="A226" s="1" t="s">
        <v>478</v>
      </c>
      <c r="C226" s="11" t="s">
        <v>19</v>
      </c>
      <c r="D226" s="11" t="s">
        <v>21</v>
      </c>
      <c r="F226" s="15"/>
      <c r="G226" s="15"/>
      <c r="I226" s="17"/>
      <c r="O226" s="11" t="s">
        <v>27</v>
      </c>
      <c r="Y226" s="64">
        <f t="shared" si="6"/>
        <v>0</v>
      </c>
      <c r="AA226" s="64">
        <f t="shared" si="7"/>
        <v>0</v>
      </c>
      <c r="AB226" s="64" t="str">
        <f>IF($B226="","",(COUNTIFS(Rships!$C$2:$C$9990,$A226,Rships!$D$2:$D$9990,1)))</f>
        <v/>
      </c>
      <c r="AC226" s="64" t="str">
        <f>IF($B226="","",(COUNTIFS(Rships!$C$2:$C$9990,$A226,Rships!$D$2:$D$9990,2)))</f>
        <v/>
      </c>
      <c r="AD226" s="64" t="str">
        <f>IF($B226="","",(COUNTIFS(Rships!$C$2:$C$9990,$A226,Rships!$D$2:$D$9990,3)))</f>
        <v/>
      </c>
      <c r="AE226" s="64" t="str">
        <f>IF($B226="","",(COUNTIFS(Rships!$C$2:$C$9990,$A226,Rships!$D$2:$D$9990,4)))</f>
        <v/>
      </c>
      <c r="AF226" s="64" t="str">
        <f>IF($B226="","",(COUNTIFS(Rships!$C$2:$C$9990,$A226,Rships!$D$2:$D$9990,5)))</f>
        <v/>
      </c>
      <c r="AG226" s="64" t="str">
        <f>IF($B226="","",(COUNTIFS(Rships!$C$2:$C$9990,$A226,Rships!$D$2:$D$9990,6)))</f>
        <v/>
      </c>
      <c r="AH226" s="64" t="str">
        <f>IF($B226="","",(COUNTIFS(Rships!$C$2:$C$9990,$A226,Rships!$D$2:$D$9990,7)))</f>
        <v/>
      </c>
    </row>
    <row r="227" spans="1:34">
      <c r="A227" s="1" t="s">
        <v>479</v>
      </c>
      <c r="C227" s="11" t="s">
        <v>19</v>
      </c>
      <c r="D227" s="11" t="s">
        <v>21</v>
      </c>
      <c r="F227" s="15"/>
      <c r="G227" s="15"/>
      <c r="I227" s="17"/>
      <c r="O227" s="11" t="s">
        <v>27</v>
      </c>
      <c r="Y227" s="64">
        <f t="shared" si="6"/>
        <v>0</v>
      </c>
      <c r="AA227" s="64">
        <f t="shared" si="7"/>
        <v>0</v>
      </c>
      <c r="AB227" s="64" t="str">
        <f>IF($B227="","",(COUNTIFS(Rships!$C$2:$C$9990,$A227,Rships!$D$2:$D$9990,1)))</f>
        <v/>
      </c>
      <c r="AC227" s="64" t="str">
        <f>IF($B227="","",(COUNTIFS(Rships!$C$2:$C$9990,$A227,Rships!$D$2:$D$9990,2)))</f>
        <v/>
      </c>
      <c r="AD227" s="64" t="str">
        <f>IF($B227="","",(COUNTIFS(Rships!$C$2:$C$9990,$A227,Rships!$D$2:$D$9990,3)))</f>
        <v/>
      </c>
      <c r="AE227" s="64" t="str">
        <f>IF($B227="","",(COUNTIFS(Rships!$C$2:$C$9990,$A227,Rships!$D$2:$D$9990,4)))</f>
        <v/>
      </c>
      <c r="AF227" s="64" t="str">
        <f>IF($B227="","",(COUNTIFS(Rships!$C$2:$C$9990,$A227,Rships!$D$2:$D$9990,5)))</f>
        <v/>
      </c>
      <c r="AG227" s="64" t="str">
        <f>IF($B227="","",(COUNTIFS(Rships!$C$2:$C$9990,$A227,Rships!$D$2:$D$9990,6)))</f>
        <v/>
      </c>
      <c r="AH227" s="64" t="str">
        <f>IF($B227="","",(COUNTIFS(Rships!$C$2:$C$9990,$A227,Rships!$D$2:$D$9990,7)))</f>
        <v/>
      </c>
    </row>
    <row r="228" spans="1:34">
      <c r="A228" s="1" t="s">
        <v>480</v>
      </c>
      <c r="C228" s="11" t="s">
        <v>19</v>
      </c>
      <c r="D228" s="11" t="s">
        <v>21</v>
      </c>
      <c r="F228" s="15"/>
      <c r="G228" s="15"/>
      <c r="I228" s="17"/>
      <c r="O228" s="11" t="s">
        <v>27</v>
      </c>
      <c r="Y228" s="64">
        <f t="shared" si="6"/>
        <v>0</v>
      </c>
      <c r="AA228" s="64">
        <f t="shared" si="7"/>
        <v>0</v>
      </c>
      <c r="AB228" s="64" t="str">
        <f>IF($B228="","",(COUNTIFS(Rships!$C$2:$C$9990,$A228,Rships!$D$2:$D$9990,1)))</f>
        <v/>
      </c>
      <c r="AC228" s="64" t="str">
        <f>IF($B228="","",(COUNTIFS(Rships!$C$2:$C$9990,$A228,Rships!$D$2:$D$9990,2)))</f>
        <v/>
      </c>
      <c r="AD228" s="64" t="str">
        <f>IF($B228="","",(COUNTIFS(Rships!$C$2:$C$9990,$A228,Rships!$D$2:$D$9990,3)))</f>
        <v/>
      </c>
      <c r="AE228" s="64" t="str">
        <f>IF($B228="","",(COUNTIFS(Rships!$C$2:$C$9990,$A228,Rships!$D$2:$D$9990,4)))</f>
        <v/>
      </c>
      <c r="AF228" s="64" t="str">
        <f>IF($B228="","",(COUNTIFS(Rships!$C$2:$C$9990,$A228,Rships!$D$2:$D$9990,5)))</f>
        <v/>
      </c>
      <c r="AG228" s="64" t="str">
        <f>IF($B228="","",(COUNTIFS(Rships!$C$2:$C$9990,$A228,Rships!$D$2:$D$9990,6)))</f>
        <v/>
      </c>
      <c r="AH228" s="64" t="str">
        <f>IF($B228="","",(COUNTIFS(Rships!$C$2:$C$9990,$A228,Rships!$D$2:$D$9990,7)))</f>
        <v/>
      </c>
    </row>
    <row r="229" spans="1:34">
      <c r="A229" s="1" t="s">
        <v>481</v>
      </c>
      <c r="C229" s="11" t="s">
        <v>19</v>
      </c>
      <c r="D229" s="11" t="s">
        <v>21</v>
      </c>
      <c r="F229" s="15"/>
      <c r="G229" s="15"/>
      <c r="I229" s="17"/>
      <c r="O229" s="11" t="s">
        <v>27</v>
      </c>
      <c r="Y229" s="64">
        <f t="shared" si="6"/>
        <v>0</v>
      </c>
      <c r="AA229" s="64">
        <f t="shared" si="7"/>
        <v>0</v>
      </c>
      <c r="AB229" s="64" t="str">
        <f>IF($B229="","",(COUNTIFS(Rships!$C$2:$C$9990,$A229,Rships!$D$2:$D$9990,1)))</f>
        <v/>
      </c>
      <c r="AC229" s="64" t="str">
        <f>IF($B229="","",(COUNTIFS(Rships!$C$2:$C$9990,$A229,Rships!$D$2:$D$9990,2)))</f>
        <v/>
      </c>
      <c r="AD229" s="64" t="str">
        <f>IF($B229="","",(COUNTIFS(Rships!$C$2:$C$9990,$A229,Rships!$D$2:$D$9990,3)))</f>
        <v/>
      </c>
      <c r="AE229" s="64" t="str">
        <f>IF($B229="","",(COUNTIFS(Rships!$C$2:$C$9990,$A229,Rships!$D$2:$D$9990,4)))</f>
        <v/>
      </c>
      <c r="AF229" s="64" t="str">
        <f>IF($B229="","",(COUNTIFS(Rships!$C$2:$C$9990,$A229,Rships!$D$2:$D$9990,5)))</f>
        <v/>
      </c>
      <c r="AG229" s="64" t="str">
        <f>IF($B229="","",(COUNTIFS(Rships!$C$2:$C$9990,$A229,Rships!$D$2:$D$9990,6)))</f>
        <v/>
      </c>
      <c r="AH229" s="64" t="str">
        <f>IF($B229="","",(COUNTIFS(Rships!$C$2:$C$9990,$A229,Rships!$D$2:$D$9990,7)))</f>
        <v/>
      </c>
    </row>
    <row r="230" spans="1:34">
      <c r="A230" s="1" t="s">
        <v>482</v>
      </c>
      <c r="C230" s="11" t="s">
        <v>19</v>
      </c>
      <c r="D230" s="11" t="s">
        <v>21</v>
      </c>
      <c r="F230" s="15"/>
      <c r="G230" s="15"/>
      <c r="I230" s="17"/>
      <c r="O230" s="11" t="s">
        <v>27</v>
      </c>
      <c r="Y230" s="64">
        <f t="shared" si="6"/>
        <v>0</v>
      </c>
      <c r="AA230" s="64">
        <f t="shared" si="7"/>
        <v>0</v>
      </c>
      <c r="AB230" s="64" t="str">
        <f>IF($B230="","",(COUNTIFS(Rships!$C$2:$C$9990,$A230,Rships!$D$2:$D$9990,1)))</f>
        <v/>
      </c>
      <c r="AC230" s="64" t="str">
        <f>IF($B230="","",(COUNTIFS(Rships!$C$2:$C$9990,$A230,Rships!$D$2:$D$9990,2)))</f>
        <v/>
      </c>
      <c r="AD230" s="64" t="str">
        <f>IF($B230="","",(COUNTIFS(Rships!$C$2:$C$9990,$A230,Rships!$D$2:$D$9990,3)))</f>
        <v/>
      </c>
      <c r="AE230" s="64" t="str">
        <f>IF($B230="","",(COUNTIFS(Rships!$C$2:$C$9990,$A230,Rships!$D$2:$D$9990,4)))</f>
        <v/>
      </c>
      <c r="AF230" s="64" t="str">
        <f>IF($B230="","",(COUNTIFS(Rships!$C$2:$C$9990,$A230,Rships!$D$2:$D$9990,5)))</f>
        <v/>
      </c>
      <c r="AG230" s="64" t="str">
        <f>IF($B230="","",(COUNTIFS(Rships!$C$2:$C$9990,$A230,Rships!$D$2:$D$9990,6)))</f>
        <v/>
      </c>
      <c r="AH230" s="64" t="str">
        <f>IF($B230="","",(COUNTIFS(Rships!$C$2:$C$9990,$A230,Rships!$D$2:$D$9990,7)))</f>
        <v/>
      </c>
    </row>
    <row r="231" spans="1:34">
      <c r="A231" s="1" t="s">
        <v>483</v>
      </c>
      <c r="C231" s="11" t="s">
        <v>19</v>
      </c>
      <c r="D231" s="11" t="s">
        <v>21</v>
      </c>
      <c r="F231" s="15"/>
      <c r="G231" s="15"/>
      <c r="I231" s="17"/>
      <c r="O231" s="11" t="s">
        <v>27</v>
      </c>
      <c r="Y231" s="64">
        <f t="shared" si="6"/>
        <v>0</v>
      </c>
      <c r="AA231" s="64">
        <f t="shared" si="7"/>
        <v>0</v>
      </c>
      <c r="AB231" s="64" t="str">
        <f>IF($B231="","",(COUNTIFS(Rships!$C$2:$C$9990,$A231,Rships!$D$2:$D$9990,1)))</f>
        <v/>
      </c>
      <c r="AC231" s="64" t="str">
        <f>IF($B231="","",(COUNTIFS(Rships!$C$2:$C$9990,$A231,Rships!$D$2:$D$9990,2)))</f>
        <v/>
      </c>
      <c r="AD231" s="64" t="str">
        <f>IF($B231="","",(COUNTIFS(Rships!$C$2:$C$9990,$A231,Rships!$D$2:$D$9990,3)))</f>
        <v/>
      </c>
      <c r="AE231" s="64" t="str">
        <f>IF($B231="","",(COUNTIFS(Rships!$C$2:$C$9990,$A231,Rships!$D$2:$D$9990,4)))</f>
        <v/>
      </c>
      <c r="AF231" s="64" t="str">
        <f>IF($B231="","",(COUNTIFS(Rships!$C$2:$C$9990,$A231,Rships!$D$2:$D$9990,5)))</f>
        <v/>
      </c>
      <c r="AG231" s="64" t="str">
        <f>IF($B231="","",(COUNTIFS(Rships!$C$2:$C$9990,$A231,Rships!$D$2:$D$9990,6)))</f>
        <v/>
      </c>
      <c r="AH231" s="64" t="str">
        <f>IF($B231="","",(COUNTIFS(Rships!$C$2:$C$9990,$A231,Rships!$D$2:$D$9990,7)))</f>
        <v/>
      </c>
    </row>
    <row r="232" spans="1:34" ht="15">
      <c r="A232" s="1" t="s">
        <v>484</v>
      </c>
      <c r="B232" s="13" t="s">
        <v>917</v>
      </c>
      <c r="C232" s="11" t="s">
        <v>19</v>
      </c>
      <c r="D232" s="11" t="s">
        <v>22</v>
      </c>
      <c r="E232" s="11" t="s">
        <v>1446</v>
      </c>
      <c r="F232" s="15" t="s">
        <v>1447</v>
      </c>
      <c r="G232" s="15" t="s">
        <v>1448</v>
      </c>
      <c r="H232" s="16">
        <v>5308160044089</v>
      </c>
      <c r="I232" s="17">
        <v>723497955</v>
      </c>
      <c r="J232" s="82" t="s">
        <v>1449</v>
      </c>
      <c r="K232" s="11" t="s">
        <v>1450</v>
      </c>
      <c r="L232" s="16">
        <v>9300</v>
      </c>
      <c r="M232" s="11" t="s">
        <v>1451</v>
      </c>
      <c r="N232" s="16">
        <v>9300</v>
      </c>
      <c r="O232" s="11" t="s">
        <v>26</v>
      </c>
      <c r="Q232" s="11" t="s">
        <v>164</v>
      </c>
      <c r="R232" s="11" t="s">
        <v>238</v>
      </c>
      <c r="S232" s="11" t="s">
        <v>123</v>
      </c>
      <c r="T232" s="11" t="s">
        <v>1452</v>
      </c>
      <c r="U232" s="16">
        <v>1281261058</v>
      </c>
      <c r="V232" s="11" t="s">
        <v>31</v>
      </c>
      <c r="W232" s="26">
        <v>41613</v>
      </c>
      <c r="X232" s="46">
        <v>41612</v>
      </c>
      <c r="Y232" s="64">
        <f t="shared" si="6"/>
        <v>0</v>
      </c>
      <c r="Z232" s="11" t="s">
        <v>123</v>
      </c>
      <c r="AA232" s="64">
        <f t="shared" si="7"/>
        <v>3</v>
      </c>
      <c r="AB232" s="64">
        <f>IF($B232="","",(COUNTIFS(Rships!$C$2:$C$9990,$A232,Rships!$D$2:$D$9990,1)))</f>
        <v>2</v>
      </c>
      <c r="AC232" s="64">
        <f>IF($B232="","",(COUNTIFS(Rships!$C$2:$C$9990,$A232,Rships!$D$2:$D$9990,2)))</f>
        <v>1</v>
      </c>
      <c r="AD232" s="64">
        <f>IF($B232="","",(COUNTIFS(Rships!$C$2:$C$9990,$A232,Rships!$D$2:$D$9990,3)))</f>
        <v>0</v>
      </c>
      <c r="AE232" s="64">
        <f>IF($B232="","",(COUNTIFS(Rships!$C$2:$C$9990,$A232,Rships!$D$2:$D$9990,4)))</f>
        <v>0</v>
      </c>
      <c r="AF232" s="64">
        <f>IF($B232="","",(COUNTIFS(Rships!$C$2:$C$9990,$A232,Rships!$D$2:$D$9990,5)))</f>
        <v>0</v>
      </c>
      <c r="AG232" s="64">
        <f>IF($B232="","",(COUNTIFS(Rships!$C$2:$C$9990,$A232,Rships!$D$2:$D$9990,6)))</f>
        <v>0</v>
      </c>
      <c r="AH232" s="64">
        <f>IF($B232="","",(COUNTIFS(Rships!$C$2:$C$9990,$A232,Rships!$D$2:$D$9990,7)))</f>
        <v>0</v>
      </c>
    </row>
    <row r="233" spans="1:34">
      <c r="A233" s="1" t="s">
        <v>485</v>
      </c>
      <c r="C233" s="11" t="s">
        <v>19</v>
      </c>
      <c r="D233" s="11" t="s">
        <v>21</v>
      </c>
      <c r="F233" s="15"/>
      <c r="G233" s="15"/>
      <c r="I233" s="17"/>
      <c r="O233" s="11" t="s">
        <v>27</v>
      </c>
      <c r="Y233" s="64">
        <f t="shared" si="6"/>
        <v>0</v>
      </c>
      <c r="AA233" s="64">
        <f t="shared" si="7"/>
        <v>0</v>
      </c>
      <c r="AB233" s="64" t="str">
        <f>IF($B233="","",(COUNTIFS(Rships!$C$2:$C$9990,$A233,Rships!$D$2:$D$9990,1)))</f>
        <v/>
      </c>
      <c r="AC233" s="64" t="str">
        <f>IF($B233="","",(COUNTIFS(Rships!$C$2:$C$9990,$A233,Rships!$D$2:$D$9990,2)))</f>
        <v/>
      </c>
      <c r="AD233" s="64" t="str">
        <f>IF($B233="","",(COUNTIFS(Rships!$C$2:$C$9990,$A233,Rships!$D$2:$D$9990,3)))</f>
        <v/>
      </c>
      <c r="AE233" s="64" t="str">
        <f>IF($B233="","",(COUNTIFS(Rships!$C$2:$C$9990,$A233,Rships!$D$2:$D$9990,4)))</f>
        <v/>
      </c>
      <c r="AF233" s="64" t="str">
        <f>IF($B233="","",(COUNTIFS(Rships!$C$2:$C$9990,$A233,Rships!$D$2:$D$9990,5)))</f>
        <v/>
      </c>
      <c r="AG233" s="64" t="str">
        <f>IF($B233="","",(COUNTIFS(Rships!$C$2:$C$9990,$A233,Rships!$D$2:$D$9990,6)))</f>
        <v/>
      </c>
      <c r="AH233" s="64" t="str">
        <f>IF($B233="","",(COUNTIFS(Rships!$C$2:$C$9990,$A233,Rships!$D$2:$D$9990,7)))</f>
        <v/>
      </c>
    </row>
    <row r="234" spans="1:34">
      <c r="A234" s="1" t="s">
        <v>486</v>
      </c>
      <c r="C234" s="11" t="s">
        <v>19</v>
      </c>
      <c r="D234" s="11" t="s">
        <v>21</v>
      </c>
      <c r="F234" s="15"/>
      <c r="G234" s="15"/>
      <c r="I234" s="17"/>
      <c r="O234" s="11" t="s">
        <v>27</v>
      </c>
      <c r="Y234" s="64">
        <f t="shared" si="6"/>
        <v>0</v>
      </c>
      <c r="AA234" s="64">
        <f t="shared" si="7"/>
        <v>0</v>
      </c>
      <c r="AB234" s="64" t="str">
        <f>IF($B234="","",(COUNTIFS(Rships!$C$2:$C$9990,$A234,Rships!$D$2:$D$9990,1)))</f>
        <v/>
      </c>
      <c r="AC234" s="64" t="str">
        <f>IF($B234="","",(COUNTIFS(Rships!$C$2:$C$9990,$A234,Rships!$D$2:$D$9990,2)))</f>
        <v/>
      </c>
      <c r="AD234" s="64" t="str">
        <f>IF($B234="","",(COUNTIFS(Rships!$C$2:$C$9990,$A234,Rships!$D$2:$D$9990,3)))</f>
        <v/>
      </c>
      <c r="AE234" s="64" t="str">
        <f>IF($B234="","",(COUNTIFS(Rships!$C$2:$C$9990,$A234,Rships!$D$2:$D$9990,4)))</f>
        <v/>
      </c>
      <c r="AF234" s="64" t="str">
        <f>IF($B234="","",(COUNTIFS(Rships!$C$2:$C$9990,$A234,Rships!$D$2:$D$9990,5)))</f>
        <v/>
      </c>
      <c r="AG234" s="64" t="str">
        <f>IF($B234="","",(COUNTIFS(Rships!$C$2:$C$9990,$A234,Rships!$D$2:$D$9990,6)))</f>
        <v/>
      </c>
      <c r="AH234" s="64" t="str">
        <f>IF($B234="","",(COUNTIFS(Rships!$C$2:$C$9990,$A234,Rships!$D$2:$D$9990,7)))</f>
        <v/>
      </c>
    </row>
    <row r="235" spans="1:34">
      <c r="A235" s="1" t="s">
        <v>487</v>
      </c>
      <c r="C235" s="11" t="s">
        <v>19</v>
      </c>
      <c r="D235" s="11" t="s">
        <v>21</v>
      </c>
      <c r="F235" s="15"/>
      <c r="G235" s="15"/>
      <c r="I235" s="17"/>
      <c r="O235" s="11" t="s">
        <v>27</v>
      </c>
      <c r="Y235" s="64">
        <f t="shared" si="6"/>
        <v>0</v>
      </c>
      <c r="AA235" s="64">
        <f t="shared" si="7"/>
        <v>0</v>
      </c>
      <c r="AB235" s="64" t="str">
        <f>IF($B235="","",(COUNTIFS(Rships!$C$2:$C$9990,$A235,Rships!$D$2:$D$9990,1)))</f>
        <v/>
      </c>
      <c r="AC235" s="64" t="str">
        <f>IF($B235="","",(COUNTIFS(Rships!$C$2:$C$9990,$A235,Rships!$D$2:$D$9990,2)))</f>
        <v/>
      </c>
      <c r="AD235" s="64" t="str">
        <f>IF($B235="","",(COUNTIFS(Rships!$C$2:$C$9990,$A235,Rships!$D$2:$D$9990,3)))</f>
        <v/>
      </c>
      <c r="AE235" s="64" t="str">
        <f>IF($B235="","",(COUNTIFS(Rships!$C$2:$C$9990,$A235,Rships!$D$2:$D$9990,4)))</f>
        <v/>
      </c>
      <c r="AF235" s="64" t="str">
        <f>IF($B235="","",(COUNTIFS(Rships!$C$2:$C$9990,$A235,Rships!$D$2:$D$9990,5)))</f>
        <v/>
      </c>
      <c r="AG235" s="64" t="str">
        <f>IF($B235="","",(COUNTIFS(Rships!$C$2:$C$9990,$A235,Rships!$D$2:$D$9990,6)))</f>
        <v/>
      </c>
      <c r="AH235" s="64" t="str">
        <f>IF($B235="","",(COUNTIFS(Rships!$C$2:$C$9990,$A235,Rships!$D$2:$D$9990,7)))</f>
        <v/>
      </c>
    </row>
    <row r="236" spans="1:34">
      <c r="A236" s="1" t="s">
        <v>488</v>
      </c>
      <c r="C236" s="11" t="s">
        <v>19</v>
      </c>
      <c r="D236" s="11" t="s">
        <v>21</v>
      </c>
      <c r="F236" s="15"/>
      <c r="G236" s="15"/>
      <c r="I236" s="17"/>
      <c r="O236" s="11" t="s">
        <v>27</v>
      </c>
      <c r="Y236" s="64">
        <f t="shared" si="6"/>
        <v>0</v>
      </c>
      <c r="AA236" s="64">
        <f t="shared" si="7"/>
        <v>0</v>
      </c>
      <c r="AB236" s="64" t="str">
        <f>IF($B236="","",(COUNTIFS(Rships!$C$2:$C$9990,$A236,Rships!$D$2:$D$9990,1)))</f>
        <v/>
      </c>
      <c r="AC236" s="64" t="str">
        <f>IF($B236="","",(COUNTIFS(Rships!$C$2:$C$9990,$A236,Rships!$D$2:$D$9990,2)))</f>
        <v/>
      </c>
      <c r="AD236" s="64" t="str">
        <f>IF($B236="","",(COUNTIFS(Rships!$C$2:$C$9990,$A236,Rships!$D$2:$D$9990,3)))</f>
        <v/>
      </c>
      <c r="AE236" s="64" t="str">
        <f>IF($B236="","",(COUNTIFS(Rships!$C$2:$C$9990,$A236,Rships!$D$2:$D$9990,4)))</f>
        <v/>
      </c>
      <c r="AF236" s="64" t="str">
        <f>IF($B236="","",(COUNTIFS(Rships!$C$2:$C$9990,$A236,Rships!$D$2:$D$9990,5)))</f>
        <v/>
      </c>
      <c r="AG236" s="64" t="str">
        <f>IF($B236="","",(COUNTIFS(Rships!$C$2:$C$9990,$A236,Rships!$D$2:$D$9990,6)))</f>
        <v/>
      </c>
      <c r="AH236" s="64" t="str">
        <f>IF($B236="","",(COUNTIFS(Rships!$C$2:$C$9990,$A236,Rships!$D$2:$D$9990,7)))</f>
        <v/>
      </c>
    </row>
    <row r="237" spans="1:34">
      <c r="A237" s="1" t="s">
        <v>489</v>
      </c>
      <c r="C237" s="11" t="s">
        <v>19</v>
      </c>
      <c r="D237" s="11" t="s">
        <v>21</v>
      </c>
      <c r="F237" s="15"/>
      <c r="G237" s="15"/>
      <c r="I237" s="17"/>
      <c r="O237" s="11" t="s">
        <v>27</v>
      </c>
      <c r="Y237" s="64">
        <f t="shared" si="6"/>
        <v>0</v>
      </c>
      <c r="AA237" s="64">
        <f t="shared" si="7"/>
        <v>0</v>
      </c>
      <c r="AB237" s="64" t="str">
        <f>IF($B237="","",(COUNTIFS(Rships!$C$2:$C$9990,$A237,Rships!$D$2:$D$9990,1)))</f>
        <v/>
      </c>
      <c r="AC237" s="64" t="str">
        <f>IF($B237="","",(COUNTIFS(Rships!$C$2:$C$9990,$A237,Rships!$D$2:$D$9990,2)))</f>
        <v/>
      </c>
      <c r="AD237" s="64" t="str">
        <f>IF($B237="","",(COUNTIFS(Rships!$C$2:$C$9990,$A237,Rships!$D$2:$D$9990,3)))</f>
        <v/>
      </c>
      <c r="AE237" s="64" t="str">
        <f>IF($B237="","",(COUNTIFS(Rships!$C$2:$C$9990,$A237,Rships!$D$2:$D$9990,4)))</f>
        <v/>
      </c>
      <c r="AF237" s="64" t="str">
        <f>IF($B237="","",(COUNTIFS(Rships!$C$2:$C$9990,$A237,Rships!$D$2:$D$9990,5)))</f>
        <v/>
      </c>
      <c r="AG237" s="64" t="str">
        <f>IF($B237="","",(COUNTIFS(Rships!$C$2:$C$9990,$A237,Rships!$D$2:$D$9990,6)))</f>
        <v/>
      </c>
      <c r="AH237" s="64" t="str">
        <f>IF($B237="","",(COUNTIFS(Rships!$C$2:$C$9990,$A237,Rships!$D$2:$D$9990,7)))</f>
        <v/>
      </c>
    </row>
    <row r="238" spans="1:34">
      <c r="A238" s="1" t="s">
        <v>490</v>
      </c>
      <c r="C238" s="11" t="s">
        <v>19</v>
      </c>
      <c r="D238" s="11" t="s">
        <v>21</v>
      </c>
      <c r="F238" s="15"/>
      <c r="G238" s="15"/>
      <c r="I238" s="17"/>
      <c r="O238" s="11" t="s">
        <v>27</v>
      </c>
      <c r="Y238" s="64">
        <f t="shared" si="6"/>
        <v>0</v>
      </c>
      <c r="AA238" s="64">
        <f t="shared" si="7"/>
        <v>0</v>
      </c>
      <c r="AB238" s="64" t="str">
        <f>IF($B238="","",(COUNTIFS(Rships!$C$2:$C$9990,$A238,Rships!$D$2:$D$9990,1)))</f>
        <v/>
      </c>
      <c r="AC238" s="64" t="str">
        <f>IF($B238="","",(COUNTIFS(Rships!$C$2:$C$9990,$A238,Rships!$D$2:$D$9990,2)))</f>
        <v/>
      </c>
      <c r="AD238" s="64" t="str">
        <f>IF($B238="","",(COUNTIFS(Rships!$C$2:$C$9990,$A238,Rships!$D$2:$D$9990,3)))</f>
        <v/>
      </c>
      <c r="AE238" s="64" t="str">
        <f>IF($B238="","",(COUNTIFS(Rships!$C$2:$C$9990,$A238,Rships!$D$2:$D$9990,4)))</f>
        <v/>
      </c>
      <c r="AF238" s="64" t="str">
        <f>IF($B238="","",(COUNTIFS(Rships!$C$2:$C$9990,$A238,Rships!$D$2:$D$9990,5)))</f>
        <v/>
      </c>
      <c r="AG238" s="64" t="str">
        <f>IF($B238="","",(COUNTIFS(Rships!$C$2:$C$9990,$A238,Rships!$D$2:$D$9990,6)))</f>
        <v/>
      </c>
      <c r="AH238" s="64" t="str">
        <f>IF($B238="","",(COUNTIFS(Rships!$C$2:$C$9990,$A238,Rships!$D$2:$D$9990,7)))</f>
        <v/>
      </c>
    </row>
    <row r="239" spans="1:34">
      <c r="A239" s="1" t="s">
        <v>491</v>
      </c>
      <c r="C239" s="11" t="s">
        <v>19</v>
      </c>
      <c r="D239" s="11" t="s">
        <v>21</v>
      </c>
      <c r="F239" s="15"/>
      <c r="G239" s="15"/>
      <c r="I239" s="17"/>
      <c r="O239" s="11" t="s">
        <v>27</v>
      </c>
      <c r="Y239" s="64">
        <f t="shared" si="6"/>
        <v>0</v>
      </c>
      <c r="AA239" s="64">
        <f t="shared" si="7"/>
        <v>0</v>
      </c>
      <c r="AB239" s="64" t="str">
        <f>IF($B239="","",(COUNTIFS(Rships!$C$2:$C$9990,$A239,Rships!$D$2:$D$9990,1)))</f>
        <v/>
      </c>
      <c r="AC239" s="64" t="str">
        <f>IF($B239="","",(COUNTIFS(Rships!$C$2:$C$9990,$A239,Rships!$D$2:$D$9990,2)))</f>
        <v/>
      </c>
      <c r="AD239" s="64" t="str">
        <f>IF($B239="","",(COUNTIFS(Rships!$C$2:$C$9990,$A239,Rships!$D$2:$D$9990,3)))</f>
        <v/>
      </c>
      <c r="AE239" s="64" t="str">
        <f>IF($B239="","",(COUNTIFS(Rships!$C$2:$C$9990,$A239,Rships!$D$2:$D$9990,4)))</f>
        <v/>
      </c>
      <c r="AF239" s="64" t="str">
        <f>IF($B239="","",(COUNTIFS(Rships!$C$2:$C$9990,$A239,Rships!$D$2:$D$9990,5)))</f>
        <v/>
      </c>
      <c r="AG239" s="64" t="str">
        <f>IF($B239="","",(COUNTIFS(Rships!$C$2:$C$9990,$A239,Rships!$D$2:$D$9990,6)))</f>
        <v/>
      </c>
      <c r="AH239" s="64" t="str">
        <f>IF($B239="","",(COUNTIFS(Rships!$C$2:$C$9990,$A239,Rships!$D$2:$D$9990,7)))</f>
        <v/>
      </c>
    </row>
    <row r="240" spans="1:34">
      <c r="A240" s="1" t="s">
        <v>492</v>
      </c>
      <c r="C240" s="11" t="s">
        <v>19</v>
      </c>
      <c r="D240" s="11" t="s">
        <v>21</v>
      </c>
      <c r="F240" s="15"/>
      <c r="G240" s="15"/>
      <c r="I240" s="17"/>
      <c r="O240" s="11" t="s">
        <v>27</v>
      </c>
      <c r="Y240" s="64">
        <f t="shared" si="6"/>
        <v>0</v>
      </c>
      <c r="AA240" s="64">
        <f t="shared" si="7"/>
        <v>0</v>
      </c>
      <c r="AB240" s="64" t="str">
        <f>IF($B240="","",(COUNTIFS(Rships!$C$2:$C$9990,$A240,Rships!$D$2:$D$9990,1)))</f>
        <v/>
      </c>
      <c r="AC240" s="64" t="str">
        <f>IF($B240="","",(COUNTIFS(Rships!$C$2:$C$9990,$A240,Rships!$D$2:$D$9990,2)))</f>
        <v/>
      </c>
      <c r="AD240" s="64" t="str">
        <f>IF($B240="","",(COUNTIFS(Rships!$C$2:$C$9990,$A240,Rships!$D$2:$D$9990,3)))</f>
        <v/>
      </c>
      <c r="AE240" s="64" t="str">
        <f>IF($B240="","",(COUNTIFS(Rships!$C$2:$C$9990,$A240,Rships!$D$2:$D$9990,4)))</f>
        <v/>
      </c>
      <c r="AF240" s="64" t="str">
        <f>IF($B240="","",(COUNTIFS(Rships!$C$2:$C$9990,$A240,Rships!$D$2:$D$9990,5)))</f>
        <v/>
      </c>
      <c r="AG240" s="64" t="str">
        <f>IF($B240="","",(COUNTIFS(Rships!$C$2:$C$9990,$A240,Rships!$D$2:$D$9990,6)))</f>
        <v/>
      </c>
      <c r="AH240" s="64" t="str">
        <f>IF($B240="","",(COUNTIFS(Rships!$C$2:$C$9990,$A240,Rships!$D$2:$D$9990,7)))</f>
        <v/>
      </c>
    </row>
    <row r="241" spans="1:34">
      <c r="A241" s="1" t="s">
        <v>493</v>
      </c>
      <c r="C241" s="11" t="s">
        <v>19</v>
      </c>
      <c r="D241" s="11" t="s">
        <v>21</v>
      </c>
      <c r="F241" s="15"/>
      <c r="G241" s="15"/>
      <c r="I241" s="17"/>
      <c r="O241" s="11" t="s">
        <v>27</v>
      </c>
      <c r="Y241" s="64">
        <f t="shared" si="6"/>
        <v>0</v>
      </c>
      <c r="AA241" s="64">
        <f t="shared" si="7"/>
        <v>0</v>
      </c>
      <c r="AB241" s="64" t="str">
        <f>IF($B241="","",(COUNTIFS(Rships!$C$2:$C$9990,$A241,Rships!$D$2:$D$9990,1)))</f>
        <v/>
      </c>
      <c r="AC241" s="64" t="str">
        <f>IF($B241="","",(COUNTIFS(Rships!$C$2:$C$9990,$A241,Rships!$D$2:$D$9990,2)))</f>
        <v/>
      </c>
      <c r="AD241" s="64" t="str">
        <f>IF($B241="","",(COUNTIFS(Rships!$C$2:$C$9990,$A241,Rships!$D$2:$D$9990,3)))</f>
        <v/>
      </c>
      <c r="AE241" s="64" t="str">
        <f>IF($B241="","",(COUNTIFS(Rships!$C$2:$C$9990,$A241,Rships!$D$2:$D$9990,4)))</f>
        <v/>
      </c>
      <c r="AF241" s="64" t="str">
        <f>IF($B241="","",(COUNTIFS(Rships!$C$2:$C$9990,$A241,Rships!$D$2:$D$9990,5)))</f>
        <v/>
      </c>
      <c r="AG241" s="64" t="str">
        <f>IF($B241="","",(COUNTIFS(Rships!$C$2:$C$9990,$A241,Rships!$D$2:$D$9990,6)))</f>
        <v/>
      </c>
      <c r="AH241" s="64" t="str">
        <f>IF($B241="","",(COUNTIFS(Rships!$C$2:$C$9990,$A241,Rships!$D$2:$D$9990,7)))</f>
        <v/>
      </c>
    </row>
    <row r="242" spans="1:34">
      <c r="A242" s="1" t="s">
        <v>494</v>
      </c>
      <c r="C242" s="11" t="s">
        <v>19</v>
      </c>
      <c r="D242" s="11" t="s">
        <v>21</v>
      </c>
      <c r="F242" s="15"/>
      <c r="G242" s="15"/>
      <c r="I242" s="17"/>
      <c r="O242" s="11" t="s">
        <v>27</v>
      </c>
      <c r="Y242" s="64">
        <f t="shared" si="6"/>
        <v>0</v>
      </c>
      <c r="AA242" s="64">
        <f t="shared" si="7"/>
        <v>0</v>
      </c>
      <c r="AB242" s="64" t="str">
        <f>IF($B242="","",(COUNTIFS(Rships!$C$2:$C$9990,$A242,Rships!$D$2:$D$9990,1)))</f>
        <v/>
      </c>
      <c r="AC242" s="64" t="str">
        <f>IF($B242="","",(COUNTIFS(Rships!$C$2:$C$9990,$A242,Rships!$D$2:$D$9990,2)))</f>
        <v/>
      </c>
      <c r="AD242" s="64" t="str">
        <f>IF($B242="","",(COUNTIFS(Rships!$C$2:$C$9990,$A242,Rships!$D$2:$D$9990,3)))</f>
        <v/>
      </c>
      <c r="AE242" s="64" t="str">
        <f>IF($B242="","",(COUNTIFS(Rships!$C$2:$C$9990,$A242,Rships!$D$2:$D$9990,4)))</f>
        <v/>
      </c>
      <c r="AF242" s="64" t="str">
        <f>IF($B242="","",(COUNTIFS(Rships!$C$2:$C$9990,$A242,Rships!$D$2:$D$9990,5)))</f>
        <v/>
      </c>
      <c r="AG242" s="64" t="str">
        <f>IF($B242="","",(COUNTIFS(Rships!$C$2:$C$9990,$A242,Rships!$D$2:$D$9990,6)))</f>
        <v/>
      </c>
      <c r="AH242" s="64" t="str">
        <f>IF($B242="","",(COUNTIFS(Rships!$C$2:$C$9990,$A242,Rships!$D$2:$D$9990,7)))</f>
        <v/>
      </c>
    </row>
    <row r="243" spans="1:34">
      <c r="A243" s="1" t="s">
        <v>495</v>
      </c>
      <c r="C243" s="11" t="s">
        <v>19</v>
      </c>
      <c r="D243" s="11" t="s">
        <v>21</v>
      </c>
      <c r="F243" s="15"/>
      <c r="G243" s="15"/>
      <c r="I243" s="17"/>
      <c r="O243" s="11" t="s">
        <v>27</v>
      </c>
      <c r="Y243" s="64">
        <f t="shared" ref="Y243:Y306" si="8">SUMIF($B$2:$B$100,$A243,$AA$2:$AA$100)</f>
        <v>0</v>
      </c>
      <c r="AA243" s="64">
        <f t="shared" si="7"/>
        <v>0</v>
      </c>
      <c r="AB243" s="64" t="str">
        <f>IF($B243="","",(COUNTIFS(Rships!$C$2:$C$9990,$A243,Rships!$D$2:$D$9990,1)))</f>
        <v/>
      </c>
      <c r="AC243" s="64" t="str">
        <f>IF($B243="","",(COUNTIFS(Rships!$C$2:$C$9990,$A243,Rships!$D$2:$D$9990,2)))</f>
        <v/>
      </c>
      <c r="AD243" s="64" t="str">
        <f>IF($B243="","",(COUNTIFS(Rships!$C$2:$C$9990,$A243,Rships!$D$2:$D$9990,3)))</f>
        <v/>
      </c>
      <c r="AE243" s="64" t="str">
        <f>IF($B243="","",(COUNTIFS(Rships!$C$2:$C$9990,$A243,Rships!$D$2:$D$9990,4)))</f>
        <v/>
      </c>
      <c r="AF243" s="64" t="str">
        <f>IF($B243="","",(COUNTIFS(Rships!$C$2:$C$9990,$A243,Rships!$D$2:$D$9990,5)))</f>
        <v/>
      </c>
      <c r="AG243" s="64" t="str">
        <f>IF($B243="","",(COUNTIFS(Rships!$C$2:$C$9990,$A243,Rships!$D$2:$D$9990,6)))</f>
        <v/>
      </c>
      <c r="AH243" s="64" t="str">
        <f>IF($B243="","",(COUNTIFS(Rships!$C$2:$C$9990,$A243,Rships!$D$2:$D$9990,7)))</f>
        <v/>
      </c>
    </row>
    <row r="244" spans="1:34">
      <c r="A244" s="1" t="s">
        <v>496</v>
      </c>
      <c r="C244" s="11" t="s">
        <v>19</v>
      </c>
      <c r="D244" s="11" t="s">
        <v>21</v>
      </c>
      <c r="F244" s="15"/>
      <c r="G244" s="15"/>
      <c r="I244" s="17"/>
      <c r="O244" s="11" t="s">
        <v>27</v>
      </c>
      <c r="Y244" s="64">
        <f t="shared" si="8"/>
        <v>0</v>
      </c>
      <c r="AA244" s="64">
        <f t="shared" si="7"/>
        <v>0</v>
      </c>
      <c r="AB244" s="64" t="str">
        <f>IF($B244="","",(COUNTIFS(Rships!$C$2:$C$9990,$A244,Rships!$D$2:$D$9990,1)))</f>
        <v/>
      </c>
      <c r="AC244" s="64" t="str">
        <f>IF($B244="","",(COUNTIFS(Rships!$C$2:$C$9990,$A244,Rships!$D$2:$D$9990,2)))</f>
        <v/>
      </c>
      <c r="AD244" s="64" t="str">
        <f>IF($B244="","",(COUNTIFS(Rships!$C$2:$C$9990,$A244,Rships!$D$2:$D$9990,3)))</f>
        <v/>
      </c>
      <c r="AE244" s="64" t="str">
        <f>IF($B244="","",(COUNTIFS(Rships!$C$2:$C$9990,$A244,Rships!$D$2:$D$9990,4)))</f>
        <v/>
      </c>
      <c r="AF244" s="64" t="str">
        <f>IF($B244="","",(COUNTIFS(Rships!$C$2:$C$9990,$A244,Rships!$D$2:$D$9990,5)))</f>
        <v/>
      </c>
      <c r="AG244" s="64" t="str">
        <f>IF($B244="","",(COUNTIFS(Rships!$C$2:$C$9990,$A244,Rships!$D$2:$D$9990,6)))</f>
        <v/>
      </c>
      <c r="AH244" s="64" t="str">
        <f>IF($B244="","",(COUNTIFS(Rships!$C$2:$C$9990,$A244,Rships!$D$2:$D$9990,7)))</f>
        <v/>
      </c>
    </row>
    <row r="245" spans="1:34">
      <c r="A245" s="1" t="s">
        <v>497</v>
      </c>
      <c r="C245" s="11" t="s">
        <v>19</v>
      </c>
      <c r="D245" s="11" t="s">
        <v>21</v>
      </c>
      <c r="F245" s="15"/>
      <c r="G245" s="15"/>
      <c r="I245" s="17"/>
      <c r="O245" s="11" t="s">
        <v>27</v>
      </c>
      <c r="Y245" s="64">
        <f t="shared" si="8"/>
        <v>0</v>
      </c>
      <c r="AA245" s="64">
        <f t="shared" si="7"/>
        <v>0</v>
      </c>
      <c r="AB245" s="64" t="str">
        <f>IF($B245="","",(COUNTIFS(Rships!$C$2:$C$9990,$A245,Rships!$D$2:$D$9990,1)))</f>
        <v/>
      </c>
      <c r="AC245" s="64" t="str">
        <f>IF($B245="","",(COUNTIFS(Rships!$C$2:$C$9990,$A245,Rships!$D$2:$D$9990,2)))</f>
        <v/>
      </c>
      <c r="AD245" s="64" t="str">
        <f>IF($B245="","",(COUNTIFS(Rships!$C$2:$C$9990,$A245,Rships!$D$2:$D$9990,3)))</f>
        <v/>
      </c>
      <c r="AE245" s="64" t="str">
        <f>IF($B245="","",(COUNTIFS(Rships!$C$2:$C$9990,$A245,Rships!$D$2:$D$9990,4)))</f>
        <v/>
      </c>
      <c r="AF245" s="64" t="str">
        <f>IF($B245="","",(COUNTIFS(Rships!$C$2:$C$9990,$A245,Rships!$D$2:$D$9990,5)))</f>
        <v/>
      </c>
      <c r="AG245" s="64" t="str">
        <f>IF($B245="","",(COUNTIFS(Rships!$C$2:$C$9990,$A245,Rships!$D$2:$D$9990,6)))</f>
        <v/>
      </c>
      <c r="AH245" s="64" t="str">
        <f>IF($B245="","",(COUNTIFS(Rships!$C$2:$C$9990,$A245,Rships!$D$2:$D$9990,7)))</f>
        <v/>
      </c>
    </row>
    <row r="246" spans="1:34">
      <c r="A246" s="1" t="s">
        <v>498</v>
      </c>
      <c r="C246" s="11" t="s">
        <v>19</v>
      </c>
      <c r="D246" s="11" t="s">
        <v>21</v>
      </c>
      <c r="F246" s="15"/>
      <c r="G246" s="15"/>
      <c r="I246" s="17"/>
      <c r="O246" s="11" t="s">
        <v>27</v>
      </c>
      <c r="Y246" s="64">
        <f t="shared" si="8"/>
        <v>0</v>
      </c>
      <c r="AA246" s="64">
        <f t="shared" si="7"/>
        <v>0</v>
      </c>
      <c r="AB246" s="64" t="str">
        <f>IF($B246="","",(COUNTIFS(Rships!$C$2:$C$9990,$A246,Rships!$D$2:$D$9990,1)))</f>
        <v/>
      </c>
      <c r="AC246" s="64" t="str">
        <f>IF($B246="","",(COUNTIFS(Rships!$C$2:$C$9990,$A246,Rships!$D$2:$D$9990,2)))</f>
        <v/>
      </c>
      <c r="AD246" s="64" t="str">
        <f>IF($B246="","",(COUNTIFS(Rships!$C$2:$C$9990,$A246,Rships!$D$2:$D$9990,3)))</f>
        <v/>
      </c>
      <c r="AE246" s="64" t="str">
        <f>IF($B246="","",(COUNTIFS(Rships!$C$2:$C$9990,$A246,Rships!$D$2:$D$9990,4)))</f>
        <v/>
      </c>
      <c r="AF246" s="64" t="str">
        <f>IF($B246="","",(COUNTIFS(Rships!$C$2:$C$9990,$A246,Rships!$D$2:$D$9990,5)))</f>
        <v/>
      </c>
      <c r="AG246" s="64" t="str">
        <f>IF($B246="","",(COUNTIFS(Rships!$C$2:$C$9990,$A246,Rships!$D$2:$D$9990,6)))</f>
        <v/>
      </c>
      <c r="AH246" s="64" t="str">
        <f>IF($B246="","",(COUNTIFS(Rships!$C$2:$C$9990,$A246,Rships!$D$2:$D$9990,7)))</f>
        <v/>
      </c>
    </row>
    <row r="247" spans="1:34">
      <c r="A247" s="1" t="s">
        <v>499</v>
      </c>
      <c r="C247" s="11" t="s">
        <v>19</v>
      </c>
      <c r="D247" s="11" t="s">
        <v>21</v>
      </c>
      <c r="F247" s="15"/>
      <c r="G247" s="15"/>
      <c r="I247" s="17"/>
      <c r="O247" s="11" t="s">
        <v>27</v>
      </c>
      <c r="Y247" s="64">
        <f t="shared" si="8"/>
        <v>0</v>
      </c>
      <c r="AA247" s="64">
        <f t="shared" si="7"/>
        <v>0</v>
      </c>
      <c r="AB247" s="64" t="str">
        <f>IF($B247="","",(COUNTIFS(Rships!$C$2:$C$9990,$A247,Rships!$D$2:$D$9990,1)))</f>
        <v/>
      </c>
      <c r="AC247" s="64" t="str">
        <f>IF($B247="","",(COUNTIFS(Rships!$C$2:$C$9990,$A247,Rships!$D$2:$D$9990,2)))</f>
        <v/>
      </c>
      <c r="AD247" s="64" t="str">
        <f>IF($B247="","",(COUNTIFS(Rships!$C$2:$C$9990,$A247,Rships!$D$2:$D$9990,3)))</f>
        <v/>
      </c>
      <c r="AE247" s="64" t="str">
        <f>IF($B247="","",(COUNTIFS(Rships!$C$2:$C$9990,$A247,Rships!$D$2:$D$9990,4)))</f>
        <v/>
      </c>
      <c r="AF247" s="64" t="str">
        <f>IF($B247="","",(COUNTIFS(Rships!$C$2:$C$9990,$A247,Rships!$D$2:$D$9990,5)))</f>
        <v/>
      </c>
      <c r="AG247" s="64" t="str">
        <f>IF($B247="","",(COUNTIFS(Rships!$C$2:$C$9990,$A247,Rships!$D$2:$D$9990,6)))</f>
        <v/>
      </c>
      <c r="AH247" s="64" t="str">
        <f>IF($B247="","",(COUNTIFS(Rships!$C$2:$C$9990,$A247,Rships!$D$2:$D$9990,7)))</f>
        <v/>
      </c>
    </row>
    <row r="248" spans="1:34">
      <c r="A248" s="1" t="s">
        <v>500</v>
      </c>
      <c r="C248" s="11" t="s">
        <v>19</v>
      </c>
      <c r="D248" s="11" t="s">
        <v>21</v>
      </c>
      <c r="F248" s="15"/>
      <c r="G248" s="15"/>
      <c r="I248" s="17"/>
      <c r="O248" s="11" t="s">
        <v>27</v>
      </c>
      <c r="Y248" s="64">
        <f t="shared" si="8"/>
        <v>0</v>
      </c>
      <c r="AA248" s="64">
        <f t="shared" si="7"/>
        <v>0</v>
      </c>
      <c r="AB248" s="64" t="str">
        <f>IF($B248="","",(COUNTIFS(Rships!$C$2:$C$9990,$A248,Rships!$D$2:$D$9990,1)))</f>
        <v/>
      </c>
      <c r="AC248" s="64" t="str">
        <f>IF($B248="","",(COUNTIFS(Rships!$C$2:$C$9990,$A248,Rships!$D$2:$D$9990,2)))</f>
        <v/>
      </c>
      <c r="AD248" s="64" t="str">
        <f>IF($B248="","",(COUNTIFS(Rships!$C$2:$C$9990,$A248,Rships!$D$2:$D$9990,3)))</f>
        <v/>
      </c>
      <c r="AE248" s="64" t="str">
        <f>IF($B248="","",(COUNTIFS(Rships!$C$2:$C$9990,$A248,Rships!$D$2:$D$9990,4)))</f>
        <v/>
      </c>
      <c r="AF248" s="64" t="str">
        <f>IF($B248="","",(COUNTIFS(Rships!$C$2:$C$9990,$A248,Rships!$D$2:$D$9990,5)))</f>
        <v/>
      </c>
      <c r="AG248" s="64" t="str">
        <f>IF($B248="","",(COUNTIFS(Rships!$C$2:$C$9990,$A248,Rships!$D$2:$D$9990,6)))</f>
        <v/>
      </c>
      <c r="AH248" s="64" t="str">
        <f>IF($B248="","",(COUNTIFS(Rships!$C$2:$C$9990,$A248,Rships!$D$2:$D$9990,7)))</f>
        <v/>
      </c>
    </row>
    <row r="249" spans="1:34">
      <c r="A249" s="1" t="s">
        <v>501</v>
      </c>
      <c r="C249" s="11" t="s">
        <v>19</v>
      </c>
      <c r="D249" s="11" t="s">
        <v>21</v>
      </c>
      <c r="F249" s="15"/>
      <c r="G249" s="15"/>
      <c r="I249" s="17"/>
      <c r="O249" s="11" t="s">
        <v>27</v>
      </c>
      <c r="Y249" s="64">
        <f t="shared" si="8"/>
        <v>0</v>
      </c>
      <c r="AA249" s="64">
        <f t="shared" si="7"/>
        <v>0</v>
      </c>
      <c r="AB249" s="64" t="str">
        <f>IF($B249="","",(COUNTIFS(Rships!$C$2:$C$9990,$A249,Rships!$D$2:$D$9990,1)))</f>
        <v/>
      </c>
      <c r="AC249" s="64" t="str">
        <f>IF($B249="","",(COUNTIFS(Rships!$C$2:$C$9990,$A249,Rships!$D$2:$D$9990,2)))</f>
        <v/>
      </c>
      <c r="AD249" s="64" t="str">
        <f>IF($B249="","",(COUNTIFS(Rships!$C$2:$C$9990,$A249,Rships!$D$2:$D$9990,3)))</f>
        <v/>
      </c>
      <c r="AE249" s="64" t="str">
        <f>IF($B249="","",(COUNTIFS(Rships!$C$2:$C$9990,$A249,Rships!$D$2:$D$9990,4)))</f>
        <v/>
      </c>
      <c r="AF249" s="64" t="str">
        <f>IF($B249="","",(COUNTIFS(Rships!$C$2:$C$9990,$A249,Rships!$D$2:$D$9990,5)))</f>
        <v/>
      </c>
      <c r="AG249" s="64" t="str">
        <f>IF($B249="","",(COUNTIFS(Rships!$C$2:$C$9990,$A249,Rships!$D$2:$D$9990,6)))</f>
        <v/>
      </c>
      <c r="AH249" s="64" t="str">
        <f>IF($B249="","",(COUNTIFS(Rships!$C$2:$C$9990,$A249,Rships!$D$2:$D$9990,7)))</f>
        <v/>
      </c>
    </row>
    <row r="250" spans="1:34">
      <c r="A250" s="1" t="s">
        <v>502</v>
      </c>
      <c r="C250" s="11" t="s">
        <v>19</v>
      </c>
      <c r="D250" s="11" t="s">
        <v>21</v>
      </c>
      <c r="F250" s="15"/>
      <c r="G250" s="15"/>
      <c r="I250" s="17"/>
      <c r="O250" s="11" t="s">
        <v>27</v>
      </c>
      <c r="Y250" s="64">
        <f t="shared" si="8"/>
        <v>0</v>
      </c>
      <c r="AA250" s="64">
        <f t="shared" si="7"/>
        <v>0</v>
      </c>
      <c r="AB250" s="64" t="str">
        <f>IF($B250="","",(COUNTIFS(Rships!$C$2:$C$9990,$A250,Rships!$D$2:$D$9990,1)))</f>
        <v/>
      </c>
      <c r="AC250" s="64" t="str">
        <f>IF($B250="","",(COUNTIFS(Rships!$C$2:$C$9990,$A250,Rships!$D$2:$D$9990,2)))</f>
        <v/>
      </c>
      <c r="AD250" s="64" t="str">
        <f>IF($B250="","",(COUNTIFS(Rships!$C$2:$C$9990,$A250,Rships!$D$2:$D$9990,3)))</f>
        <v/>
      </c>
      <c r="AE250" s="64" t="str">
        <f>IF($B250="","",(COUNTIFS(Rships!$C$2:$C$9990,$A250,Rships!$D$2:$D$9990,4)))</f>
        <v/>
      </c>
      <c r="AF250" s="64" t="str">
        <f>IF($B250="","",(COUNTIFS(Rships!$C$2:$C$9990,$A250,Rships!$D$2:$D$9990,5)))</f>
        <v/>
      </c>
      <c r="AG250" s="64" t="str">
        <f>IF($B250="","",(COUNTIFS(Rships!$C$2:$C$9990,$A250,Rships!$D$2:$D$9990,6)))</f>
        <v/>
      </c>
      <c r="AH250" s="64" t="str">
        <f>IF($B250="","",(COUNTIFS(Rships!$C$2:$C$9990,$A250,Rships!$D$2:$D$9990,7)))</f>
        <v/>
      </c>
    </row>
    <row r="251" spans="1:34">
      <c r="A251" s="1" t="s">
        <v>503</v>
      </c>
      <c r="C251" s="11" t="s">
        <v>19</v>
      </c>
      <c r="D251" s="11" t="s">
        <v>21</v>
      </c>
      <c r="F251" s="15"/>
      <c r="G251" s="15"/>
      <c r="I251" s="17"/>
      <c r="O251" s="11" t="s">
        <v>27</v>
      </c>
      <c r="Y251" s="64">
        <f t="shared" si="8"/>
        <v>0</v>
      </c>
      <c r="AA251" s="64">
        <f t="shared" si="7"/>
        <v>0</v>
      </c>
      <c r="AB251" s="64" t="str">
        <f>IF($B251="","",(COUNTIFS(Rships!$C$2:$C$9990,$A251,Rships!$D$2:$D$9990,1)))</f>
        <v/>
      </c>
      <c r="AC251" s="64" t="str">
        <f>IF($B251="","",(COUNTIFS(Rships!$C$2:$C$9990,$A251,Rships!$D$2:$D$9990,2)))</f>
        <v/>
      </c>
      <c r="AD251" s="64" t="str">
        <f>IF($B251="","",(COUNTIFS(Rships!$C$2:$C$9990,$A251,Rships!$D$2:$D$9990,3)))</f>
        <v/>
      </c>
      <c r="AE251" s="64" t="str">
        <f>IF($B251="","",(COUNTIFS(Rships!$C$2:$C$9990,$A251,Rships!$D$2:$D$9990,4)))</f>
        <v/>
      </c>
      <c r="AF251" s="64" t="str">
        <f>IF($B251="","",(COUNTIFS(Rships!$C$2:$C$9990,$A251,Rships!$D$2:$D$9990,5)))</f>
        <v/>
      </c>
      <c r="AG251" s="64" t="str">
        <f>IF($B251="","",(COUNTIFS(Rships!$C$2:$C$9990,$A251,Rships!$D$2:$D$9990,6)))</f>
        <v/>
      </c>
      <c r="AH251" s="64" t="str">
        <f>IF($B251="","",(COUNTIFS(Rships!$C$2:$C$9990,$A251,Rships!$D$2:$D$9990,7)))</f>
        <v/>
      </c>
    </row>
    <row r="252" spans="1:34">
      <c r="A252" s="1" t="s">
        <v>504</v>
      </c>
      <c r="C252" s="11" t="s">
        <v>19</v>
      </c>
      <c r="D252" s="11" t="s">
        <v>21</v>
      </c>
      <c r="F252" s="15"/>
      <c r="G252" s="15"/>
      <c r="I252" s="17"/>
      <c r="O252" s="11" t="s">
        <v>27</v>
      </c>
      <c r="Y252" s="64">
        <f t="shared" si="8"/>
        <v>0</v>
      </c>
      <c r="AA252" s="64">
        <f t="shared" si="7"/>
        <v>0</v>
      </c>
      <c r="AB252" s="64" t="str">
        <f>IF($B252="","",(COUNTIFS(Rships!$C$2:$C$9990,$A252,Rships!$D$2:$D$9990,1)))</f>
        <v/>
      </c>
      <c r="AC252" s="64" t="str">
        <f>IF($B252="","",(COUNTIFS(Rships!$C$2:$C$9990,$A252,Rships!$D$2:$D$9990,2)))</f>
        <v/>
      </c>
      <c r="AD252" s="64" t="str">
        <f>IF($B252="","",(COUNTIFS(Rships!$C$2:$C$9990,$A252,Rships!$D$2:$D$9990,3)))</f>
        <v/>
      </c>
      <c r="AE252" s="64" t="str">
        <f>IF($B252="","",(COUNTIFS(Rships!$C$2:$C$9990,$A252,Rships!$D$2:$D$9990,4)))</f>
        <v/>
      </c>
      <c r="AF252" s="64" t="str">
        <f>IF($B252="","",(COUNTIFS(Rships!$C$2:$C$9990,$A252,Rships!$D$2:$D$9990,5)))</f>
        <v/>
      </c>
      <c r="AG252" s="64" t="str">
        <f>IF($B252="","",(COUNTIFS(Rships!$C$2:$C$9990,$A252,Rships!$D$2:$D$9990,6)))</f>
        <v/>
      </c>
      <c r="AH252" s="64" t="str">
        <f>IF($B252="","",(COUNTIFS(Rships!$C$2:$C$9990,$A252,Rships!$D$2:$D$9990,7)))</f>
        <v/>
      </c>
    </row>
    <row r="253" spans="1:34">
      <c r="A253" s="1" t="s">
        <v>505</v>
      </c>
      <c r="C253" s="11" t="s">
        <v>19</v>
      </c>
      <c r="D253" s="11" t="s">
        <v>21</v>
      </c>
      <c r="F253" s="15"/>
      <c r="G253" s="15"/>
      <c r="I253" s="17"/>
      <c r="O253" s="11" t="s">
        <v>27</v>
      </c>
      <c r="Y253" s="64">
        <f t="shared" si="8"/>
        <v>0</v>
      </c>
      <c r="AA253" s="64">
        <f t="shared" si="7"/>
        <v>0</v>
      </c>
      <c r="AB253" s="64" t="str">
        <f>IF($B253="","",(COUNTIFS(Rships!$C$2:$C$9990,$A253,Rships!$D$2:$D$9990,1)))</f>
        <v/>
      </c>
      <c r="AC253" s="64" t="str">
        <f>IF($B253="","",(COUNTIFS(Rships!$C$2:$C$9990,$A253,Rships!$D$2:$D$9990,2)))</f>
        <v/>
      </c>
      <c r="AD253" s="64" t="str">
        <f>IF($B253="","",(COUNTIFS(Rships!$C$2:$C$9990,$A253,Rships!$D$2:$D$9990,3)))</f>
        <v/>
      </c>
      <c r="AE253" s="64" t="str">
        <f>IF($B253="","",(COUNTIFS(Rships!$C$2:$C$9990,$A253,Rships!$D$2:$D$9990,4)))</f>
        <v/>
      </c>
      <c r="AF253" s="64" t="str">
        <f>IF($B253="","",(COUNTIFS(Rships!$C$2:$C$9990,$A253,Rships!$D$2:$D$9990,5)))</f>
        <v/>
      </c>
      <c r="AG253" s="64" t="str">
        <f>IF($B253="","",(COUNTIFS(Rships!$C$2:$C$9990,$A253,Rships!$D$2:$D$9990,6)))</f>
        <v/>
      </c>
      <c r="AH253" s="64" t="str">
        <f>IF($B253="","",(COUNTIFS(Rships!$C$2:$C$9990,$A253,Rships!$D$2:$D$9990,7)))</f>
        <v/>
      </c>
    </row>
    <row r="254" spans="1:34">
      <c r="A254" s="1" t="s">
        <v>506</v>
      </c>
      <c r="C254" s="11" t="s">
        <v>19</v>
      </c>
      <c r="D254" s="11" t="s">
        <v>21</v>
      </c>
      <c r="F254" s="15"/>
      <c r="G254" s="15"/>
      <c r="I254" s="17"/>
      <c r="O254" s="11" t="s">
        <v>27</v>
      </c>
      <c r="Y254" s="64">
        <f t="shared" si="8"/>
        <v>0</v>
      </c>
      <c r="AA254" s="64">
        <f t="shared" si="7"/>
        <v>0</v>
      </c>
      <c r="AB254" s="64" t="str">
        <f>IF($B254="","",(COUNTIFS(Rships!$C$2:$C$9990,$A254,Rships!$D$2:$D$9990,1)))</f>
        <v/>
      </c>
      <c r="AC254" s="64" t="str">
        <f>IF($B254="","",(COUNTIFS(Rships!$C$2:$C$9990,$A254,Rships!$D$2:$D$9990,2)))</f>
        <v/>
      </c>
      <c r="AD254" s="64" t="str">
        <f>IF($B254="","",(COUNTIFS(Rships!$C$2:$C$9990,$A254,Rships!$D$2:$D$9990,3)))</f>
        <v/>
      </c>
      <c r="AE254" s="64" t="str">
        <f>IF($B254="","",(COUNTIFS(Rships!$C$2:$C$9990,$A254,Rships!$D$2:$D$9990,4)))</f>
        <v/>
      </c>
      <c r="AF254" s="64" t="str">
        <f>IF($B254="","",(COUNTIFS(Rships!$C$2:$C$9990,$A254,Rships!$D$2:$D$9990,5)))</f>
        <v/>
      </c>
      <c r="AG254" s="64" t="str">
        <f>IF($B254="","",(COUNTIFS(Rships!$C$2:$C$9990,$A254,Rships!$D$2:$D$9990,6)))</f>
        <v/>
      </c>
      <c r="AH254" s="64" t="str">
        <f>IF($B254="","",(COUNTIFS(Rships!$C$2:$C$9990,$A254,Rships!$D$2:$D$9990,7)))</f>
        <v/>
      </c>
    </row>
    <row r="255" spans="1:34">
      <c r="A255" s="1" t="s">
        <v>507</v>
      </c>
      <c r="C255" s="11" t="s">
        <v>19</v>
      </c>
      <c r="D255" s="11" t="s">
        <v>21</v>
      </c>
      <c r="F255" s="15"/>
      <c r="G255" s="15"/>
      <c r="I255" s="17"/>
      <c r="O255" s="11" t="s">
        <v>27</v>
      </c>
      <c r="Y255" s="64">
        <f t="shared" si="8"/>
        <v>0</v>
      </c>
      <c r="AA255" s="64">
        <f t="shared" si="7"/>
        <v>0</v>
      </c>
      <c r="AB255" s="64" t="str">
        <f>IF($B255="","",(COUNTIFS(Rships!$C$2:$C$9990,$A255,Rships!$D$2:$D$9990,1)))</f>
        <v/>
      </c>
      <c r="AC255" s="64" t="str">
        <f>IF($B255="","",(COUNTIFS(Rships!$C$2:$C$9990,$A255,Rships!$D$2:$D$9990,2)))</f>
        <v/>
      </c>
      <c r="AD255" s="64" t="str">
        <f>IF($B255="","",(COUNTIFS(Rships!$C$2:$C$9990,$A255,Rships!$D$2:$D$9990,3)))</f>
        <v/>
      </c>
      <c r="AE255" s="64" t="str">
        <f>IF($B255="","",(COUNTIFS(Rships!$C$2:$C$9990,$A255,Rships!$D$2:$D$9990,4)))</f>
        <v/>
      </c>
      <c r="AF255" s="64" t="str">
        <f>IF($B255="","",(COUNTIFS(Rships!$C$2:$C$9990,$A255,Rships!$D$2:$D$9990,5)))</f>
        <v/>
      </c>
      <c r="AG255" s="64" t="str">
        <f>IF($B255="","",(COUNTIFS(Rships!$C$2:$C$9990,$A255,Rships!$D$2:$D$9990,6)))</f>
        <v/>
      </c>
      <c r="AH255" s="64" t="str">
        <f>IF($B255="","",(COUNTIFS(Rships!$C$2:$C$9990,$A255,Rships!$D$2:$D$9990,7)))</f>
        <v/>
      </c>
    </row>
    <row r="256" spans="1:34">
      <c r="A256" s="1" t="s">
        <v>508</v>
      </c>
      <c r="C256" s="11" t="s">
        <v>19</v>
      </c>
      <c r="D256" s="11" t="s">
        <v>21</v>
      </c>
      <c r="F256" s="15"/>
      <c r="G256" s="15"/>
      <c r="I256" s="17"/>
      <c r="O256" s="11" t="s">
        <v>27</v>
      </c>
      <c r="Y256" s="64">
        <f t="shared" si="8"/>
        <v>0</v>
      </c>
      <c r="AA256" s="64">
        <f t="shared" si="7"/>
        <v>0</v>
      </c>
      <c r="AB256" s="64" t="str">
        <f>IF($B256="","",(COUNTIFS(Rships!$C$2:$C$9990,$A256,Rships!$D$2:$D$9990,1)))</f>
        <v/>
      </c>
      <c r="AC256" s="64" t="str">
        <f>IF($B256="","",(COUNTIFS(Rships!$C$2:$C$9990,$A256,Rships!$D$2:$D$9990,2)))</f>
        <v/>
      </c>
      <c r="AD256" s="64" t="str">
        <f>IF($B256="","",(COUNTIFS(Rships!$C$2:$C$9990,$A256,Rships!$D$2:$D$9990,3)))</f>
        <v/>
      </c>
      <c r="AE256" s="64" t="str">
        <f>IF($B256="","",(COUNTIFS(Rships!$C$2:$C$9990,$A256,Rships!$D$2:$D$9990,4)))</f>
        <v/>
      </c>
      <c r="AF256" s="64" t="str">
        <f>IF($B256="","",(COUNTIFS(Rships!$C$2:$C$9990,$A256,Rships!$D$2:$D$9990,5)))</f>
        <v/>
      </c>
      <c r="AG256" s="64" t="str">
        <f>IF($B256="","",(COUNTIFS(Rships!$C$2:$C$9990,$A256,Rships!$D$2:$D$9990,6)))</f>
        <v/>
      </c>
      <c r="AH256" s="64" t="str">
        <f>IF($B256="","",(COUNTIFS(Rships!$C$2:$C$9990,$A256,Rships!$D$2:$D$9990,7)))</f>
        <v/>
      </c>
    </row>
    <row r="257" spans="1:34">
      <c r="A257" s="1" t="s">
        <v>509</v>
      </c>
      <c r="C257" s="11" t="s">
        <v>19</v>
      </c>
      <c r="D257" s="11" t="s">
        <v>21</v>
      </c>
      <c r="F257" s="15"/>
      <c r="G257" s="15"/>
      <c r="I257" s="17"/>
      <c r="O257" s="11" t="s">
        <v>27</v>
      </c>
      <c r="Y257" s="64">
        <f t="shared" si="8"/>
        <v>0</v>
      </c>
      <c r="AA257" s="64">
        <f t="shared" si="7"/>
        <v>0</v>
      </c>
      <c r="AB257" s="64" t="str">
        <f>IF($B257="","",(COUNTIFS(Rships!$C$2:$C$9990,$A257,Rships!$D$2:$D$9990,1)))</f>
        <v/>
      </c>
      <c r="AC257" s="64" t="str">
        <f>IF($B257="","",(COUNTIFS(Rships!$C$2:$C$9990,$A257,Rships!$D$2:$D$9990,2)))</f>
        <v/>
      </c>
      <c r="AD257" s="64" t="str">
        <f>IF($B257="","",(COUNTIFS(Rships!$C$2:$C$9990,$A257,Rships!$D$2:$D$9990,3)))</f>
        <v/>
      </c>
      <c r="AE257" s="64" t="str">
        <f>IF($B257="","",(COUNTIFS(Rships!$C$2:$C$9990,$A257,Rships!$D$2:$D$9990,4)))</f>
        <v/>
      </c>
      <c r="AF257" s="64" t="str">
        <f>IF($B257="","",(COUNTIFS(Rships!$C$2:$C$9990,$A257,Rships!$D$2:$D$9990,5)))</f>
        <v/>
      </c>
      <c r="AG257" s="64" t="str">
        <f>IF($B257="","",(COUNTIFS(Rships!$C$2:$C$9990,$A257,Rships!$D$2:$D$9990,6)))</f>
        <v/>
      </c>
      <c r="AH257" s="64" t="str">
        <f>IF($B257="","",(COUNTIFS(Rships!$C$2:$C$9990,$A257,Rships!$D$2:$D$9990,7)))</f>
        <v/>
      </c>
    </row>
    <row r="258" spans="1:34">
      <c r="A258" s="1" t="s">
        <v>510</v>
      </c>
      <c r="C258" s="11" t="s">
        <v>19</v>
      </c>
      <c r="D258" s="11" t="s">
        <v>21</v>
      </c>
      <c r="F258" s="15"/>
      <c r="G258" s="15"/>
      <c r="I258" s="17"/>
      <c r="O258" s="11" t="s">
        <v>27</v>
      </c>
      <c r="Y258" s="64">
        <f t="shared" si="8"/>
        <v>0</v>
      </c>
      <c r="AA258" s="64">
        <f t="shared" si="7"/>
        <v>0</v>
      </c>
      <c r="AB258" s="64" t="str">
        <f>IF($B258="","",(COUNTIFS(Rships!$C$2:$C$9990,$A258,Rships!$D$2:$D$9990,1)))</f>
        <v/>
      </c>
      <c r="AC258" s="64" t="str">
        <f>IF($B258="","",(COUNTIFS(Rships!$C$2:$C$9990,$A258,Rships!$D$2:$D$9990,2)))</f>
        <v/>
      </c>
      <c r="AD258" s="64" t="str">
        <f>IF($B258="","",(COUNTIFS(Rships!$C$2:$C$9990,$A258,Rships!$D$2:$D$9990,3)))</f>
        <v/>
      </c>
      <c r="AE258" s="64" t="str">
        <f>IF($B258="","",(COUNTIFS(Rships!$C$2:$C$9990,$A258,Rships!$D$2:$D$9990,4)))</f>
        <v/>
      </c>
      <c r="AF258" s="64" t="str">
        <f>IF($B258="","",(COUNTIFS(Rships!$C$2:$C$9990,$A258,Rships!$D$2:$D$9990,5)))</f>
        <v/>
      </c>
      <c r="AG258" s="64" t="str">
        <f>IF($B258="","",(COUNTIFS(Rships!$C$2:$C$9990,$A258,Rships!$D$2:$D$9990,6)))</f>
        <v/>
      </c>
      <c r="AH258" s="64" t="str">
        <f>IF($B258="","",(COUNTIFS(Rships!$C$2:$C$9990,$A258,Rships!$D$2:$D$9990,7)))</f>
        <v/>
      </c>
    </row>
    <row r="259" spans="1:34">
      <c r="A259" s="1" t="s">
        <v>511</v>
      </c>
      <c r="B259" s="13" t="s">
        <v>137</v>
      </c>
      <c r="C259" s="11" t="s">
        <v>19</v>
      </c>
      <c r="D259" s="11" t="s">
        <v>20</v>
      </c>
      <c r="E259" s="11" t="s">
        <v>1347</v>
      </c>
      <c r="F259" s="15" t="s">
        <v>1282</v>
      </c>
      <c r="G259" s="15" t="s">
        <v>1283</v>
      </c>
      <c r="H259" s="16">
        <v>8902150510088</v>
      </c>
      <c r="I259" s="17">
        <v>780517759</v>
      </c>
      <c r="J259" s="15" t="s">
        <v>1284</v>
      </c>
      <c r="K259" s="11" t="s">
        <v>1285</v>
      </c>
      <c r="L259" s="16">
        <v>9430</v>
      </c>
      <c r="M259" s="11" t="s">
        <v>1285</v>
      </c>
      <c r="N259" s="16">
        <v>9430</v>
      </c>
      <c r="O259" s="11" t="s">
        <v>26</v>
      </c>
      <c r="Q259" s="11" t="s">
        <v>227</v>
      </c>
      <c r="R259" s="11" t="s">
        <v>238</v>
      </c>
      <c r="S259" s="11" t="s">
        <v>1286</v>
      </c>
      <c r="T259" s="11" t="s">
        <v>1287</v>
      </c>
      <c r="U259" s="16">
        <v>1187145589</v>
      </c>
      <c r="V259" s="11" t="s">
        <v>31</v>
      </c>
      <c r="W259" s="26">
        <v>41644</v>
      </c>
      <c r="X259" s="46">
        <v>41612</v>
      </c>
      <c r="Y259" s="64">
        <f t="shared" si="8"/>
        <v>0</v>
      </c>
      <c r="Z259" s="11" t="s">
        <v>123</v>
      </c>
      <c r="AA259" s="64">
        <f t="shared" ref="AA259:AA322" si="9">SUM($AB259:$AH259)</f>
        <v>0</v>
      </c>
      <c r="AB259" s="64">
        <f>IF($B259="","",(COUNTIFS(Rships!$C$2:$C$9990,$A259,Rships!$D$2:$D$9990,1)))</f>
        <v>0</v>
      </c>
      <c r="AC259" s="64">
        <f>IF($B259="","",(COUNTIFS(Rships!$C$2:$C$9990,$A259,Rships!$D$2:$D$9990,2)))</f>
        <v>0</v>
      </c>
      <c r="AD259" s="64">
        <f>IF($B259="","",(COUNTIFS(Rships!$C$2:$C$9990,$A259,Rships!$D$2:$D$9990,3)))</f>
        <v>0</v>
      </c>
      <c r="AE259" s="64">
        <f>IF($B259="","",(COUNTIFS(Rships!$C$2:$C$9990,$A259,Rships!$D$2:$D$9990,4)))</f>
        <v>0</v>
      </c>
      <c r="AF259" s="64">
        <f>IF($B259="","",(COUNTIFS(Rships!$C$2:$C$9990,$A259,Rships!$D$2:$D$9990,5)))</f>
        <v>0</v>
      </c>
      <c r="AG259" s="64">
        <f>IF($B259="","",(COUNTIFS(Rships!$C$2:$C$9990,$A259,Rships!$D$2:$D$9990,6)))</f>
        <v>0</v>
      </c>
      <c r="AH259" s="64">
        <f>IF($B259="","",(COUNTIFS(Rships!$C$2:$C$9990,$A259,Rships!$D$2:$D$9990,7)))</f>
        <v>0</v>
      </c>
    </row>
    <row r="260" spans="1:34">
      <c r="A260" s="1" t="s">
        <v>512</v>
      </c>
      <c r="C260" s="11" t="s">
        <v>19</v>
      </c>
      <c r="D260" s="11" t="s">
        <v>21</v>
      </c>
      <c r="F260" s="15"/>
      <c r="G260" s="15"/>
      <c r="I260" s="17"/>
      <c r="O260" s="11" t="s">
        <v>27</v>
      </c>
      <c r="Y260" s="64">
        <f t="shared" si="8"/>
        <v>0</v>
      </c>
      <c r="AA260" s="64">
        <f t="shared" si="9"/>
        <v>0</v>
      </c>
      <c r="AB260" s="64" t="str">
        <f>IF($B260="","",(COUNTIFS(Rships!$C$2:$C$9990,$A260,Rships!$D$2:$D$9990,1)))</f>
        <v/>
      </c>
      <c r="AC260" s="64" t="str">
        <f>IF($B260="","",(COUNTIFS(Rships!$C$2:$C$9990,$A260,Rships!$D$2:$D$9990,2)))</f>
        <v/>
      </c>
      <c r="AD260" s="64" t="str">
        <f>IF($B260="","",(COUNTIFS(Rships!$C$2:$C$9990,$A260,Rships!$D$2:$D$9990,3)))</f>
        <v/>
      </c>
      <c r="AE260" s="64" t="str">
        <f>IF($B260="","",(COUNTIFS(Rships!$C$2:$C$9990,$A260,Rships!$D$2:$D$9990,4)))</f>
        <v/>
      </c>
      <c r="AF260" s="64" t="str">
        <f>IF($B260="","",(COUNTIFS(Rships!$C$2:$C$9990,$A260,Rships!$D$2:$D$9990,5)))</f>
        <v/>
      </c>
      <c r="AG260" s="64" t="str">
        <f>IF($B260="","",(COUNTIFS(Rships!$C$2:$C$9990,$A260,Rships!$D$2:$D$9990,6)))</f>
        <v/>
      </c>
      <c r="AH260" s="64" t="str">
        <f>IF($B260="","",(COUNTIFS(Rships!$C$2:$C$9990,$A260,Rships!$D$2:$D$9990,7)))</f>
        <v/>
      </c>
    </row>
    <row r="261" spans="1:34">
      <c r="A261" s="1" t="s">
        <v>513</v>
      </c>
      <c r="C261" s="11" t="s">
        <v>19</v>
      </c>
      <c r="D261" s="11" t="s">
        <v>21</v>
      </c>
      <c r="F261" s="15"/>
      <c r="G261" s="15"/>
      <c r="I261" s="17"/>
      <c r="O261" s="11" t="s">
        <v>27</v>
      </c>
      <c r="Y261" s="64">
        <f t="shared" si="8"/>
        <v>0</v>
      </c>
      <c r="AA261" s="64">
        <f t="shared" si="9"/>
        <v>0</v>
      </c>
      <c r="AB261" s="64" t="str">
        <f>IF($B261="","",(COUNTIFS(Rships!$C$2:$C$9990,$A261,Rships!$D$2:$D$9990,1)))</f>
        <v/>
      </c>
      <c r="AC261" s="64" t="str">
        <f>IF($B261="","",(COUNTIFS(Rships!$C$2:$C$9990,$A261,Rships!$D$2:$D$9990,2)))</f>
        <v/>
      </c>
      <c r="AD261" s="64" t="str">
        <f>IF($B261="","",(COUNTIFS(Rships!$C$2:$C$9990,$A261,Rships!$D$2:$D$9990,3)))</f>
        <v/>
      </c>
      <c r="AE261" s="64" t="str">
        <f>IF($B261="","",(COUNTIFS(Rships!$C$2:$C$9990,$A261,Rships!$D$2:$D$9990,4)))</f>
        <v/>
      </c>
      <c r="AF261" s="64" t="str">
        <f>IF($B261="","",(COUNTIFS(Rships!$C$2:$C$9990,$A261,Rships!$D$2:$D$9990,5)))</f>
        <v/>
      </c>
      <c r="AG261" s="64" t="str">
        <f>IF($B261="","",(COUNTIFS(Rships!$C$2:$C$9990,$A261,Rships!$D$2:$D$9990,6)))</f>
        <v/>
      </c>
      <c r="AH261" s="64" t="str">
        <f>IF($B261="","",(COUNTIFS(Rships!$C$2:$C$9990,$A261,Rships!$D$2:$D$9990,7)))</f>
        <v/>
      </c>
    </row>
    <row r="262" spans="1:34" ht="15">
      <c r="A262" s="1" t="s">
        <v>514</v>
      </c>
      <c r="C262" s="11" t="s">
        <v>19</v>
      </c>
      <c r="D262" s="11" t="s">
        <v>21</v>
      </c>
      <c r="F262" s="30"/>
      <c r="G262" s="30"/>
      <c r="I262" s="17"/>
      <c r="J262" s="33"/>
      <c r="O262" s="11" t="s">
        <v>27</v>
      </c>
      <c r="T262" s="29"/>
      <c r="Y262" s="64">
        <f t="shared" si="8"/>
        <v>0</v>
      </c>
      <c r="AA262" s="64">
        <f t="shared" si="9"/>
        <v>0</v>
      </c>
      <c r="AB262" s="64" t="str">
        <f>IF($B262="","",(COUNTIFS(Rships!$C$2:$C$9990,$A262,Rships!$D$2:$D$9990,1)))</f>
        <v/>
      </c>
      <c r="AC262" s="64" t="str">
        <f>IF($B262="","",(COUNTIFS(Rships!$C$2:$C$9990,$A262,Rships!$D$2:$D$9990,2)))</f>
        <v/>
      </c>
      <c r="AD262" s="64" t="str">
        <f>IF($B262="","",(COUNTIFS(Rships!$C$2:$C$9990,$A262,Rships!$D$2:$D$9990,3)))</f>
        <v/>
      </c>
      <c r="AE262" s="64" t="str">
        <f>IF($B262="","",(COUNTIFS(Rships!$C$2:$C$9990,$A262,Rships!$D$2:$D$9990,4)))</f>
        <v/>
      </c>
      <c r="AF262" s="64" t="str">
        <f>IF($B262="","",(COUNTIFS(Rships!$C$2:$C$9990,$A262,Rships!$D$2:$D$9990,5)))</f>
        <v/>
      </c>
      <c r="AG262" s="64" t="str">
        <f>IF($B262="","",(COUNTIFS(Rships!$C$2:$C$9990,$A262,Rships!$D$2:$D$9990,6)))</f>
        <v/>
      </c>
      <c r="AH262" s="64" t="str">
        <f>IF($B262="","",(COUNTIFS(Rships!$C$2:$C$9990,$A262,Rships!$D$2:$D$9990,7)))</f>
        <v/>
      </c>
    </row>
    <row r="263" spans="1:34" s="29" customFormat="1">
      <c r="A263" s="1" t="s">
        <v>515</v>
      </c>
      <c r="B263" s="35" t="s">
        <v>137</v>
      </c>
      <c r="C263" s="29" t="s">
        <v>19</v>
      </c>
      <c r="D263" s="29" t="s">
        <v>21</v>
      </c>
      <c r="E263" s="29" t="s">
        <v>192</v>
      </c>
      <c r="F263" s="29" t="s">
        <v>195</v>
      </c>
      <c r="G263" s="29" t="s">
        <v>196</v>
      </c>
      <c r="H263" s="31">
        <v>6108055799089</v>
      </c>
      <c r="I263" s="32">
        <v>720437556</v>
      </c>
      <c r="J263" s="29" t="s">
        <v>193</v>
      </c>
      <c r="K263" s="29" t="s">
        <v>197</v>
      </c>
      <c r="L263" s="31">
        <v>9323</v>
      </c>
      <c r="M263" s="29" t="s">
        <v>197</v>
      </c>
      <c r="N263" s="31">
        <v>9323</v>
      </c>
      <c r="O263" s="29" t="s">
        <v>26</v>
      </c>
      <c r="P263" s="34">
        <v>25000</v>
      </c>
      <c r="Q263" s="29" t="s">
        <v>194</v>
      </c>
      <c r="R263" s="29" t="s">
        <v>90</v>
      </c>
      <c r="S263" s="29" t="s">
        <v>123</v>
      </c>
      <c r="T263" s="29" t="s">
        <v>198</v>
      </c>
      <c r="U263" s="31">
        <v>9220325300</v>
      </c>
      <c r="V263" s="29" t="s">
        <v>31</v>
      </c>
      <c r="W263" s="26">
        <v>41644</v>
      </c>
      <c r="X263" s="48">
        <v>41591</v>
      </c>
      <c r="Y263" s="64">
        <f t="shared" si="8"/>
        <v>0</v>
      </c>
      <c r="Z263" s="29" t="s">
        <v>123</v>
      </c>
      <c r="AA263" s="64">
        <f t="shared" si="9"/>
        <v>0</v>
      </c>
      <c r="AB263" s="64">
        <f>IF($B263="","",(COUNTIFS(Rships!$C$2:$C$9990,$A263,Rships!$D$2:$D$9990,1)))</f>
        <v>0</v>
      </c>
      <c r="AC263" s="64">
        <f>IF($B263="","",(COUNTIFS(Rships!$C$2:$C$9990,$A263,Rships!$D$2:$D$9990,2)))</f>
        <v>0</v>
      </c>
      <c r="AD263" s="64">
        <f>IF($B263="","",(COUNTIFS(Rships!$C$2:$C$9990,$A263,Rships!$D$2:$D$9990,3)))</f>
        <v>0</v>
      </c>
      <c r="AE263" s="64">
        <f>IF($B263="","",(COUNTIFS(Rships!$C$2:$C$9990,$A263,Rships!$D$2:$D$9990,4)))</f>
        <v>0</v>
      </c>
      <c r="AF263" s="64">
        <f>IF($B263="","",(COUNTIFS(Rships!$C$2:$C$9990,$A263,Rships!$D$2:$D$9990,5)))</f>
        <v>0</v>
      </c>
      <c r="AG263" s="64">
        <f>IF($B263="","",(COUNTIFS(Rships!$C$2:$C$9990,$A263,Rships!$D$2:$D$9990,6)))</f>
        <v>0</v>
      </c>
      <c r="AH263" s="64">
        <f>IF($B263="","",(COUNTIFS(Rships!$C$2:$C$9990,$A263,Rships!$D$2:$D$9990,7)))</f>
        <v>0</v>
      </c>
    </row>
    <row r="264" spans="1:34">
      <c r="A264" s="1" t="s">
        <v>516</v>
      </c>
      <c r="C264" s="11" t="s">
        <v>19</v>
      </c>
      <c r="D264" s="11" t="s">
        <v>21</v>
      </c>
      <c r="F264" s="15"/>
      <c r="G264" s="15"/>
      <c r="I264" s="17"/>
      <c r="O264" s="11" t="s">
        <v>27</v>
      </c>
      <c r="W264" s="36"/>
      <c r="Y264" s="64">
        <f t="shared" si="8"/>
        <v>0</v>
      </c>
      <c r="AA264" s="64">
        <f t="shared" si="9"/>
        <v>0</v>
      </c>
      <c r="AB264" s="64" t="str">
        <f>IF($B264="","",(COUNTIFS(Rships!$C$2:$C$9990,$A264,Rships!$D$2:$D$9990,1)))</f>
        <v/>
      </c>
      <c r="AC264" s="64" t="str">
        <f>IF($B264="","",(COUNTIFS(Rships!$C$2:$C$9990,$A264,Rships!$D$2:$D$9990,2)))</f>
        <v/>
      </c>
      <c r="AD264" s="64" t="str">
        <f>IF($B264="","",(COUNTIFS(Rships!$C$2:$C$9990,$A264,Rships!$D$2:$D$9990,3)))</f>
        <v/>
      </c>
      <c r="AE264" s="64" t="str">
        <f>IF($B264="","",(COUNTIFS(Rships!$C$2:$C$9990,$A264,Rships!$D$2:$D$9990,4)))</f>
        <v/>
      </c>
      <c r="AF264" s="64" t="str">
        <f>IF($B264="","",(COUNTIFS(Rships!$C$2:$C$9990,$A264,Rships!$D$2:$D$9990,5)))</f>
        <v/>
      </c>
      <c r="AG264" s="64" t="str">
        <f>IF($B264="","",(COUNTIFS(Rships!$C$2:$C$9990,$A264,Rships!$D$2:$D$9990,6)))</f>
        <v/>
      </c>
      <c r="AH264" s="64" t="str">
        <f>IF($B264="","",(COUNTIFS(Rships!$C$2:$C$9990,$A264,Rships!$D$2:$D$9990,7)))</f>
        <v/>
      </c>
    </row>
    <row r="265" spans="1:34">
      <c r="A265" s="1" t="s">
        <v>517</v>
      </c>
      <c r="C265" s="11" t="s">
        <v>19</v>
      </c>
      <c r="D265" s="11" t="s">
        <v>21</v>
      </c>
      <c r="F265" s="15"/>
      <c r="G265" s="15"/>
      <c r="I265" s="17"/>
      <c r="O265" s="11" t="s">
        <v>27</v>
      </c>
      <c r="Y265" s="64">
        <f t="shared" si="8"/>
        <v>0</v>
      </c>
      <c r="AA265" s="64">
        <f t="shared" si="9"/>
        <v>0</v>
      </c>
      <c r="AB265" s="64" t="str">
        <f>IF($B265="","",(COUNTIFS(Rships!$C$2:$C$9990,$A265,Rships!$D$2:$D$9990,1)))</f>
        <v/>
      </c>
      <c r="AC265" s="64" t="str">
        <f>IF($B265="","",(COUNTIFS(Rships!$C$2:$C$9990,$A265,Rships!$D$2:$D$9990,2)))</f>
        <v/>
      </c>
      <c r="AD265" s="64" t="str">
        <f>IF($B265="","",(COUNTIFS(Rships!$C$2:$C$9990,$A265,Rships!$D$2:$D$9990,3)))</f>
        <v/>
      </c>
      <c r="AE265" s="64" t="str">
        <f>IF($B265="","",(COUNTIFS(Rships!$C$2:$C$9990,$A265,Rships!$D$2:$D$9990,4)))</f>
        <v/>
      </c>
      <c r="AF265" s="64" t="str">
        <f>IF($B265="","",(COUNTIFS(Rships!$C$2:$C$9990,$A265,Rships!$D$2:$D$9990,5)))</f>
        <v/>
      </c>
      <c r="AG265" s="64" t="str">
        <f>IF($B265="","",(COUNTIFS(Rships!$C$2:$C$9990,$A265,Rships!$D$2:$D$9990,6)))</f>
        <v/>
      </c>
      <c r="AH265" s="64" t="str">
        <f>IF($B265="","",(COUNTIFS(Rships!$C$2:$C$9990,$A265,Rships!$D$2:$D$9990,7)))</f>
        <v/>
      </c>
    </row>
    <row r="266" spans="1:34">
      <c r="A266" s="1" t="s">
        <v>518</v>
      </c>
      <c r="C266" s="11" t="s">
        <v>19</v>
      </c>
      <c r="D266" s="11" t="s">
        <v>21</v>
      </c>
      <c r="F266" s="15"/>
      <c r="G266" s="15"/>
      <c r="I266" s="17"/>
      <c r="O266" s="11" t="s">
        <v>27</v>
      </c>
      <c r="Y266" s="64">
        <f t="shared" si="8"/>
        <v>0</v>
      </c>
      <c r="AA266" s="64">
        <f t="shared" si="9"/>
        <v>0</v>
      </c>
      <c r="AB266" s="64" t="str">
        <f>IF($B266="","",(COUNTIFS(Rships!$C$2:$C$9990,$A266,Rships!$D$2:$D$9990,1)))</f>
        <v/>
      </c>
      <c r="AC266" s="64" t="str">
        <f>IF($B266="","",(COUNTIFS(Rships!$C$2:$C$9990,$A266,Rships!$D$2:$D$9990,2)))</f>
        <v/>
      </c>
      <c r="AD266" s="64" t="str">
        <f>IF($B266="","",(COUNTIFS(Rships!$C$2:$C$9990,$A266,Rships!$D$2:$D$9990,3)))</f>
        <v/>
      </c>
      <c r="AE266" s="64" t="str">
        <f>IF($B266="","",(COUNTIFS(Rships!$C$2:$C$9990,$A266,Rships!$D$2:$D$9990,4)))</f>
        <v/>
      </c>
      <c r="AF266" s="64" t="str">
        <f>IF($B266="","",(COUNTIFS(Rships!$C$2:$C$9990,$A266,Rships!$D$2:$D$9990,5)))</f>
        <v/>
      </c>
      <c r="AG266" s="64" t="str">
        <f>IF($B266="","",(COUNTIFS(Rships!$C$2:$C$9990,$A266,Rships!$D$2:$D$9990,6)))</f>
        <v/>
      </c>
      <c r="AH266" s="64" t="str">
        <f>IF($B266="","",(COUNTIFS(Rships!$C$2:$C$9990,$A266,Rships!$D$2:$D$9990,7)))</f>
        <v/>
      </c>
    </row>
    <row r="267" spans="1:34">
      <c r="A267" s="1" t="s">
        <v>519</v>
      </c>
      <c r="B267" s="13" t="s">
        <v>137</v>
      </c>
      <c r="C267" s="11" t="s">
        <v>19</v>
      </c>
      <c r="D267" s="11" t="s">
        <v>21</v>
      </c>
      <c r="E267" s="11" t="s">
        <v>1288</v>
      </c>
      <c r="F267" s="15" t="s">
        <v>1289</v>
      </c>
      <c r="G267" s="15" t="s">
        <v>1290</v>
      </c>
      <c r="H267" s="16">
        <v>800616520588</v>
      </c>
      <c r="I267" s="17">
        <v>760358977</v>
      </c>
      <c r="J267" s="15" t="s">
        <v>1291</v>
      </c>
      <c r="K267" s="11" t="s">
        <v>1292</v>
      </c>
      <c r="L267" s="16">
        <v>9781</v>
      </c>
      <c r="M267" s="11" t="s">
        <v>1292</v>
      </c>
      <c r="N267" s="16">
        <v>9781</v>
      </c>
      <c r="O267" s="11" t="s">
        <v>26</v>
      </c>
      <c r="P267" s="18">
        <v>15000</v>
      </c>
      <c r="Q267" s="11" t="s">
        <v>227</v>
      </c>
      <c r="R267" s="11" t="s">
        <v>135</v>
      </c>
      <c r="T267" s="11" t="s">
        <v>1293</v>
      </c>
      <c r="U267" s="16">
        <v>202217752</v>
      </c>
      <c r="V267" s="11" t="s">
        <v>29</v>
      </c>
      <c r="W267" s="26">
        <v>41644</v>
      </c>
      <c r="X267" s="46">
        <v>41612</v>
      </c>
      <c r="Y267" s="64">
        <f t="shared" si="8"/>
        <v>0</v>
      </c>
      <c r="Z267" s="29" t="s">
        <v>123</v>
      </c>
      <c r="AA267" s="64">
        <f t="shared" si="9"/>
        <v>0</v>
      </c>
      <c r="AB267" s="64">
        <f>IF($B267="","",(COUNTIFS(Rships!$C$2:$C$9990,$A267,Rships!$D$2:$D$9990,1)))</f>
        <v>0</v>
      </c>
      <c r="AC267" s="64">
        <f>IF($B267="","",(COUNTIFS(Rships!$C$2:$C$9990,$A267,Rships!$D$2:$D$9990,2)))</f>
        <v>0</v>
      </c>
      <c r="AD267" s="64">
        <f>IF($B267="","",(COUNTIFS(Rships!$C$2:$C$9990,$A267,Rships!$D$2:$D$9990,3)))</f>
        <v>0</v>
      </c>
      <c r="AE267" s="64">
        <f>IF($B267="","",(COUNTIFS(Rships!$C$2:$C$9990,$A267,Rships!$D$2:$D$9990,4)))</f>
        <v>0</v>
      </c>
      <c r="AF267" s="64">
        <f>IF($B267="","",(COUNTIFS(Rships!$C$2:$C$9990,$A267,Rships!$D$2:$D$9990,5)))</f>
        <v>0</v>
      </c>
      <c r="AG267" s="64">
        <f>IF($B267="","",(COUNTIFS(Rships!$C$2:$C$9990,$A267,Rships!$D$2:$D$9990,6)))</f>
        <v>0</v>
      </c>
      <c r="AH267" s="64">
        <f>IF($B267="","",(COUNTIFS(Rships!$C$2:$C$9990,$A267,Rships!$D$2:$D$9990,7)))</f>
        <v>0</v>
      </c>
    </row>
    <row r="268" spans="1:34">
      <c r="A268" s="1" t="s">
        <v>520</v>
      </c>
      <c r="C268" s="11" t="s">
        <v>19</v>
      </c>
      <c r="D268" s="11" t="s">
        <v>21</v>
      </c>
      <c r="F268" s="15"/>
      <c r="G268" s="15"/>
      <c r="I268" s="17"/>
      <c r="O268" s="11" t="s">
        <v>27</v>
      </c>
      <c r="Y268" s="64">
        <f t="shared" si="8"/>
        <v>0</v>
      </c>
      <c r="AA268" s="64">
        <f t="shared" si="9"/>
        <v>0</v>
      </c>
      <c r="AB268" s="64" t="str">
        <f>IF($B268="","",(COUNTIFS(Rships!$C$2:$C$9990,$A268,Rships!$D$2:$D$9990,1)))</f>
        <v/>
      </c>
      <c r="AC268" s="64" t="str">
        <f>IF($B268="","",(COUNTIFS(Rships!$C$2:$C$9990,$A268,Rships!$D$2:$D$9990,2)))</f>
        <v/>
      </c>
      <c r="AD268" s="64" t="str">
        <f>IF($B268="","",(COUNTIFS(Rships!$C$2:$C$9990,$A268,Rships!$D$2:$D$9990,3)))</f>
        <v/>
      </c>
      <c r="AE268" s="64" t="str">
        <f>IF($B268="","",(COUNTIFS(Rships!$C$2:$C$9990,$A268,Rships!$D$2:$D$9990,4)))</f>
        <v/>
      </c>
      <c r="AF268" s="64" t="str">
        <f>IF($B268="","",(COUNTIFS(Rships!$C$2:$C$9990,$A268,Rships!$D$2:$D$9990,5)))</f>
        <v/>
      </c>
      <c r="AG268" s="64" t="str">
        <f>IF($B268="","",(COUNTIFS(Rships!$C$2:$C$9990,$A268,Rships!$D$2:$D$9990,6)))</f>
        <v/>
      </c>
      <c r="AH268" s="64" t="str">
        <f>IF($B268="","",(COUNTIFS(Rships!$C$2:$C$9990,$A268,Rships!$D$2:$D$9990,7)))</f>
        <v/>
      </c>
    </row>
    <row r="269" spans="1:34">
      <c r="A269" s="1" t="s">
        <v>521</v>
      </c>
      <c r="C269" s="11" t="s">
        <v>19</v>
      </c>
      <c r="D269" s="11" t="s">
        <v>21</v>
      </c>
      <c r="F269" s="15"/>
      <c r="G269" s="15"/>
      <c r="I269" s="17"/>
      <c r="O269" s="11" t="s">
        <v>27</v>
      </c>
      <c r="Y269" s="64">
        <f t="shared" si="8"/>
        <v>0</v>
      </c>
      <c r="AA269" s="64">
        <f t="shared" si="9"/>
        <v>0</v>
      </c>
      <c r="AB269" s="64" t="str">
        <f>IF($B269="","",(COUNTIFS(Rships!$C$2:$C$9990,$A269,Rships!$D$2:$D$9990,1)))</f>
        <v/>
      </c>
      <c r="AC269" s="64" t="str">
        <f>IF($B269="","",(COUNTIFS(Rships!$C$2:$C$9990,$A269,Rships!$D$2:$D$9990,2)))</f>
        <v/>
      </c>
      <c r="AD269" s="64" t="str">
        <f>IF($B269="","",(COUNTIFS(Rships!$C$2:$C$9990,$A269,Rships!$D$2:$D$9990,3)))</f>
        <v/>
      </c>
      <c r="AE269" s="64" t="str">
        <f>IF($B269="","",(COUNTIFS(Rships!$C$2:$C$9990,$A269,Rships!$D$2:$D$9990,4)))</f>
        <v/>
      </c>
      <c r="AF269" s="64" t="str">
        <f>IF($B269="","",(COUNTIFS(Rships!$C$2:$C$9990,$A269,Rships!$D$2:$D$9990,5)))</f>
        <v/>
      </c>
      <c r="AG269" s="64" t="str">
        <f>IF($B269="","",(COUNTIFS(Rships!$C$2:$C$9990,$A269,Rships!$D$2:$D$9990,6)))</f>
        <v/>
      </c>
      <c r="AH269" s="64" t="str">
        <f>IF($B269="","",(COUNTIFS(Rships!$C$2:$C$9990,$A269,Rships!$D$2:$D$9990,7)))</f>
        <v/>
      </c>
    </row>
    <row r="270" spans="1:34">
      <c r="A270" s="1" t="s">
        <v>522</v>
      </c>
      <c r="C270" s="11" t="s">
        <v>19</v>
      </c>
      <c r="D270" s="11" t="s">
        <v>21</v>
      </c>
      <c r="F270" s="15"/>
      <c r="G270" s="15"/>
      <c r="I270" s="17"/>
      <c r="O270" s="11" t="s">
        <v>27</v>
      </c>
      <c r="Y270" s="64">
        <f t="shared" si="8"/>
        <v>0</v>
      </c>
      <c r="AA270" s="64">
        <f t="shared" si="9"/>
        <v>0</v>
      </c>
      <c r="AB270" s="64" t="str">
        <f>IF($B270="","",(COUNTIFS(Rships!$C$2:$C$9990,$A270,Rships!$D$2:$D$9990,1)))</f>
        <v/>
      </c>
      <c r="AC270" s="64" t="str">
        <f>IF($B270="","",(COUNTIFS(Rships!$C$2:$C$9990,$A270,Rships!$D$2:$D$9990,2)))</f>
        <v/>
      </c>
      <c r="AD270" s="64" t="str">
        <f>IF($B270="","",(COUNTIFS(Rships!$C$2:$C$9990,$A270,Rships!$D$2:$D$9990,3)))</f>
        <v/>
      </c>
      <c r="AE270" s="64" t="str">
        <f>IF($B270="","",(COUNTIFS(Rships!$C$2:$C$9990,$A270,Rships!$D$2:$D$9990,4)))</f>
        <v/>
      </c>
      <c r="AF270" s="64" t="str">
        <f>IF($B270="","",(COUNTIFS(Rships!$C$2:$C$9990,$A270,Rships!$D$2:$D$9990,5)))</f>
        <v/>
      </c>
      <c r="AG270" s="64" t="str">
        <f>IF($B270="","",(COUNTIFS(Rships!$C$2:$C$9990,$A270,Rships!$D$2:$D$9990,6)))</f>
        <v/>
      </c>
      <c r="AH270" s="64" t="str">
        <f>IF($B270="","",(COUNTIFS(Rships!$C$2:$C$9990,$A270,Rships!$D$2:$D$9990,7)))</f>
        <v/>
      </c>
    </row>
    <row r="271" spans="1:34" ht="15">
      <c r="A271" s="1" t="s">
        <v>523</v>
      </c>
      <c r="C271" s="11" t="s">
        <v>19</v>
      </c>
      <c r="D271" s="11" t="s">
        <v>21</v>
      </c>
      <c r="F271" s="30"/>
      <c r="G271" s="15"/>
      <c r="I271" s="17"/>
      <c r="J271" s="33"/>
      <c r="O271" s="11" t="s">
        <v>27</v>
      </c>
      <c r="W271" s="36"/>
      <c r="Y271" s="64">
        <f t="shared" si="8"/>
        <v>0</v>
      </c>
      <c r="AA271" s="64">
        <f t="shared" si="9"/>
        <v>0</v>
      </c>
      <c r="AB271" s="64" t="str">
        <f>IF($B271="","",(COUNTIFS(Rships!$C$2:$C$9990,$A271,Rships!$D$2:$D$9990,1)))</f>
        <v/>
      </c>
      <c r="AC271" s="64" t="str">
        <f>IF($B271="","",(COUNTIFS(Rships!$C$2:$C$9990,$A271,Rships!$D$2:$D$9990,2)))</f>
        <v/>
      </c>
      <c r="AD271" s="64" t="str">
        <f>IF($B271="","",(COUNTIFS(Rships!$C$2:$C$9990,$A271,Rships!$D$2:$D$9990,3)))</f>
        <v/>
      </c>
      <c r="AE271" s="64" t="str">
        <f>IF($B271="","",(COUNTIFS(Rships!$C$2:$C$9990,$A271,Rships!$D$2:$D$9990,4)))</f>
        <v/>
      </c>
      <c r="AF271" s="64" t="str">
        <f>IF($B271="","",(COUNTIFS(Rships!$C$2:$C$9990,$A271,Rships!$D$2:$D$9990,5)))</f>
        <v/>
      </c>
      <c r="AG271" s="64" t="str">
        <f>IF($B271="","",(COUNTIFS(Rships!$C$2:$C$9990,$A271,Rships!$D$2:$D$9990,6)))</f>
        <v/>
      </c>
      <c r="AH271" s="64" t="str">
        <f>IF($B271="","",(COUNTIFS(Rships!$C$2:$C$9990,$A271,Rships!$D$2:$D$9990,7)))</f>
        <v/>
      </c>
    </row>
    <row r="272" spans="1:34" s="29" customFormat="1">
      <c r="A272" s="1" t="s">
        <v>524</v>
      </c>
      <c r="B272" s="35" t="s">
        <v>137</v>
      </c>
      <c r="C272" s="29" t="s">
        <v>19</v>
      </c>
      <c r="D272" s="29" t="s">
        <v>21</v>
      </c>
      <c r="E272" s="29" t="s">
        <v>200</v>
      </c>
      <c r="F272" s="29" t="s">
        <v>202</v>
      </c>
      <c r="G272" s="30" t="s">
        <v>203</v>
      </c>
      <c r="H272" s="31">
        <v>8911055411086</v>
      </c>
      <c r="I272" s="32">
        <v>786731050</v>
      </c>
      <c r="J272" s="29" t="s">
        <v>201</v>
      </c>
      <c r="K272" s="29" t="s">
        <v>204</v>
      </c>
      <c r="L272" s="31">
        <v>9781</v>
      </c>
      <c r="M272" s="29" t="s">
        <v>204</v>
      </c>
      <c r="N272" s="31">
        <v>9781</v>
      </c>
      <c r="O272" s="29" t="s">
        <v>26</v>
      </c>
      <c r="P272" s="34">
        <v>15000</v>
      </c>
      <c r="Q272" s="29" t="s">
        <v>205</v>
      </c>
      <c r="R272" s="29" t="s">
        <v>135</v>
      </c>
      <c r="T272" s="29" t="s">
        <v>206</v>
      </c>
      <c r="U272" s="31">
        <v>270197834</v>
      </c>
      <c r="V272" s="29" t="s">
        <v>29</v>
      </c>
      <c r="W272" s="26">
        <v>41670</v>
      </c>
      <c r="X272" s="48">
        <v>41591</v>
      </c>
      <c r="Y272" s="64">
        <f t="shared" si="8"/>
        <v>0</v>
      </c>
      <c r="Z272" s="29" t="s">
        <v>123</v>
      </c>
      <c r="AA272" s="64">
        <f t="shared" si="9"/>
        <v>0</v>
      </c>
      <c r="AB272" s="64">
        <f>IF($B272="","",(COUNTIFS(Rships!$C$2:$C$9990,$A272,Rships!$D$2:$D$9990,1)))</f>
        <v>0</v>
      </c>
      <c r="AC272" s="64">
        <f>IF($B272="","",(COUNTIFS(Rships!$C$2:$C$9990,$A272,Rships!$D$2:$D$9990,2)))</f>
        <v>0</v>
      </c>
      <c r="AD272" s="64">
        <f>IF($B272="","",(COUNTIFS(Rships!$C$2:$C$9990,$A272,Rships!$D$2:$D$9990,3)))</f>
        <v>0</v>
      </c>
      <c r="AE272" s="64">
        <f>IF($B272="","",(COUNTIFS(Rships!$C$2:$C$9990,$A272,Rships!$D$2:$D$9990,4)))</f>
        <v>0</v>
      </c>
      <c r="AF272" s="64">
        <f>IF($B272="","",(COUNTIFS(Rships!$C$2:$C$9990,$A272,Rships!$D$2:$D$9990,5)))</f>
        <v>0</v>
      </c>
      <c r="AG272" s="64">
        <f>IF($B272="","",(COUNTIFS(Rships!$C$2:$C$9990,$A272,Rships!$D$2:$D$9990,6)))</f>
        <v>0</v>
      </c>
      <c r="AH272" s="64">
        <f>IF($B272="","",(COUNTIFS(Rships!$C$2:$C$9990,$A272,Rships!$D$2:$D$9990,7)))</f>
        <v>0</v>
      </c>
    </row>
    <row r="273" spans="1:34">
      <c r="A273" s="1" t="s">
        <v>525</v>
      </c>
      <c r="C273" s="11" t="s">
        <v>19</v>
      </c>
      <c r="D273" s="11" t="s">
        <v>21</v>
      </c>
      <c r="F273" s="15"/>
      <c r="G273" s="15"/>
      <c r="I273" s="17"/>
      <c r="O273" s="11" t="s">
        <v>27</v>
      </c>
      <c r="Y273" s="64">
        <f t="shared" si="8"/>
        <v>0</v>
      </c>
      <c r="AA273" s="64">
        <f t="shared" si="9"/>
        <v>0</v>
      </c>
      <c r="AB273" s="64" t="str">
        <f>IF($B273="","",(COUNTIFS(Rships!$C$2:$C$9990,$A273,Rships!$D$2:$D$9990,1)))</f>
        <v/>
      </c>
      <c r="AC273" s="64" t="str">
        <f>IF($B273="","",(COUNTIFS(Rships!$C$2:$C$9990,$A273,Rships!$D$2:$D$9990,2)))</f>
        <v/>
      </c>
      <c r="AD273" s="64" t="str">
        <f>IF($B273="","",(COUNTIFS(Rships!$C$2:$C$9990,$A273,Rships!$D$2:$D$9990,3)))</f>
        <v/>
      </c>
      <c r="AE273" s="64" t="str">
        <f>IF($B273="","",(COUNTIFS(Rships!$C$2:$C$9990,$A273,Rships!$D$2:$D$9990,4)))</f>
        <v/>
      </c>
      <c r="AF273" s="64" t="str">
        <f>IF($B273="","",(COUNTIFS(Rships!$C$2:$C$9990,$A273,Rships!$D$2:$D$9990,5)))</f>
        <v/>
      </c>
      <c r="AG273" s="64" t="str">
        <f>IF($B273="","",(COUNTIFS(Rships!$C$2:$C$9990,$A273,Rships!$D$2:$D$9990,6)))</f>
        <v/>
      </c>
      <c r="AH273" s="64" t="str">
        <f>IF($B273="","",(COUNTIFS(Rships!$C$2:$C$9990,$A273,Rships!$D$2:$D$9990,7)))</f>
        <v/>
      </c>
    </row>
    <row r="274" spans="1:34">
      <c r="A274" s="1" t="s">
        <v>526</v>
      </c>
      <c r="C274" s="11" t="s">
        <v>19</v>
      </c>
      <c r="D274" s="11" t="s">
        <v>21</v>
      </c>
      <c r="F274" s="15"/>
      <c r="G274" s="15"/>
      <c r="I274" s="17"/>
      <c r="O274" s="11" t="s">
        <v>27</v>
      </c>
      <c r="Y274" s="64">
        <f t="shared" si="8"/>
        <v>0</v>
      </c>
      <c r="AA274" s="64">
        <f t="shared" si="9"/>
        <v>0</v>
      </c>
      <c r="AB274" s="64" t="str">
        <f>IF($B274="","",(COUNTIFS(Rships!$C$2:$C$9990,$A274,Rships!$D$2:$D$9990,1)))</f>
        <v/>
      </c>
      <c r="AC274" s="64" t="str">
        <f>IF($B274="","",(COUNTIFS(Rships!$C$2:$C$9990,$A274,Rships!$D$2:$D$9990,2)))</f>
        <v/>
      </c>
      <c r="AD274" s="64" t="str">
        <f>IF($B274="","",(COUNTIFS(Rships!$C$2:$C$9990,$A274,Rships!$D$2:$D$9990,3)))</f>
        <v/>
      </c>
      <c r="AE274" s="64" t="str">
        <f>IF($B274="","",(COUNTIFS(Rships!$C$2:$C$9990,$A274,Rships!$D$2:$D$9990,4)))</f>
        <v/>
      </c>
      <c r="AF274" s="64" t="str">
        <f>IF($B274="","",(COUNTIFS(Rships!$C$2:$C$9990,$A274,Rships!$D$2:$D$9990,5)))</f>
        <v/>
      </c>
      <c r="AG274" s="64" t="str">
        <f>IF($B274="","",(COUNTIFS(Rships!$C$2:$C$9990,$A274,Rships!$D$2:$D$9990,6)))</f>
        <v/>
      </c>
      <c r="AH274" s="64" t="str">
        <f>IF($B274="","",(COUNTIFS(Rships!$C$2:$C$9990,$A274,Rships!$D$2:$D$9990,7)))</f>
        <v/>
      </c>
    </row>
    <row r="275" spans="1:34">
      <c r="A275" s="1" t="s">
        <v>527</v>
      </c>
      <c r="C275" s="11" t="s">
        <v>19</v>
      </c>
      <c r="D275" s="11" t="s">
        <v>21</v>
      </c>
      <c r="F275" s="15"/>
      <c r="G275" s="15"/>
      <c r="I275" s="17"/>
      <c r="O275" s="11" t="s">
        <v>27</v>
      </c>
      <c r="Y275" s="64">
        <f t="shared" si="8"/>
        <v>0</v>
      </c>
      <c r="AA275" s="64">
        <f t="shared" si="9"/>
        <v>0</v>
      </c>
      <c r="AB275" s="64" t="str">
        <f>IF($B275="","",(COUNTIFS(Rships!$C$2:$C$9990,$A275,Rships!$D$2:$D$9990,1)))</f>
        <v/>
      </c>
      <c r="AC275" s="64" t="str">
        <f>IF($B275="","",(COUNTIFS(Rships!$C$2:$C$9990,$A275,Rships!$D$2:$D$9990,2)))</f>
        <v/>
      </c>
      <c r="AD275" s="64" t="str">
        <f>IF($B275="","",(COUNTIFS(Rships!$C$2:$C$9990,$A275,Rships!$D$2:$D$9990,3)))</f>
        <v/>
      </c>
      <c r="AE275" s="64" t="str">
        <f>IF($B275="","",(COUNTIFS(Rships!$C$2:$C$9990,$A275,Rships!$D$2:$D$9990,4)))</f>
        <v/>
      </c>
      <c r="AF275" s="64" t="str">
        <f>IF($B275="","",(COUNTIFS(Rships!$C$2:$C$9990,$A275,Rships!$D$2:$D$9990,5)))</f>
        <v/>
      </c>
      <c r="AG275" s="64" t="str">
        <f>IF($B275="","",(COUNTIFS(Rships!$C$2:$C$9990,$A275,Rships!$D$2:$D$9990,6)))</f>
        <v/>
      </c>
      <c r="AH275" s="64" t="str">
        <f>IF($B275="","",(COUNTIFS(Rships!$C$2:$C$9990,$A275,Rships!$D$2:$D$9990,7)))</f>
        <v/>
      </c>
    </row>
    <row r="276" spans="1:34">
      <c r="A276" s="1" t="s">
        <v>528</v>
      </c>
      <c r="C276" s="11" t="s">
        <v>19</v>
      </c>
      <c r="D276" s="11" t="s">
        <v>21</v>
      </c>
      <c r="F276" s="15"/>
      <c r="G276" s="15"/>
      <c r="I276" s="17"/>
      <c r="O276" s="11" t="s">
        <v>27</v>
      </c>
      <c r="Y276" s="64">
        <f t="shared" si="8"/>
        <v>0</v>
      </c>
      <c r="AA276" s="64">
        <f t="shared" si="9"/>
        <v>0</v>
      </c>
      <c r="AB276" s="64" t="str">
        <f>IF($B276="","",(COUNTIFS(Rships!$C$2:$C$9990,$A276,Rships!$D$2:$D$9990,1)))</f>
        <v/>
      </c>
      <c r="AC276" s="64" t="str">
        <f>IF($B276="","",(COUNTIFS(Rships!$C$2:$C$9990,$A276,Rships!$D$2:$D$9990,2)))</f>
        <v/>
      </c>
      <c r="AD276" s="64" t="str">
        <f>IF($B276="","",(COUNTIFS(Rships!$C$2:$C$9990,$A276,Rships!$D$2:$D$9990,3)))</f>
        <v/>
      </c>
      <c r="AE276" s="64" t="str">
        <f>IF($B276="","",(COUNTIFS(Rships!$C$2:$C$9990,$A276,Rships!$D$2:$D$9990,4)))</f>
        <v/>
      </c>
      <c r="AF276" s="64" t="str">
        <f>IF($B276="","",(COUNTIFS(Rships!$C$2:$C$9990,$A276,Rships!$D$2:$D$9990,5)))</f>
        <v/>
      </c>
      <c r="AG276" s="64" t="str">
        <f>IF($B276="","",(COUNTIFS(Rships!$C$2:$C$9990,$A276,Rships!$D$2:$D$9990,6)))</f>
        <v/>
      </c>
      <c r="AH276" s="64" t="str">
        <f>IF($B276="","",(COUNTIFS(Rships!$C$2:$C$9990,$A276,Rships!$D$2:$D$9990,7)))</f>
        <v/>
      </c>
    </row>
    <row r="277" spans="1:34">
      <c r="A277" s="1" t="s">
        <v>529</v>
      </c>
      <c r="C277" s="11" t="s">
        <v>19</v>
      </c>
      <c r="D277" s="11" t="s">
        <v>21</v>
      </c>
      <c r="F277" s="15"/>
      <c r="G277" s="15"/>
      <c r="I277" s="17"/>
      <c r="O277" s="11" t="s">
        <v>27</v>
      </c>
      <c r="Y277" s="64">
        <f t="shared" si="8"/>
        <v>0</v>
      </c>
      <c r="AA277" s="64">
        <f t="shared" si="9"/>
        <v>0</v>
      </c>
      <c r="AB277" s="64" t="str">
        <f>IF($B277="","",(COUNTIFS(Rships!$C$2:$C$9990,$A277,Rships!$D$2:$D$9990,1)))</f>
        <v/>
      </c>
      <c r="AC277" s="64" t="str">
        <f>IF($B277="","",(COUNTIFS(Rships!$C$2:$C$9990,$A277,Rships!$D$2:$D$9990,2)))</f>
        <v/>
      </c>
      <c r="AD277" s="64" t="str">
        <f>IF($B277="","",(COUNTIFS(Rships!$C$2:$C$9990,$A277,Rships!$D$2:$D$9990,3)))</f>
        <v/>
      </c>
      <c r="AE277" s="64" t="str">
        <f>IF($B277="","",(COUNTIFS(Rships!$C$2:$C$9990,$A277,Rships!$D$2:$D$9990,4)))</f>
        <v/>
      </c>
      <c r="AF277" s="64" t="str">
        <f>IF($B277="","",(COUNTIFS(Rships!$C$2:$C$9990,$A277,Rships!$D$2:$D$9990,5)))</f>
        <v/>
      </c>
      <c r="AG277" s="64" t="str">
        <f>IF($B277="","",(COUNTIFS(Rships!$C$2:$C$9990,$A277,Rships!$D$2:$D$9990,6)))</f>
        <v/>
      </c>
      <c r="AH277" s="64" t="str">
        <f>IF($B277="","",(COUNTIFS(Rships!$C$2:$C$9990,$A277,Rships!$D$2:$D$9990,7)))</f>
        <v/>
      </c>
    </row>
    <row r="278" spans="1:34">
      <c r="A278" s="1" t="s">
        <v>530</v>
      </c>
      <c r="C278" s="11" t="s">
        <v>19</v>
      </c>
      <c r="D278" s="11" t="s">
        <v>21</v>
      </c>
      <c r="F278" s="15"/>
      <c r="G278" s="15"/>
      <c r="I278" s="17"/>
      <c r="O278" s="11" t="s">
        <v>27</v>
      </c>
      <c r="Y278" s="64">
        <f t="shared" si="8"/>
        <v>0</v>
      </c>
      <c r="AA278" s="64">
        <f t="shared" si="9"/>
        <v>0</v>
      </c>
      <c r="AB278" s="64" t="str">
        <f>IF($B278="","",(COUNTIFS(Rships!$C$2:$C$9990,$A278,Rships!$D$2:$D$9990,1)))</f>
        <v/>
      </c>
      <c r="AC278" s="64" t="str">
        <f>IF($B278="","",(COUNTIFS(Rships!$C$2:$C$9990,$A278,Rships!$D$2:$D$9990,2)))</f>
        <v/>
      </c>
      <c r="AD278" s="64" t="str">
        <f>IF($B278="","",(COUNTIFS(Rships!$C$2:$C$9990,$A278,Rships!$D$2:$D$9990,3)))</f>
        <v/>
      </c>
      <c r="AE278" s="64" t="str">
        <f>IF($B278="","",(COUNTIFS(Rships!$C$2:$C$9990,$A278,Rships!$D$2:$D$9990,4)))</f>
        <v/>
      </c>
      <c r="AF278" s="64" t="str">
        <f>IF($B278="","",(COUNTIFS(Rships!$C$2:$C$9990,$A278,Rships!$D$2:$D$9990,5)))</f>
        <v/>
      </c>
      <c r="AG278" s="64" t="str">
        <f>IF($B278="","",(COUNTIFS(Rships!$C$2:$C$9990,$A278,Rships!$D$2:$D$9990,6)))</f>
        <v/>
      </c>
      <c r="AH278" s="64" t="str">
        <f>IF($B278="","",(COUNTIFS(Rships!$C$2:$C$9990,$A278,Rships!$D$2:$D$9990,7)))</f>
        <v/>
      </c>
    </row>
    <row r="279" spans="1:34">
      <c r="A279" s="1" t="s">
        <v>531</v>
      </c>
      <c r="C279" s="11" t="s">
        <v>19</v>
      </c>
      <c r="D279" s="11" t="s">
        <v>21</v>
      </c>
      <c r="F279" s="15"/>
      <c r="G279" s="15"/>
      <c r="I279" s="17"/>
      <c r="O279" s="11" t="s">
        <v>27</v>
      </c>
      <c r="Y279" s="64">
        <f t="shared" si="8"/>
        <v>0</v>
      </c>
      <c r="AA279" s="64">
        <f t="shared" si="9"/>
        <v>0</v>
      </c>
      <c r="AB279" s="64" t="str">
        <f>IF($B279="","",(COUNTIFS(Rships!$C$2:$C$9990,$A279,Rships!$D$2:$D$9990,1)))</f>
        <v/>
      </c>
      <c r="AC279" s="64" t="str">
        <f>IF($B279="","",(COUNTIFS(Rships!$C$2:$C$9990,$A279,Rships!$D$2:$D$9990,2)))</f>
        <v/>
      </c>
      <c r="AD279" s="64" t="str">
        <f>IF($B279="","",(COUNTIFS(Rships!$C$2:$C$9990,$A279,Rships!$D$2:$D$9990,3)))</f>
        <v/>
      </c>
      <c r="AE279" s="64" t="str">
        <f>IF($B279="","",(COUNTIFS(Rships!$C$2:$C$9990,$A279,Rships!$D$2:$D$9990,4)))</f>
        <v/>
      </c>
      <c r="AF279" s="64" t="str">
        <f>IF($B279="","",(COUNTIFS(Rships!$C$2:$C$9990,$A279,Rships!$D$2:$D$9990,5)))</f>
        <v/>
      </c>
      <c r="AG279" s="64" t="str">
        <f>IF($B279="","",(COUNTIFS(Rships!$C$2:$C$9990,$A279,Rships!$D$2:$D$9990,6)))</f>
        <v/>
      </c>
      <c r="AH279" s="64" t="str">
        <f>IF($B279="","",(COUNTIFS(Rships!$C$2:$C$9990,$A279,Rships!$D$2:$D$9990,7)))</f>
        <v/>
      </c>
    </row>
    <row r="280" spans="1:34">
      <c r="A280" s="1" t="s">
        <v>532</v>
      </c>
      <c r="C280" s="11" t="s">
        <v>19</v>
      </c>
      <c r="D280" s="11" t="s">
        <v>21</v>
      </c>
      <c r="F280" s="15"/>
      <c r="G280" s="15"/>
      <c r="I280" s="17"/>
      <c r="O280" s="11" t="s">
        <v>27</v>
      </c>
      <c r="Y280" s="64">
        <f t="shared" si="8"/>
        <v>0</v>
      </c>
      <c r="AA280" s="64">
        <f t="shared" si="9"/>
        <v>0</v>
      </c>
      <c r="AB280" s="64" t="str">
        <f>IF($B280="","",(COUNTIFS(Rships!$C$2:$C$9990,$A280,Rships!$D$2:$D$9990,1)))</f>
        <v/>
      </c>
      <c r="AC280" s="64" t="str">
        <f>IF($B280="","",(COUNTIFS(Rships!$C$2:$C$9990,$A280,Rships!$D$2:$D$9990,2)))</f>
        <v/>
      </c>
      <c r="AD280" s="64" t="str">
        <f>IF($B280="","",(COUNTIFS(Rships!$C$2:$C$9990,$A280,Rships!$D$2:$D$9990,3)))</f>
        <v/>
      </c>
      <c r="AE280" s="64" t="str">
        <f>IF($B280="","",(COUNTIFS(Rships!$C$2:$C$9990,$A280,Rships!$D$2:$D$9990,4)))</f>
        <v/>
      </c>
      <c r="AF280" s="64" t="str">
        <f>IF($B280="","",(COUNTIFS(Rships!$C$2:$C$9990,$A280,Rships!$D$2:$D$9990,5)))</f>
        <v/>
      </c>
      <c r="AG280" s="64" t="str">
        <f>IF($B280="","",(COUNTIFS(Rships!$C$2:$C$9990,$A280,Rships!$D$2:$D$9990,6)))</f>
        <v/>
      </c>
      <c r="AH280" s="64" t="str">
        <f>IF($B280="","",(COUNTIFS(Rships!$C$2:$C$9990,$A280,Rships!$D$2:$D$9990,7)))</f>
        <v/>
      </c>
    </row>
    <row r="281" spans="1:34">
      <c r="A281" s="1" t="s">
        <v>533</v>
      </c>
      <c r="C281" s="11" t="s">
        <v>19</v>
      </c>
      <c r="D281" s="11" t="s">
        <v>21</v>
      </c>
      <c r="F281" s="15"/>
      <c r="G281" s="15"/>
      <c r="I281" s="17"/>
      <c r="O281" s="11" t="s">
        <v>27</v>
      </c>
      <c r="Y281" s="64">
        <f t="shared" si="8"/>
        <v>0</v>
      </c>
      <c r="AA281" s="64">
        <f t="shared" si="9"/>
        <v>0</v>
      </c>
      <c r="AB281" s="64" t="str">
        <f>IF($B281="","",(COUNTIFS(Rships!$C$2:$C$9990,$A281,Rships!$D$2:$D$9990,1)))</f>
        <v/>
      </c>
      <c r="AC281" s="64" t="str">
        <f>IF($B281="","",(COUNTIFS(Rships!$C$2:$C$9990,$A281,Rships!$D$2:$D$9990,2)))</f>
        <v/>
      </c>
      <c r="AD281" s="64" t="str">
        <f>IF($B281="","",(COUNTIFS(Rships!$C$2:$C$9990,$A281,Rships!$D$2:$D$9990,3)))</f>
        <v/>
      </c>
      <c r="AE281" s="64" t="str">
        <f>IF($B281="","",(COUNTIFS(Rships!$C$2:$C$9990,$A281,Rships!$D$2:$D$9990,4)))</f>
        <v/>
      </c>
      <c r="AF281" s="64" t="str">
        <f>IF($B281="","",(COUNTIFS(Rships!$C$2:$C$9990,$A281,Rships!$D$2:$D$9990,5)))</f>
        <v/>
      </c>
      <c r="AG281" s="64" t="str">
        <f>IF($B281="","",(COUNTIFS(Rships!$C$2:$C$9990,$A281,Rships!$D$2:$D$9990,6)))</f>
        <v/>
      </c>
      <c r="AH281" s="64" t="str">
        <f>IF($B281="","",(COUNTIFS(Rships!$C$2:$C$9990,$A281,Rships!$D$2:$D$9990,7)))</f>
        <v/>
      </c>
    </row>
    <row r="282" spans="1:34">
      <c r="A282" s="1" t="s">
        <v>534</v>
      </c>
      <c r="C282" s="11" t="s">
        <v>19</v>
      </c>
      <c r="D282" s="11" t="s">
        <v>21</v>
      </c>
      <c r="F282" s="30"/>
      <c r="G282" s="15"/>
      <c r="I282" s="17"/>
      <c r="K282" s="29"/>
      <c r="O282" s="11" t="s">
        <v>27</v>
      </c>
      <c r="Y282" s="64">
        <f t="shared" si="8"/>
        <v>0</v>
      </c>
      <c r="AA282" s="64">
        <f t="shared" si="9"/>
        <v>0</v>
      </c>
      <c r="AB282" s="64" t="str">
        <f>IF($B282="","",(COUNTIFS(Rships!$C$2:$C$9990,$A282,Rships!$D$2:$D$9990,1)))</f>
        <v/>
      </c>
      <c r="AC282" s="64" t="str">
        <f>IF($B282="","",(COUNTIFS(Rships!$C$2:$C$9990,$A282,Rships!$D$2:$D$9990,2)))</f>
        <v/>
      </c>
      <c r="AD282" s="64" t="str">
        <f>IF($B282="","",(COUNTIFS(Rships!$C$2:$C$9990,$A282,Rships!$D$2:$D$9990,3)))</f>
        <v/>
      </c>
      <c r="AE282" s="64" t="str">
        <f>IF($B282="","",(COUNTIFS(Rships!$C$2:$C$9990,$A282,Rships!$D$2:$D$9990,4)))</f>
        <v/>
      </c>
      <c r="AF282" s="64" t="str">
        <f>IF($B282="","",(COUNTIFS(Rships!$C$2:$C$9990,$A282,Rships!$D$2:$D$9990,5)))</f>
        <v/>
      </c>
      <c r="AG282" s="64" t="str">
        <f>IF($B282="","",(COUNTIFS(Rships!$C$2:$C$9990,$A282,Rships!$D$2:$D$9990,6)))</f>
        <v/>
      </c>
      <c r="AH282" s="64" t="str">
        <f>IF($B282="","",(COUNTIFS(Rships!$C$2:$C$9990,$A282,Rships!$D$2:$D$9990,7)))</f>
        <v/>
      </c>
    </row>
    <row r="283" spans="1:34" s="29" customFormat="1">
      <c r="A283" s="1" t="s">
        <v>535</v>
      </c>
      <c r="B283" s="35" t="s">
        <v>207</v>
      </c>
      <c r="C283" s="29" t="s">
        <v>19</v>
      </c>
      <c r="D283" s="29" t="s">
        <v>21</v>
      </c>
      <c r="E283" s="29" t="s">
        <v>208</v>
      </c>
      <c r="F283" s="29" t="s">
        <v>209</v>
      </c>
      <c r="G283" s="30" t="s">
        <v>210</v>
      </c>
      <c r="H283" s="31">
        <v>6301140500089</v>
      </c>
      <c r="I283" s="32">
        <v>835457954</v>
      </c>
      <c r="J283" s="30" t="s">
        <v>139</v>
      </c>
      <c r="K283" s="29" t="s">
        <v>211</v>
      </c>
      <c r="L283" s="31">
        <v>9323</v>
      </c>
      <c r="M283" s="29" t="s">
        <v>211</v>
      </c>
      <c r="N283" s="31">
        <v>9323</v>
      </c>
      <c r="O283" s="29" t="s">
        <v>27</v>
      </c>
      <c r="P283" s="34"/>
      <c r="Q283" s="29" t="s">
        <v>164</v>
      </c>
      <c r="R283" s="29" t="s">
        <v>58</v>
      </c>
      <c r="S283" s="29" t="s">
        <v>123</v>
      </c>
      <c r="T283" s="29" t="s">
        <v>212</v>
      </c>
      <c r="U283" s="31">
        <v>2420338537</v>
      </c>
      <c r="V283" s="29" t="s">
        <v>31</v>
      </c>
      <c r="W283" s="36">
        <v>41646</v>
      </c>
      <c r="X283" s="48">
        <v>41591</v>
      </c>
      <c r="Y283" s="64">
        <f t="shared" si="8"/>
        <v>0</v>
      </c>
      <c r="Z283" s="29" t="s">
        <v>123</v>
      </c>
      <c r="AA283" s="64">
        <f t="shared" si="9"/>
        <v>0</v>
      </c>
      <c r="AB283" s="64">
        <f>IF($B283="","",(COUNTIFS(Rships!$C$2:$C$9990,$A283,Rships!$D$2:$D$9990,1)))</f>
        <v>0</v>
      </c>
      <c r="AC283" s="64">
        <f>IF($B283="","",(COUNTIFS(Rships!$C$2:$C$9990,$A283,Rships!$D$2:$D$9990,2)))</f>
        <v>0</v>
      </c>
      <c r="AD283" s="64">
        <f>IF($B283="","",(COUNTIFS(Rships!$C$2:$C$9990,$A283,Rships!$D$2:$D$9990,3)))</f>
        <v>0</v>
      </c>
      <c r="AE283" s="64">
        <f>IF($B283="","",(COUNTIFS(Rships!$C$2:$C$9990,$A283,Rships!$D$2:$D$9990,4)))</f>
        <v>0</v>
      </c>
      <c r="AF283" s="64">
        <f>IF($B283="","",(COUNTIFS(Rships!$C$2:$C$9990,$A283,Rships!$D$2:$D$9990,5)))</f>
        <v>0</v>
      </c>
      <c r="AG283" s="64">
        <f>IF($B283="","",(COUNTIFS(Rships!$C$2:$C$9990,$A283,Rships!$D$2:$D$9990,6)))</f>
        <v>0</v>
      </c>
      <c r="AH283" s="64">
        <f>IF($B283="","",(COUNTIFS(Rships!$C$2:$C$9990,$A283,Rships!$D$2:$D$9990,7)))</f>
        <v>0</v>
      </c>
    </row>
    <row r="284" spans="1:34">
      <c r="A284" s="1" t="s">
        <v>536</v>
      </c>
      <c r="C284" s="11" t="s">
        <v>19</v>
      </c>
      <c r="D284" s="11" t="s">
        <v>21</v>
      </c>
      <c r="F284" s="15"/>
      <c r="G284" s="15"/>
      <c r="I284" s="17"/>
      <c r="O284" s="11" t="s">
        <v>27</v>
      </c>
      <c r="W284" s="36"/>
      <c r="Y284" s="64">
        <f t="shared" si="8"/>
        <v>0</v>
      </c>
      <c r="AA284" s="64">
        <f t="shared" si="9"/>
        <v>0</v>
      </c>
      <c r="AB284" s="64" t="str">
        <f>IF($B284="","",(COUNTIFS(Rships!$C$2:$C$9990,$A284,Rships!$D$2:$D$9990,1)))</f>
        <v/>
      </c>
      <c r="AC284" s="64" t="str">
        <f>IF($B284="","",(COUNTIFS(Rships!$C$2:$C$9990,$A284,Rships!$D$2:$D$9990,2)))</f>
        <v/>
      </c>
      <c r="AD284" s="64" t="str">
        <f>IF($B284="","",(COUNTIFS(Rships!$C$2:$C$9990,$A284,Rships!$D$2:$D$9990,3)))</f>
        <v/>
      </c>
      <c r="AE284" s="64" t="str">
        <f>IF($B284="","",(COUNTIFS(Rships!$C$2:$C$9990,$A284,Rships!$D$2:$D$9990,4)))</f>
        <v/>
      </c>
      <c r="AF284" s="64" t="str">
        <f>IF($B284="","",(COUNTIFS(Rships!$C$2:$C$9990,$A284,Rships!$D$2:$D$9990,5)))</f>
        <v/>
      </c>
      <c r="AG284" s="64" t="str">
        <f>IF($B284="","",(COUNTIFS(Rships!$C$2:$C$9990,$A284,Rships!$D$2:$D$9990,6)))</f>
        <v/>
      </c>
      <c r="AH284" s="64" t="str">
        <f>IF($B284="","",(COUNTIFS(Rships!$C$2:$C$9990,$A284,Rships!$D$2:$D$9990,7)))</f>
        <v/>
      </c>
    </row>
    <row r="285" spans="1:34">
      <c r="A285" s="1" t="s">
        <v>537</v>
      </c>
      <c r="C285" s="11" t="s">
        <v>19</v>
      </c>
      <c r="D285" s="11" t="s">
        <v>21</v>
      </c>
      <c r="F285" s="15"/>
      <c r="G285" s="15"/>
      <c r="I285" s="17"/>
      <c r="O285" s="11" t="s">
        <v>27</v>
      </c>
      <c r="Y285" s="64">
        <f t="shared" si="8"/>
        <v>0</v>
      </c>
      <c r="AA285" s="64">
        <f t="shared" si="9"/>
        <v>0</v>
      </c>
      <c r="AB285" s="64" t="str">
        <f>IF($B285="","",(COUNTIFS(Rships!$C$2:$C$9990,$A285,Rships!$D$2:$D$9990,1)))</f>
        <v/>
      </c>
      <c r="AC285" s="64" t="str">
        <f>IF($B285="","",(COUNTIFS(Rships!$C$2:$C$9990,$A285,Rships!$D$2:$D$9990,2)))</f>
        <v/>
      </c>
      <c r="AD285" s="64" t="str">
        <f>IF($B285="","",(COUNTIFS(Rships!$C$2:$C$9990,$A285,Rships!$D$2:$D$9990,3)))</f>
        <v/>
      </c>
      <c r="AE285" s="64" t="str">
        <f>IF($B285="","",(COUNTIFS(Rships!$C$2:$C$9990,$A285,Rships!$D$2:$D$9990,4)))</f>
        <v/>
      </c>
      <c r="AF285" s="64" t="str">
        <f>IF($B285="","",(COUNTIFS(Rships!$C$2:$C$9990,$A285,Rships!$D$2:$D$9990,5)))</f>
        <v/>
      </c>
      <c r="AG285" s="64" t="str">
        <f>IF($B285="","",(COUNTIFS(Rships!$C$2:$C$9990,$A285,Rships!$D$2:$D$9990,6)))</f>
        <v/>
      </c>
      <c r="AH285" s="64" t="str">
        <f>IF($B285="","",(COUNTIFS(Rships!$C$2:$C$9990,$A285,Rships!$D$2:$D$9990,7)))</f>
        <v/>
      </c>
    </row>
    <row r="286" spans="1:34">
      <c r="A286" s="1" t="s">
        <v>538</v>
      </c>
      <c r="C286" s="11" t="s">
        <v>19</v>
      </c>
      <c r="D286" s="11" t="s">
        <v>21</v>
      </c>
      <c r="F286" s="15"/>
      <c r="G286" s="15"/>
      <c r="I286" s="17"/>
      <c r="O286" s="11" t="s">
        <v>27</v>
      </c>
      <c r="Y286" s="64">
        <f t="shared" si="8"/>
        <v>0</v>
      </c>
      <c r="AA286" s="64">
        <f t="shared" si="9"/>
        <v>0</v>
      </c>
      <c r="AB286" s="64" t="str">
        <f>IF($B286="","",(COUNTIFS(Rships!$C$2:$C$9990,$A286,Rships!$D$2:$D$9990,1)))</f>
        <v/>
      </c>
      <c r="AC286" s="64" t="str">
        <f>IF($B286="","",(COUNTIFS(Rships!$C$2:$C$9990,$A286,Rships!$D$2:$D$9990,2)))</f>
        <v/>
      </c>
      <c r="AD286" s="64" t="str">
        <f>IF($B286="","",(COUNTIFS(Rships!$C$2:$C$9990,$A286,Rships!$D$2:$D$9990,3)))</f>
        <v/>
      </c>
      <c r="AE286" s="64" t="str">
        <f>IF($B286="","",(COUNTIFS(Rships!$C$2:$C$9990,$A286,Rships!$D$2:$D$9990,4)))</f>
        <v/>
      </c>
      <c r="AF286" s="64" t="str">
        <f>IF($B286="","",(COUNTIFS(Rships!$C$2:$C$9990,$A286,Rships!$D$2:$D$9990,5)))</f>
        <v/>
      </c>
      <c r="AG286" s="64" t="str">
        <f>IF($B286="","",(COUNTIFS(Rships!$C$2:$C$9990,$A286,Rships!$D$2:$D$9990,6)))</f>
        <v/>
      </c>
      <c r="AH286" s="64" t="str">
        <f>IF($B286="","",(COUNTIFS(Rships!$C$2:$C$9990,$A286,Rships!$D$2:$D$9990,7)))</f>
        <v/>
      </c>
    </row>
    <row r="287" spans="1:34">
      <c r="A287" s="1" t="s">
        <v>539</v>
      </c>
      <c r="C287" s="11" t="s">
        <v>19</v>
      </c>
      <c r="D287" s="11" t="s">
        <v>21</v>
      </c>
      <c r="F287" s="15"/>
      <c r="G287" s="15"/>
      <c r="I287" s="17"/>
      <c r="O287" s="11" t="s">
        <v>27</v>
      </c>
      <c r="Y287" s="64">
        <f t="shared" si="8"/>
        <v>0</v>
      </c>
      <c r="AA287" s="64">
        <f t="shared" si="9"/>
        <v>0</v>
      </c>
      <c r="AB287" s="64" t="str">
        <f>IF($B287="","",(COUNTIFS(Rships!$C$2:$C$9990,$A287,Rships!$D$2:$D$9990,1)))</f>
        <v/>
      </c>
      <c r="AC287" s="64" t="str">
        <f>IF($B287="","",(COUNTIFS(Rships!$C$2:$C$9990,$A287,Rships!$D$2:$D$9990,2)))</f>
        <v/>
      </c>
      <c r="AD287" s="64" t="str">
        <f>IF($B287="","",(COUNTIFS(Rships!$C$2:$C$9990,$A287,Rships!$D$2:$D$9990,3)))</f>
        <v/>
      </c>
      <c r="AE287" s="64" t="str">
        <f>IF($B287="","",(COUNTIFS(Rships!$C$2:$C$9990,$A287,Rships!$D$2:$D$9990,4)))</f>
        <v/>
      </c>
      <c r="AF287" s="64" t="str">
        <f>IF($B287="","",(COUNTIFS(Rships!$C$2:$C$9990,$A287,Rships!$D$2:$D$9990,5)))</f>
        <v/>
      </c>
      <c r="AG287" s="64" t="str">
        <f>IF($B287="","",(COUNTIFS(Rships!$C$2:$C$9990,$A287,Rships!$D$2:$D$9990,6)))</f>
        <v/>
      </c>
      <c r="AH287" s="64" t="str">
        <f>IF($B287="","",(COUNTIFS(Rships!$C$2:$C$9990,$A287,Rships!$D$2:$D$9990,7)))</f>
        <v/>
      </c>
    </row>
    <row r="288" spans="1:34">
      <c r="A288" s="1" t="s">
        <v>540</v>
      </c>
      <c r="C288" s="11" t="s">
        <v>19</v>
      </c>
      <c r="D288" s="11" t="s">
        <v>21</v>
      </c>
      <c r="F288" s="15"/>
      <c r="G288" s="15"/>
      <c r="I288" s="17"/>
      <c r="O288" s="11" t="s">
        <v>27</v>
      </c>
      <c r="Y288" s="64">
        <f t="shared" si="8"/>
        <v>0</v>
      </c>
      <c r="AA288" s="64">
        <f t="shared" si="9"/>
        <v>0</v>
      </c>
      <c r="AB288" s="64" t="str">
        <f>IF($B288="","",(COUNTIFS(Rships!$C$2:$C$9990,$A288,Rships!$D$2:$D$9990,1)))</f>
        <v/>
      </c>
      <c r="AC288" s="64" t="str">
        <f>IF($B288="","",(COUNTIFS(Rships!$C$2:$C$9990,$A288,Rships!$D$2:$D$9990,2)))</f>
        <v/>
      </c>
      <c r="AD288" s="64" t="str">
        <f>IF($B288="","",(COUNTIFS(Rships!$C$2:$C$9990,$A288,Rships!$D$2:$D$9990,3)))</f>
        <v/>
      </c>
      <c r="AE288" s="64" t="str">
        <f>IF($B288="","",(COUNTIFS(Rships!$C$2:$C$9990,$A288,Rships!$D$2:$D$9990,4)))</f>
        <v/>
      </c>
      <c r="AF288" s="64" t="str">
        <f>IF($B288="","",(COUNTIFS(Rships!$C$2:$C$9990,$A288,Rships!$D$2:$D$9990,5)))</f>
        <v/>
      </c>
      <c r="AG288" s="64" t="str">
        <f>IF($B288="","",(COUNTIFS(Rships!$C$2:$C$9990,$A288,Rships!$D$2:$D$9990,6)))</f>
        <v/>
      </c>
      <c r="AH288" s="64" t="str">
        <f>IF($B288="","",(COUNTIFS(Rships!$C$2:$C$9990,$A288,Rships!$D$2:$D$9990,7)))</f>
        <v/>
      </c>
    </row>
    <row r="289" spans="1:34" ht="15">
      <c r="A289" s="1" t="s">
        <v>541</v>
      </c>
      <c r="B289" s="13" t="s">
        <v>55</v>
      </c>
      <c r="C289" s="11" t="s">
        <v>19</v>
      </c>
      <c r="D289" s="11" t="s">
        <v>21</v>
      </c>
      <c r="E289" s="11" t="s">
        <v>1415</v>
      </c>
      <c r="F289" s="15" t="s">
        <v>1416</v>
      </c>
      <c r="G289" s="15" t="s">
        <v>1417</v>
      </c>
      <c r="H289" s="16">
        <v>6409165192086</v>
      </c>
      <c r="I289" s="17">
        <v>723497994</v>
      </c>
      <c r="J289" s="82" t="s">
        <v>1418</v>
      </c>
      <c r="K289" s="11" t="s">
        <v>1419</v>
      </c>
      <c r="L289" s="16">
        <v>9323</v>
      </c>
      <c r="M289" s="11" t="s">
        <v>1419</v>
      </c>
      <c r="N289" s="16">
        <v>9323</v>
      </c>
      <c r="O289" s="11" t="s">
        <v>26</v>
      </c>
      <c r="P289" s="18">
        <v>21000</v>
      </c>
      <c r="Q289" s="11" t="s">
        <v>205</v>
      </c>
      <c r="R289" s="11" t="s">
        <v>135</v>
      </c>
      <c r="S289" s="11" t="s">
        <v>1413</v>
      </c>
      <c r="T289" s="11" t="s">
        <v>1420</v>
      </c>
      <c r="U289" s="16">
        <v>10016830332</v>
      </c>
      <c r="V289" s="11" t="s">
        <v>29</v>
      </c>
      <c r="W289" s="26">
        <v>41662</v>
      </c>
      <c r="X289" s="46">
        <v>41606</v>
      </c>
      <c r="Y289" s="64">
        <f t="shared" si="8"/>
        <v>0</v>
      </c>
      <c r="Z289" s="11" t="s">
        <v>123</v>
      </c>
      <c r="AA289" s="64">
        <f t="shared" si="9"/>
        <v>0</v>
      </c>
      <c r="AB289" s="64">
        <f>IF($B289="","",(COUNTIFS(Rships!$C$2:$C$9990,$A289,Rships!$D$2:$D$9990,1)))</f>
        <v>0</v>
      </c>
      <c r="AC289" s="64">
        <f>IF($B289="","",(COUNTIFS(Rships!$C$2:$C$9990,$A289,Rships!$D$2:$D$9990,2)))</f>
        <v>0</v>
      </c>
      <c r="AD289" s="64">
        <f>IF($B289="","",(COUNTIFS(Rships!$C$2:$C$9990,$A289,Rships!$D$2:$D$9990,3)))</f>
        <v>0</v>
      </c>
      <c r="AE289" s="64">
        <f>IF($B289="","",(COUNTIFS(Rships!$C$2:$C$9990,$A289,Rships!$D$2:$D$9990,4)))</f>
        <v>0</v>
      </c>
      <c r="AF289" s="64">
        <f>IF($B289="","",(COUNTIFS(Rships!$C$2:$C$9990,$A289,Rships!$D$2:$D$9990,5)))</f>
        <v>0</v>
      </c>
      <c r="AG289" s="64">
        <f>IF($B289="","",(COUNTIFS(Rships!$C$2:$C$9990,$A289,Rships!$D$2:$D$9990,6)))</f>
        <v>0</v>
      </c>
      <c r="AH289" s="64">
        <f>IF($B289="","",(COUNTIFS(Rships!$C$2:$C$9990,$A289,Rships!$D$2:$D$9990,7)))</f>
        <v>0</v>
      </c>
    </row>
    <row r="290" spans="1:34">
      <c r="A290" s="1" t="s">
        <v>542</v>
      </c>
      <c r="C290" s="11" t="s">
        <v>19</v>
      </c>
      <c r="D290" s="11" t="s">
        <v>21</v>
      </c>
      <c r="F290" s="15"/>
      <c r="G290" s="15"/>
      <c r="I290" s="17"/>
      <c r="O290" s="11" t="s">
        <v>27</v>
      </c>
      <c r="Y290" s="64">
        <f t="shared" si="8"/>
        <v>0</v>
      </c>
      <c r="AA290" s="64">
        <f t="shared" si="9"/>
        <v>0</v>
      </c>
      <c r="AB290" s="64" t="str">
        <f>IF($B290="","",(COUNTIFS(Rships!$C$2:$C$9990,$A290,Rships!$D$2:$D$9990,1)))</f>
        <v/>
      </c>
      <c r="AC290" s="64" t="str">
        <f>IF($B290="","",(COUNTIFS(Rships!$C$2:$C$9990,$A290,Rships!$D$2:$D$9990,2)))</f>
        <v/>
      </c>
      <c r="AD290" s="64" t="str">
        <f>IF($B290="","",(COUNTIFS(Rships!$C$2:$C$9990,$A290,Rships!$D$2:$D$9990,3)))</f>
        <v/>
      </c>
      <c r="AE290" s="64" t="str">
        <f>IF($B290="","",(COUNTIFS(Rships!$C$2:$C$9990,$A290,Rships!$D$2:$D$9990,4)))</f>
        <v/>
      </c>
      <c r="AF290" s="64" t="str">
        <f>IF($B290="","",(COUNTIFS(Rships!$C$2:$C$9990,$A290,Rships!$D$2:$D$9990,5)))</f>
        <v/>
      </c>
      <c r="AG290" s="64" t="str">
        <f>IF($B290="","",(COUNTIFS(Rships!$C$2:$C$9990,$A290,Rships!$D$2:$D$9990,6)))</f>
        <v/>
      </c>
      <c r="AH290" s="64" t="str">
        <f>IF($B290="","",(COUNTIFS(Rships!$C$2:$C$9990,$A290,Rships!$D$2:$D$9990,7)))</f>
        <v/>
      </c>
    </row>
    <row r="291" spans="1:34">
      <c r="A291" s="1" t="s">
        <v>543</v>
      </c>
      <c r="C291" s="11" t="s">
        <v>19</v>
      </c>
      <c r="D291" s="11" t="s">
        <v>21</v>
      </c>
      <c r="F291" s="15"/>
      <c r="G291" s="15"/>
      <c r="I291" s="17"/>
      <c r="O291" s="11" t="s">
        <v>27</v>
      </c>
      <c r="Y291" s="64">
        <f t="shared" si="8"/>
        <v>0</v>
      </c>
      <c r="AA291" s="64">
        <f t="shared" si="9"/>
        <v>0</v>
      </c>
      <c r="AB291" s="64" t="str">
        <f>IF($B291="","",(COUNTIFS(Rships!$C$2:$C$9990,$A291,Rships!$D$2:$D$9990,1)))</f>
        <v/>
      </c>
      <c r="AC291" s="64" t="str">
        <f>IF($B291="","",(COUNTIFS(Rships!$C$2:$C$9990,$A291,Rships!$D$2:$D$9990,2)))</f>
        <v/>
      </c>
      <c r="AD291" s="64" t="str">
        <f>IF($B291="","",(COUNTIFS(Rships!$C$2:$C$9990,$A291,Rships!$D$2:$D$9990,3)))</f>
        <v/>
      </c>
      <c r="AE291" s="64" t="str">
        <f>IF($B291="","",(COUNTIFS(Rships!$C$2:$C$9990,$A291,Rships!$D$2:$D$9990,4)))</f>
        <v/>
      </c>
      <c r="AF291" s="64" t="str">
        <f>IF($B291="","",(COUNTIFS(Rships!$C$2:$C$9990,$A291,Rships!$D$2:$D$9990,5)))</f>
        <v/>
      </c>
      <c r="AG291" s="64" t="str">
        <f>IF($B291="","",(COUNTIFS(Rships!$C$2:$C$9990,$A291,Rships!$D$2:$D$9990,6)))</f>
        <v/>
      </c>
      <c r="AH291" s="64" t="str">
        <f>IF($B291="","",(COUNTIFS(Rships!$C$2:$C$9990,$A291,Rships!$D$2:$D$9990,7)))</f>
        <v/>
      </c>
    </row>
    <row r="292" spans="1:34" ht="15">
      <c r="A292" s="1" t="s">
        <v>544</v>
      </c>
      <c r="B292" s="13" t="s">
        <v>89</v>
      </c>
      <c r="C292" s="11" t="s">
        <v>19</v>
      </c>
      <c r="D292" s="11" t="s">
        <v>20</v>
      </c>
      <c r="E292" s="11" t="s">
        <v>1421</v>
      </c>
      <c r="F292" s="15" t="s">
        <v>1422</v>
      </c>
      <c r="G292" s="15" t="s">
        <v>1423</v>
      </c>
      <c r="H292" s="16">
        <v>7501240361089</v>
      </c>
      <c r="I292" s="17">
        <v>799489696</v>
      </c>
      <c r="J292" s="82" t="s">
        <v>1424</v>
      </c>
      <c r="K292" s="11" t="s">
        <v>1425</v>
      </c>
      <c r="L292" s="16">
        <v>9499</v>
      </c>
      <c r="M292" s="11" t="s">
        <v>1426</v>
      </c>
      <c r="N292" s="16">
        <v>9323</v>
      </c>
      <c r="O292" s="11" t="s">
        <v>26</v>
      </c>
      <c r="P292" s="18">
        <v>10359.25</v>
      </c>
      <c r="Q292" s="11" t="s">
        <v>1427</v>
      </c>
      <c r="R292" s="11" t="s">
        <v>56</v>
      </c>
      <c r="T292" s="11" t="s">
        <v>1428</v>
      </c>
      <c r="U292" s="16">
        <v>62363698378</v>
      </c>
      <c r="V292" s="11" t="s">
        <v>29</v>
      </c>
      <c r="W292" s="26">
        <v>41623</v>
      </c>
      <c r="X292" s="46">
        <v>41612</v>
      </c>
      <c r="Y292" s="64">
        <f t="shared" si="8"/>
        <v>0</v>
      </c>
      <c r="Z292" s="11" t="s">
        <v>123</v>
      </c>
      <c r="AA292" s="64">
        <f t="shared" si="9"/>
        <v>0</v>
      </c>
      <c r="AB292" s="64">
        <f>IF($B292="","",(COUNTIFS(Rships!$C$2:$C$9990,$A292,Rships!$D$2:$D$9990,1)))</f>
        <v>0</v>
      </c>
      <c r="AC292" s="64">
        <f>IF($B292="","",(COUNTIFS(Rships!$C$2:$C$9990,$A292,Rships!$D$2:$D$9990,2)))</f>
        <v>0</v>
      </c>
      <c r="AD292" s="64">
        <f>IF($B292="","",(COUNTIFS(Rships!$C$2:$C$9990,$A292,Rships!$D$2:$D$9990,3)))</f>
        <v>0</v>
      </c>
      <c r="AE292" s="64">
        <f>IF($B292="","",(COUNTIFS(Rships!$C$2:$C$9990,$A292,Rships!$D$2:$D$9990,4)))</f>
        <v>0</v>
      </c>
      <c r="AF292" s="64">
        <f>IF($B292="","",(COUNTIFS(Rships!$C$2:$C$9990,$A292,Rships!$D$2:$D$9990,5)))</f>
        <v>0</v>
      </c>
      <c r="AG292" s="64">
        <f>IF($B292="","",(COUNTIFS(Rships!$C$2:$C$9990,$A292,Rships!$D$2:$D$9990,6)))</f>
        <v>0</v>
      </c>
      <c r="AH292" s="64">
        <f>IF($B292="","",(COUNTIFS(Rships!$C$2:$C$9990,$A292,Rships!$D$2:$D$9990,7)))</f>
        <v>0</v>
      </c>
    </row>
    <row r="293" spans="1:34">
      <c r="A293" s="1" t="s">
        <v>545</v>
      </c>
      <c r="C293" s="11" t="s">
        <v>19</v>
      </c>
      <c r="D293" s="11" t="s">
        <v>21</v>
      </c>
      <c r="F293" s="15"/>
      <c r="G293" s="15"/>
      <c r="I293" s="17"/>
      <c r="O293" s="11" t="s">
        <v>27</v>
      </c>
      <c r="Y293" s="64">
        <f t="shared" si="8"/>
        <v>0</v>
      </c>
      <c r="AA293" s="64">
        <f t="shared" si="9"/>
        <v>0</v>
      </c>
      <c r="AB293" s="64" t="str">
        <f>IF($B293="","",(COUNTIFS(Rships!$C$2:$C$9990,$A293,Rships!$D$2:$D$9990,1)))</f>
        <v/>
      </c>
      <c r="AC293" s="64" t="str">
        <f>IF($B293="","",(COUNTIFS(Rships!$C$2:$C$9990,$A293,Rships!$D$2:$D$9990,2)))</f>
        <v/>
      </c>
      <c r="AD293" s="64" t="str">
        <f>IF($B293="","",(COUNTIFS(Rships!$C$2:$C$9990,$A293,Rships!$D$2:$D$9990,3)))</f>
        <v/>
      </c>
      <c r="AE293" s="64" t="str">
        <f>IF($B293="","",(COUNTIFS(Rships!$C$2:$C$9990,$A293,Rships!$D$2:$D$9990,4)))</f>
        <v/>
      </c>
      <c r="AF293" s="64" t="str">
        <f>IF($B293="","",(COUNTIFS(Rships!$C$2:$C$9990,$A293,Rships!$D$2:$D$9990,5)))</f>
        <v/>
      </c>
      <c r="AG293" s="64" t="str">
        <f>IF($B293="","",(COUNTIFS(Rships!$C$2:$C$9990,$A293,Rships!$D$2:$D$9990,6)))</f>
        <v/>
      </c>
      <c r="AH293" s="64" t="str">
        <f>IF($B293="","",(COUNTIFS(Rships!$C$2:$C$9990,$A293,Rships!$D$2:$D$9990,7)))</f>
        <v/>
      </c>
    </row>
    <row r="294" spans="1:34">
      <c r="A294" s="1" t="s">
        <v>546</v>
      </c>
      <c r="C294" s="11" t="s">
        <v>19</v>
      </c>
      <c r="D294" s="11" t="s">
        <v>21</v>
      </c>
      <c r="F294" s="15"/>
      <c r="G294" s="15"/>
      <c r="I294" s="17"/>
      <c r="O294" s="11" t="s">
        <v>27</v>
      </c>
      <c r="Y294" s="64">
        <f t="shared" si="8"/>
        <v>0</v>
      </c>
      <c r="AA294" s="64">
        <f t="shared" si="9"/>
        <v>0</v>
      </c>
      <c r="AB294" s="64" t="str">
        <f>IF($B294="","",(COUNTIFS(Rships!$C$2:$C$9990,$A294,Rships!$D$2:$D$9990,1)))</f>
        <v/>
      </c>
      <c r="AC294" s="64" t="str">
        <f>IF($B294="","",(COUNTIFS(Rships!$C$2:$C$9990,$A294,Rships!$D$2:$D$9990,2)))</f>
        <v/>
      </c>
      <c r="AD294" s="64" t="str">
        <f>IF($B294="","",(COUNTIFS(Rships!$C$2:$C$9990,$A294,Rships!$D$2:$D$9990,3)))</f>
        <v/>
      </c>
      <c r="AE294" s="64" t="str">
        <f>IF($B294="","",(COUNTIFS(Rships!$C$2:$C$9990,$A294,Rships!$D$2:$D$9990,4)))</f>
        <v/>
      </c>
      <c r="AF294" s="64" t="str">
        <f>IF($B294="","",(COUNTIFS(Rships!$C$2:$C$9990,$A294,Rships!$D$2:$D$9990,5)))</f>
        <v/>
      </c>
      <c r="AG294" s="64" t="str">
        <f>IF($B294="","",(COUNTIFS(Rships!$C$2:$C$9990,$A294,Rships!$D$2:$D$9990,6)))</f>
        <v/>
      </c>
      <c r="AH294" s="64" t="str">
        <f>IF($B294="","",(COUNTIFS(Rships!$C$2:$C$9990,$A294,Rships!$D$2:$D$9990,7)))</f>
        <v/>
      </c>
    </row>
    <row r="295" spans="1:34">
      <c r="A295" s="1" t="s">
        <v>547</v>
      </c>
      <c r="C295" s="11" t="s">
        <v>19</v>
      </c>
      <c r="D295" s="11" t="s">
        <v>21</v>
      </c>
      <c r="F295" s="15"/>
      <c r="G295" s="15"/>
      <c r="I295" s="17"/>
      <c r="O295" s="11" t="s">
        <v>27</v>
      </c>
      <c r="Y295" s="64">
        <f t="shared" si="8"/>
        <v>0</v>
      </c>
      <c r="AA295" s="64">
        <f t="shared" si="9"/>
        <v>0</v>
      </c>
      <c r="AB295" s="64" t="str">
        <f>IF($B295="","",(COUNTIFS(Rships!$C$2:$C$9990,$A295,Rships!$D$2:$D$9990,1)))</f>
        <v/>
      </c>
      <c r="AC295" s="64" t="str">
        <f>IF($B295="","",(COUNTIFS(Rships!$C$2:$C$9990,$A295,Rships!$D$2:$D$9990,2)))</f>
        <v/>
      </c>
      <c r="AD295" s="64" t="str">
        <f>IF($B295="","",(COUNTIFS(Rships!$C$2:$C$9990,$A295,Rships!$D$2:$D$9990,3)))</f>
        <v/>
      </c>
      <c r="AE295" s="64" t="str">
        <f>IF($B295="","",(COUNTIFS(Rships!$C$2:$C$9990,$A295,Rships!$D$2:$D$9990,4)))</f>
        <v/>
      </c>
      <c r="AF295" s="64" t="str">
        <f>IF($B295="","",(COUNTIFS(Rships!$C$2:$C$9990,$A295,Rships!$D$2:$D$9990,5)))</f>
        <v/>
      </c>
      <c r="AG295" s="64" t="str">
        <f>IF($B295="","",(COUNTIFS(Rships!$C$2:$C$9990,$A295,Rships!$D$2:$D$9990,6)))</f>
        <v/>
      </c>
      <c r="AH295" s="64" t="str">
        <f>IF($B295="","",(COUNTIFS(Rships!$C$2:$C$9990,$A295,Rships!$D$2:$D$9990,7)))</f>
        <v/>
      </c>
    </row>
    <row r="296" spans="1:34">
      <c r="A296" s="1" t="s">
        <v>548</v>
      </c>
      <c r="C296" s="11" t="s">
        <v>19</v>
      </c>
      <c r="D296" s="11" t="s">
        <v>21</v>
      </c>
      <c r="F296" s="15"/>
      <c r="G296" s="15"/>
      <c r="I296" s="17"/>
      <c r="O296" s="11" t="s">
        <v>27</v>
      </c>
      <c r="Y296" s="64">
        <f t="shared" si="8"/>
        <v>0</v>
      </c>
      <c r="AA296" s="64">
        <f t="shared" si="9"/>
        <v>0</v>
      </c>
      <c r="AB296" s="64" t="str">
        <f>IF($B296="","",(COUNTIFS(Rships!$C$2:$C$9990,$A296,Rships!$D$2:$D$9990,1)))</f>
        <v/>
      </c>
      <c r="AC296" s="64" t="str">
        <f>IF($B296="","",(COUNTIFS(Rships!$C$2:$C$9990,$A296,Rships!$D$2:$D$9990,2)))</f>
        <v/>
      </c>
      <c r="AD296" s="64" t="str">
        <f>IF($B296="","",(COUNTIFS(Rships!$C$2:$C$9990,$A296,Rships!$D$2:$D$9990,3)))</f>
        <v/>
      </c>
      <c r="AE296" s="64" t="str">
        <f>IF($B296="","",(COUNTIFS(Rships!$C$2:$C$9990,$A296,Rships!$D$2:$D$9990,4)))</f>
        <v/>
      </c>
      <c r="AF296" s="64" t="str">
        <f>IF($B296="","",(COUNTIFS(Rships!$C$2:$C$9990,$A296,Rships!$D$2:$D$9990,5)))</f>
        <v/>
      </c>
      <c r="AG296" s="64" t="str">
        <f>IF($B296="","",(COUNTIFS(Rships!$C$2:$C$9990,$A296,Rships!$D$2:$D$9990,6)))</f>
        <v/>
      </c>
      <c r="AH296" s="64" t="str">
        <f>IF($B296="","",(COUNTIFS(Rships!$C$2:$C$9990,$A296,Rships!$D$2:$D$9990,7)))</f>
        <v/>
      </c>
    </row>
    <row r="297" spans="1:34">
      <c r="A297" s="1" t="s">
        <v>549</v>
      </c>
      <c r="C297" s="11" t="s">
        <v>19</v>
      </c>
      <c r="D297" s="11" t="s">
        <v>21</v>
      </c>
      <c r="F297" s="15"/>
      <c r="G297" s="15"/>
      <c r="I297" s="17"/>
      <c r="O297" s="11" t="s">
        <v>27</v>
      </c>
      <c r="Y297" s="64">
        <f t="shared" si="8"/>
        <v>0</v>
      </c>
      <c r="AA297" s="64">
        <f t="shared" si="9"/>
        <v>0</v>
      </c>
      <c r="AB297" s="64" t="str">
        <f>IF($B297="","",(COUNTIFS(Rships!$C$2:$C$9990,$A297,Rships!$D$2:$D$9990,1)))</f>
        <v/>
      </c>
      <c r="AC297" s="64" t="str">
        <f>IF($B297="","",(COUNTIFS(Rships!$C$2:$C$9990,$A297,Rships!$D$2:$D$9990,2)))</f>
        <v/>
      </c>
      <c r="AD297" s="64" t="str">
        <f>IF($B297="","",(COUNTIFS(Rships!$C$2:$C$9990,$A297,Rships!$D$2:$D$9990,3)))</f>
        <v/>
      </c>
      <c r="AE297" s="64" t="str">
        <f>IF($B297="","",(COUNTIFS(Rships!$C$2:$C$9990,$A297,Rships!$D$2:$D$9990,4)))</f>
        <v/>
      </c>
      <c r="AF297" s="64" t="str">
        <f>IF($B297="","",(COUNTIFS(Rships!$C$2:$C$9990,$A297,Rships!$D$2:$D$9990,5)))</f>
        <v/>
      </c>
      <c r="AG297" s="64" t="str">
        <f>IF($B297="","",(COUNTIFS(Rships!$C$2:$C$9990,$A297,Rships!$D$2:$D$9990,6)))</f>
        <v/>
      </c>
      <c r="AH297" s="64" t="str">
        <f>IF($B297="","",(COUNTIFS(Rships!$C$2:$C$9990,$A297,Rships!$D$2:$D$9990,7)))</f>
        <v/>
      </c>
    </row>
    <row r="298" spans="1:34">
      <c r="A298" s="1" t="s">
        <v>550</v>
      </c>
      <c r="C298" s="11" t="s">
        <v>19</v>
      </c>
      <c r="D298" s="11" t="s">
        <v>21</v>
      </c>
      <c r="F298" s="15"/>
      <c r="G298" s="15"/>
      <c r="I298" s="17"/>
      <c r="O298" s="11" t="s">
        <v>27</v>
      </c>
      <c r="Y298" s="64">
        <f t="shared" si="8"/>
        <v>0</v>
      </c>
      <c r="AA298" s="64">
        <f t="shared" si="9"/>
        <v>0</v>
      </c>
      <c r="AB298" s="64" t="str">
        <f>IF($B298="","",(COUNTIFS(Rships!$C$2:$C$9990,$A298,Rships!$D$2:$D$9990,1)))</f>
        <v/>
      </c>
      <c r="AC298" s="64" t="str">
        <f>IF($B298="","",(COUNTIFS(Rships!$C$2:$C$9990,$A298,Rships!$D$2:$D$9990,2)))</f>
        <v/>
      </c>
      <c r="AD298" s="64" t="str">
        <f>IF($B298="","",(COUNTIFS(Rships!$C$2:$C$9990,$A298,Rships!$D$2:$D$9990,3)))</f>
        <v/>
      </c>
      <c r="AE298" s="64" t="str">
        <f>IF($B298="","",(COUNTIFS(Rships!$C$2:$C$9990,$A298,Rships!$D$2:$D$9990,4)))</f>
        <v/>
      </c>
      <c r="AF298" s="64" t="str">
        <f>IF($B298="","",(COUNTIFS(Rships!$C$2:$C$9990,$A298,Rships!$D$2:$D$9990,5)))</f>
        <v/>
      </c>
      <c r="AG298" s="64" t="str">
        <f>IF($B298="","",(COUNTIFS(Rships!$C$2:$C$9990,$A298,Rships!$D$2:$D$9990,6)))</f>
        <v/>
      </c>
      <c r="AH298" s="64" t="str">
        <f>IF($B298="","",(COUNTIFS(Rships!$C$2:$C$9990,$A298,Rships!$D$2:$D$9990,7)))</f>
        <v/>
      </c>
    </row>
    <row r="299" spans="1:34">
      <c r="A299" s="1" t="s">
        <v>551</v>
      </c>
      <c r="C299" s="11" t="s">
        <v>19</v>
      </c>
      <c r="D299" s="11" t="s">
        <v>21</v>
      </c>
      <c r="F299" s="15"/>
      <c r="G299" s="15"/>
      <c r="I299" s="17"/>
      <c r="O299" s="11" t="s">
        <v>27</v>
      </c>
      <c r="Y299" s="64">
        <f t="shared" si="8"/>
        <v>0</v>
      </c>
      <c r="AA299" s="64">
        <f t="shared" si="9"/>
        <v>0</v>
      </c>
      <c r="AB299" s="64" t="str">
        <f>IF($B299="","",(COUNTIFS(Rships!$C$2:$C$9990,$A299,Rships!$D$2:$D$9990,1)))</f>
        <v/>
      </c>
      <c r="AC299" s="64" t="str">
        <f>IF($B299="","",(COUNTIFS(Rships!$C$2:$C$9990,$A299,Rships!$D$2:$D$9990,2)))</f>
        <v/>
      </c>
      <c r="AD299" s="64" t="str">
        <f>IF($B299="","",(COUNTIFS(Rships!$C$2:$C$9990,$A299,Rships!$D$2:$D$9990,3)))</f>
        <v/>
      </c>
      <c r="AE299" s="64" t="str">
        <f>IF($B299="","",(COUNTIFS(Rships!$C$2:$C$9990,$A299,Rships!$D$2:$D$9990,4)))</f>
        <v/>
      </c>
      <c r="AF299" s="64" t="str">
        <f>IF($B299="","",(COUNTIFS(Rships!$C$2:$C$9990,$A299,Rships!$D$2:$D$9990,5)))</f>
        <v/>
      </c>
      <c r="AG299" s="64" t="str">
        <f>IF($B299="","",(COUNTIFS(Rships!$C$2:$C$9990,$A299,Rships!$D$2:$D$9990,6)))</f>
        <v/>
      </c>
      <c r="AH299" s="64" t="str">
        <f>IF($B299="","",(COUNTIFS(Rships!$C$2:$C$9990,$A299,Rships!$D$2:$D$9990,7)))</f>
        <v/>
      </c>
    </row>
    <row r="300" spans="1:34">
      <c r="A300" s="1" t="s">
        <v>552</v>
      </c>
      <c r="C300" s="11" t="s">
        <v>19</v>
      </c>
      <c r="D300" s="11" t="s">
        <v>21</v>
      </c>
      <c r="F300" s="15"/>
      <c r="G300" s="15"/>
      <c r="I300" s="17"/>
      <c r="O300" s="11" t="s">
        <v>27</v>
      </c>
      <c r="Y300" s="64">
        <f t="shared" si="8"/>
        <v>0</v>
      </c>
      <c r="AA300" s="64">
        <f t="shared" si="9"/>
        <v>0</v>
      </c>
      <c r="AB300" s="64" t="str">
        <f>IF($B300="","",(COUNTIFS(Rships!$C$2:$C$9990,$A300,Rships!$D$2:$D$9990,1)))</f>
        <v/>
      </c>
      <c r="AC300" s="64" t="str">
        <f>IF($B300="","",(COUNTIFS(Rships!$C$2:$C$9990,$A300,Rships!$D$2:$D$9990,2)))</f>
        <v/>
      </c>
      <c r="AD300" s="64" t="str">
        <f>IF($B300="","",(COUNTIFS(Rships!$C$2:$C$9990,$A300,Rships!$D$2:$D$9990,3)))</f>
        <v/>
      </c>
      <c r="AE300" s="64" t="str">
        <f>IF($B300="","",(COUNTIFS(Rships!$C$2:$C$9990,$A300,Rships!$D$2:$D$9990,4)))</f>
        <v/>
      </c>
      <c r="AF300" s="64" t="str">
        <f>IF($B300="","",(COUNTIFS(Rships!$C$2:$C$9990,$A300,Rships!$D$2:$D$9990,5)))</f>
        <v/>
      </c>
      <c r="AG300" s="64" t="str">
        <f>IF($B300="","",(COUNTIFS(Rships!$C$2:$C$9990,$A300,Rships!$D$2:$D$9990,6)))</f>
        <v/>
      </c>
      <c r="AH300" s="64" t="str">
        <f>IF($B300="","",(COUNTIFS(Rships!$C$2:$C$9990,$A300,Rships!$D$2:$D$9990,7)))</f>
        <v/>
      </c>
    </row>
    <row r="301" spans="1:34">
      <c r="A301" s="1" t="s">
        <v>553</v>
      </c>
      <c r="C301" s="11" t="s">
        <v>19</v>
      </c>
      <c r="D301" s="11" t="s">
        <v>21</v>
      </c>
      <c r="F301" s="15"/>
      <c r="G301" s="15"/>
      <c r="I301" s="17"/>
      <c r="O301" s="11" t="s">
        <v>27</v>
      </c>
      <c r="Y301" s="64">
        <f t="shared" si="8"/>
        <v>0</v>
      </c>
      <c r="AA301" s="64">
        <f t="shared" si="9"/>
        <v>0</v>
      </c>
      <c r="AB301" s="64" t="str">
        <f>IF($B301="","",(COUNTIFS(Rships!$C$2:$C$9990,$A301,Rships!$D$2:$D$9990,1)))</f>
        <v/>
      </c>
      <c r="AC301" s="64" t="str">
        <f>IF($B301="","",(COUNTIFS(Rships!$C$2:$C$9990,$A301,Rships!$D$2:$D$9990,2)))</f>
        <v/>
      </c>
      <c r="AD301" s="64" t="str">
        <f>IF($B301="","",(COUNTIFS(Rships!$C$2:$C$9990,$A301,Rships!$D$2:$D$9990,3)))</f>
        <v/>
      </c>
      <c r="AE301" s="64" t="str">
        <f>IF($B301="","",(COUNTIFS(Rships!$C$2:$C$9990,$A301,Rships!$D$2:$D$9990,4)))</f>
        <v/>
      </c>
      <c r="AF301" s="64" t="str">
        <f>IF($B301="","",(COUNTIFS(Rships!$C$2:$C$9990,$A301,Rships!$D$2:$D$9990,5)))</f>
        <v/>
      </c>
      <c r="AG301" s="64" t="str">
        <f>IF($B301="","",(COUNTIFS(Rships!$C$2:$C$9990,$A301,Rships!$D$2:$D$9990,6)))</f>
        <v/>
      </c>
      <c r="AH301" s="64" t="str">
        <f>IF($B301="","",(COUNTIFS(Rships!$C$2:$C$9990,$A301,Rships!$D$2:$D$9990,7)))</f>
        <v/>
      </c>
    </row>
    <row r="302" spans="1:34">
      <c r="A302" s="1" t="s">
        <v>554</v>
      </c>
      <c r="C302" s="11" t="s">
        <v>19</v>
      </c>
      <c r="D302" s="11" t="s">
        <v>21</v>
      </c>
      <c r="F302" s="15"/>
      <c r="G302" s="15"/>
      <c r="I302" s="17"/>
      <c r="O302" s="11" t="s">
        <v>27</v>
      </c>
      <c r="Y302" s="64">
        <f t="shared" si="8"/>
        <v>0</v>
      </c>
      <c r="AA302" s="64">
        <f t="shared" si="9"/>
        <v>0</v>
      </c>
      <c r="AB302" s="64" t="str">
        <f>IF($B302="","",(COUNTIFS(Rships!$C$2:$C$9990,$A302,Rships!$D$2:$D$9990,1)))</f>
        <v/>
      </c>
      <c r="AC302" s="64" t="str">
        <f>IF($B302="","",(COUNTIFS(Rships!$C$2:$C$9990,$A302,Rships!$D$2:$D$9990,2)))</f>
        <v/>
      </c>
      <c r="AD302" s="64" t="str">
        <f>IF($B302="","",(COUNTIFS(Rships!$C$2:$C$9990,$A302,Rships!$D$2:$D$9990,3)))</f>
        <v/>
      </c>
      <c r="AE302" s="64" t="str">
        <f>IF($B302="","",(COUNTIFS(Rships!$C$2:$C$9990,$A302,Rships!$D$2:$D$9990,4)))</f>
        <v/>
      </c>
      <c r="AF302" s="64" t="str">
        <f>IF($B302="","",(COUNTIFS(Rships!$C$2:$C$9990,$A302,Rships!$D$2:$D$9990,5)))</f>
        <v/>
      </c>
      <c r="AG302" s="64" t="str">
        <f>IF($B302="","",(COUNTIFS(Rships!$C$2:$C$9990,$A302,Rships!$D$2:$D$9990,6)))</f>
        <v/>
      </c>
      <c r="AH302" s="64" t="str">
        <f>IF($B302="","",(COUNTIFS(Rships!$C$2:$C$9990,$A302,Rships!$D$2:$D$9990,7)))</f>
        <v/>
      </c>
    </row>
    <row r="303" spans="1:34">
      <c r="A303" s="1" t="s">
        <v>555</v>
      </c>
      <c r="C303" s="11" t="s">
        <v>19</v>
      </c>
      <c r="D303" s="11" t="s">
        <v>21</v>
      </c>
      <c r="F303" s="15"/>
      <c r="G303" s="15"/>
      <c r="I303" s="17"/>
      <c r="O303" s="11" t="s">
        <v>27</v>
      </c>
      <c r="Y303" s="64">
        <f t="shared" si="8"/>
        <v>0</v>
      </c>
      <c r="AA303" s="64">
        <f t="shared" si="9"/>
        <v>0</v>
      </c>
      <c r="AB303" s="64" t="str">
        <f>IF($B303="","",(COUNTIFS(Rships!$C$2:$C$9990,$A303,Rships!$D$2:$D$9990,1)))</f>
        <v/>
      </c>
      <c r="AC303" s="64" t="str">
        <f>IF($B303="","",(COUNTIFS(Rships!$C$2:$C$9990,$A303,Rships!$D$2:$D$9990,2)))</f>
        <v/>
      </c>
      <c r="AD303" s="64" t="str">
        <f>IF($B303="","",(COUNTIFS(Rships!$C$2:$C$9990,$A303,Rships!$D$2:$D$9990,3)))</f>
        <v/>
      </c>
      <c r="AE303" s="64" t="str">
        <f>IF($B303="","",(COUNTIFS(Rships!$C$2:$C$9990,$A303,Rships!$D$2:$D$9990,4)))</f>
        <v/>
      </c>
      <c r="AF303" s="64" t="str">
        <f>IF($B303="","",(COUNTIFS(Rships!$C$2:$C$9990,$A303,Rships!$D$2:$D$9990,5)))</f>
        <v/>
      </c>
      <c r="AG303" s="64" t="str">
        <f>IF($B303="","",(COUNTIFS(Rships!$C$2:$C$9990,$A303,Rships!$D$2:$D$9990,6)))</f>
        <v/>
      </c>
      <c r="AH303" s="64" t="str">
        <f>IF($B303="","",(COUNTIFS(Rships!$C$2:$C$9990,$A303,Rships!$D$2:$D$9990,7)))</f>
        <v/>
      </c>
    </row>
    <row r="304" spans="1:34">
      <c r="A304" s="1" t="s">
        <v>556</v>
      </c>
      <c r="C304" s="11" t="s">
        <v>19</v>
      </c>
      <c r="D304" s="11" t="s">
        <v>21</v>
      </c>
      <c r="F304" s="15"/>
      <c r="G304" s="15"/>
      <c r="I304" s="17"/>
      <c r="O304" s="11" t="s">
        <v>27</v>
      </c>
      <c r="Y304" s="64">
        <f t="shared" si="8"/>
        <v>0</v>
      </c>
      <c r="AA304" s="64">
        <f t="shared" si="9"/>
        <v>0</v>
      </c>
      <c r="AB304" s="64" t="str">
        <f>IF($B304="","",(COUNTIFS(Rships!$C$2:$C$9990,$A304,Rships!$D$2:$D$9990,1)))</f>
        <v/>
      </c>
      <c r="AC304" s="64" t="str">
        <f>IF($B304="","",(COUNTIFS(Rships!$C$2:$C$9990,$A304,Rships!$D$2:$D$9990,2)))</f>
        <v/>
      </c>
      <c r="AD304" s="64" t="str">
        <f>IF($B304="","",(COUNTIFS(Rships!$C$2:$C$9990,$A304,Rships!$D$2:$D$9990,3)))</f>
        <v/>
      </c>
      <c r="AE304" s="64" t="str">
        <f>IF($B304="","",(COUNTIFS(Rships!$C$2:$C$9990,$A304,Rships!$D$2:$D$9990,4)))</f>
        <v/>
      </c>
      <c r="AF304" s="64" t="str">
        <f>IF($B304="","",(COUNTIFS(Rships!$C$2:$C$9990,$A304,Rships!$D$2:$D$9990,5)))</f>
        <v/>
      </c>
      <c r="AG304" s="64" t="str">
        <f>IF($B304="","",(COUNTIFS(Rships!$C$2:$C$9990,$A304,Rships!$D$2:$D$9990,6)))</f>
        <v/>
      </c>
      <c r="AH304" s="64" t="str">
        <f>IF($B304="","",(COUNTIFS(Rships!$C$2:$C$9990,$A304,Rships!$D$2:$D$9990,7)))</f>
        <v/>
      </c>
    </row>
    <row r="305" spans="1:34">
      <c r="A305" s="1" t="s">
        <v>557</v>
      </c>
      <c r="C305" s="11" t="s">
        <v>19</v>
      </c>
      <c r="D305" s="11" t="s">
        <v>21</v>
      </c>
      <c r="F305" s="15"/>
      <c r="G305" s="15"/>
      <c r="I305" s="17"/>
      <c r="O305" s="11" t="s">
        <v>27</v>
      </c>
      <c r="Y305" s="64">
        <f t="shared" si="8"/>
        <v>0</v>
      </c>
      <c r="AA305" s="64">
        <f t="shared" si="9"/>
        <v>0</v>
      </c>
      <c r="AB305" s="64" t="str">
        <f>IF($B305="","",(COUNTIFS(Rships!$C$2:$C$9990,$A305,Rships!$D$2:$D$9990,1)))</f>
        <v/>
      </c>
      <c r="AC305" s="64" t="str">
        <f>IF($B305="","",(COUNTIFS(Rships!$C$2:$C$9990,$A305,Rships!$D$2:$D$9990,2)))</f>
        <v/>
      </c>
      <c r="AD305" s="64" t="str">
        <f>IF($B305="","",(COUNTIFS(Rships!$C$2:$C$9990,$A305,Rships!$D$2:$D$9990,3)))</f>
        <v/>
      </c>
      <c r="AE305" s="64" t="str">
        <f>IF($B305="","",(COUNTIFS(Rships!$C$2:$C$9990,$A305,Rships!$D$2:$D$9990,4)))</f>
        <v/>
      </c>
      <c r="AF305" s="64" t="str">
        <f>IF($B305="","",(COUNTIFS(Rships!$C$2:$C$9990,$A305,Rships!$D$2:$D$9990,5)))</f>
        <v/>
      </c>
      <c r="AG305" s="64" t="str">
        <f>IF($B305="","",(COUNTIFS(Rships!$C$2:$C$9990,$A305,Rships!$D$2:$D$9990,6)))</f>
        <v/>
      </c>
      <c r="AH305" s="64" t="str">
        <f>IF($B305="","",(COUNTIFS(Rships!$C$2:$C$9990,$A305,Rships!$D$2:$D$9990,7)))</f>
        <v/>
      </c>
    </row>
    <row r="306" spans="1:34">
      <c r="A306" s="1" t="s">
        <v>558</v>
      </c>
      <c r="C306" s="11" t="s">
        <v>19</v>
      </c>
      <c r="D306" s="11" t="s">
        <v>21</v>
      </c>
      <c r="F306" s="15"/>
      <c r="G306" s="15"/>
      <c r="I306" s="17"/>
      <c r="O306" s="11" t="s">
        <v>27</v>
      </c>
      <c r="Y306" s="64">
        <f t="shared" si="8"/>
        <v>0</v>
      </c>
      <c r="AA306" s="64">
        <f t="shared" si="9"/>
        <v>0</v>
      </c>
      <c r="AB306" s="64" t="str">
        <f>IF($B306="","",(COUNTIFS(Rships!$C$2:$C$9990,$A306,Rships!$D$2:$D$9990,1)))</f>
        <v/>
      </c>
      <c r="AC306" s="64" t="str">
        <f>IF($B306="","",(COUNTIFS(Rships!$C$2:$C$9990,$A306,Rships!$D$2:$D$9990,2)))</f>
        <v/>
      </c>
      <c r="AD306" s="64" t="str">
        <f>IF($B306="","",(COUNTIFS(Rships!$C$2:$C$9990,$A306,Rships!$D$2:$D$9990,3)))</f>
        <v/>
      </c>
      <c r="AE306" s="64" t="str">
        <f>IF($B306="","",(COUNTIFS(Rships!$C$2:$C$9990,$A306,Rships!$D$2:$D$9990,4)))</f>
        <v/>
      </c>
      <c r="AF306" s="64" t="str">
        <f>IF($B306="","",(COUNTIFS(Rships!$C$2:$C$9990,$A306,Rships!$D$2:$D$9990,5)))</f>
        <v/>
      </c>
      <c r="AG306" s="64" t="str">
        <f>IF($B306="","",(COUNTIFS(Rships!$C$2:$C$9990,$A306,Rships!$D$2:$D$9990,6)))</f>
        <v/>
      </c>
      <c r="AH306" s="64" t="str">
        <f>IF($B306="","",(COUNTIFS(Rships!$C$2:$C$9990,$A306,Rships!$D$2:$D$9990,7)))</f>
        <v/>
      </c>
    </row>
    <row r="307" spans="1:34">
      <c r="A307" s="1" t="s">
        <v>559</v>
      </c>
      <c r="C307" s="11" t="s">
        <v>19</v>
      </c>
      <c r="D307" s="11" t="s">
        <v>21</v>
      </c>
      <c r="F307" s="15"/>
      <c r="G307" s="15"/>
      <c r="I307" s="17"/>
      <c r="O307" s="11" t="s">
        <v>27</v>
      </c>
      <c r="Y307" s="64">
        <f t="shared" ref="Y307:Y370" si="10">SUMIF($B$2:$B$100,$A307,$AA$2:$AA$100)</f>
        <v>0</v>
      </c>
      <c r="AA307" s="64">
        <f t="shared" si="9"/>
        <v>0</v>
      </c>
      <c r="AB307" s="64" t="str">
        <f>IF($B307="","",(COUNTIFS(Rships!$C$2:$C$9990,$A307,Rships!$D$2:$D$9990,1)))</f>
        <v/>
      </c>
      <c r="AC307" s="64" t="str">
        <f>IF($B307="","",(COUNTIFS(Rships!$C$2:$C$9990,$A307,Rships!$D$2:$D$9990,2)))</f>
        <v/>
      </c>
      <c r="AD307" s="64" t="str">
        <f>IF($B307="","",(COUNTIFS(Rships!$C$2:$C$9990,$A307,Rships!$D$2:$D$9990,3)))</f>
        <v/>
      </c>
      <c r="AE307" s="64" t="str">
        <f>IF($B307="","",(COUNTIFS(Rships!$C$2:$C$9990,$A307,Rships!$D$2:$D$9990,4)))</f>
        <v/>
      </c>
      <c r="AF307" s="64" t="str">
        <f>IF($B307="","",(COUNTIFS(Rships!$C$2:$C$9990,$A307,Rships!$D$2:$D$9990,5)))</f>
        <v/>
      </c>
      <c r="AG307" s="64" t="str">
        <f>IF($B307="","",(COUNTIFS(Rships!$C$2:$C$9990,$A307,Rships!$D$2:$D$9990,6)))</f>
        <v/>
      </c>
      <c r="AH307" s="64" t="str">
        <f>IF($B307="","",(COUNTIFS(Rships!$C$2:$C$9990,$A307,Rships!$D$2:$D$9990,7)))</f>
        <v/>
      </c>
    </row>
    <row r="308" spans="1:34">
      <c r="A308" s="1" t="s">
        <v>560</v>
      </c>
      <c r="C308" s="11" t="s">
        <v>19</v>
      </c>
      <c r="D308" s="11" t="s">
        <v>21</v>
      </c>
      <c r="F308" s="15"/>
      <c r="G308" s="15"/>
      <c r="I308" s="17"/>
      <c r="O308" s="11" t="s">
        <v>27</v>
      </c>
      <c r="Y308" s="64">
        <f t="shared" si="10"/>
        <v>0</v>
      </c>
      <c r="AA308" s="64">
        <f t="shared" si="9"/>
        <v>0</v>
      </c>
      <c r="AB308" s="64" t="str">
        <f>IF($B308="","",(COUNTIFS(Rships!$C$2:$C$9990,$A308,Rships!$D$2:$D$9990,1)))</f>
        <v/>
      </c>
      <c r="AC308" s="64" t="str">
        <f>IF($B308="","",(COUNTIFS(Rships!$C$2:$C$9990,$A308,Rships!$D$2:$D$9990,2)))</f>
        <v/>
      </c>
      <c r="AD308" s="64" t="str">
        <f>IF($B308="","",(COUNTIFS(Rships!$C$2:$C$9990,$A308,Rships!$D$2:$D$9990,3)))</f>
        <v/>
      </c>
      <c r="AE308" s="64" t="str">
        <f>IF($B308="","",(COUNTIFS(Rships!$C$2:$C$9990,$A308,Rships!$D$2:$D$9990,4)))</f>
        <v/>
      </c>
      <c r="AF308" s="64" t="str">
        <f>IF($B308="","",(COUNTIFS(Rships!$C$2:$C$9990,$A308,Rships!$D$2:$D$9990,5)))</f>
        <v/>
      </c>
      <c r="AG308" s="64" t="str">
        <f>IF($B308="","",(COUNTIFS(Rships!$C$2:$C$9990,$A308,Rships!$D$2:$D$9990,6)))</f>
        <v/>
      </c>
      <c r="AH308" s="64" t="str">
        <f>IF($B308="","",(COUNTIFS(Rships!$C$2:$C$9990,$A308,Rships!$D$2:$D$9990,7)))</f>
        <v/>
      </c>
    </row>
    <row r="309" spans="1:34">
      <c r="A309" s="1" t="s">
        <v>561</v>
      </c>
      <c r="C309" s="11" t="s">
        <v>19</v>
      </c>
      <c r="D309" s="11" t="s">
        <v>21</v>
      </c>
      <c r="F309" s="15"/>
      <c r="G309" s="15"/>
      <c r="I309" s="17"/>
      <c r="O309" s="11" t="s">
        <v>27</v>
      </c>
      <c r="Y309" s="64">
        <f t="shared" si="10"/>
        <v>0</v>
      </c>
      <c r="AA309" s="64">
        <f t="shared" si="9"/>
        <v>0</v>
      </c>
      <c r="AB309" s="64" t="str">
        <f>IF($B309="","",(COUNTIFS(Rships!$C$2:$C$9990,$A309,Rships!$D$2:$D$9990,1)))</f>
        <v/>
      </c>
      <c r="AC309" s="64" t="str">
        <f>IF($B309="","",(COUNTIFS(Rships!$C$2:$C$9990,$A309,Rships!$D$2:$D$9990,2)))</f>
        <v/>
      </c>
      <c r="AD309" s="64" t="str">
        <f>IF($B309="","",(COUNTIFS(Rships!$C$2:$C$9990,$A309,Rships!$D$2:$D$9990,3)))</f>
        <v/>
      </c>
      <c r="AE309" s="64" t="str">
        <f>IF($B309="","",(COUNTIFS(Rships!$C$2:$C$9990,$A309,Rships!$D$2:$D$9990,4)))</f>
        <v/>
      </c>
      <c r="AF309" s="64" t="str">
        <f>IF($B309="","",(COUNTIFS(Rships!$C$2:$C$9990,$A309,Rships!$D$2:$D$9990,5)))</f>
        <v/>
      </c>
      <c r="AG309" s="64" t="str">
        <f>IF($B309="","",(COUNTIFS(Rships!$C$2:$C$9990,$A309,Rships!$D$2:$D$9990,6)))</f>
        <v/>
      </c>
      <c r="AH309" s="64" t="str">
        <f>IF($B309="","",(COUNTIFS(Rships!$C$2:$C$9990,$A309,Rships!$D$2:$D$9990,7)))</f>
        <v/>
      </c>
    </row>
    <row r="310" spans="1:34">
      <c r="A310" s="1" t="s">
        <v>562</v>
      </c>
      <c r="C310" s="11" t="s">
        <v>19</v>
      </c>
      <c r="D310" s="11" t="s">
        <v>21</v>
      </c>
      <c r="F310" s="15"/>
      <c r="G310" s="15"/>
      <c r="I310" s="17"/>
      <c r="O310" s="11" t="s">
        <v>27</v>
      </c>
      <c r="Y310" s="64">
        <f t="shared" si="10"/>
        <v>0</v>
      </c>
      <c r="AA310" s="64">
        <f t="shared" si="9"/>
        <v>0</v>
      </c>
      <c r="AB310" s="64" t="str">
        <f>IF($B310="","",(COUNTIFS(Rships!$C$2:$C$9990,$A310,Rships!$D$2:$D$9990,1)))</f>
        <v/>
      </c>
      <c r="AC310" s="64" t="str">
        <f>IF($B310="","",(COUNTIFS(Rships!$C$2:$C$9990,$A310,Rships!$D$2:$D$9990,2)))</f>
        <v/>
      </c>
      <c r="AD310" s="64" t="str">
        <f>IF($B310="","",(COUNTIFS(Rships!$C$2:$C$9990,$A310,Rships!$D$2:$D$9990,3)))</f>
        <v/>
      </c>
      <c r="AE310" s="64" t="str">
        <f>IF($B310="","",(COUNTIFS(Rships!$C$2:$C$9990,$A310,Rships!$D$2:$D$9990,4)))</f>
        <v/>
      </c>
      <c r="AF310" s="64" t="str">
        <f>IF($B310="","",(COUNTIFS(Rships!$C$2:$C$9990,$A310,Rships!$D$2:$D$9990,5)))</f>
        <v/>
      </c>
      <c r="AG310" s="64" t="str">
        <f>IF($B310="","",(COUNTIFS(Rships!$C$2:$C$9990,$A310,Rships!$D$2:$D$9990,6)))</f>
        <v/>
      </c>
      <c r="AH310" s="64" t="str">
        <f>IF($B310="","",(COUNTIFS(Rships!$C$2:$C$9990,$A310,Rships!$D$2:$D$9990,7)))</f>
        <v/>
      </c>
    </row>
    <row r="311" spans="1:34">
      <c r="A311" s="1" t="s">
        <v>563</v>
      </c>
      <c r="C311" s="11" t="s">
        <v>19</v>
      </c>
      <c r="D311" s="11" t="s">
        <v>21</v>
      </c>
      <c r="F311" s="30"/>
      <c r="G311" s="15"/>
      <c r="I311" s="17"/>
      <c r="K311" s="29"/>
      <c r="O311" s="11" t="s">
        <v>27</v>
      </c>
      <c r="Y311" s="64">
        <f t="shared" si="10"/>
        <v>0</v>
      </c>
      <c r="AA311" s="64">
        <f t="shared" si="9"/>
        <v>0</v>
      </c>
      <c r="AB311" s="64" t="str">
        <f>IF($B311="","",(COUNTIFS(Rships!$C$2:$C$9990,$A311,Rships!$D$2:$D$9990,1)))</f>
        <v/>
      </c>
      <c r="AC311" s="64" t="str">
        <f>IF($B311="","",(COUNTIFS(Rships!$C$2:$C$9990,$A311,Rships!$D$2:$D$9990,2)))</f>
        <v/>
      </c>
      <c r="AD311" s="64" t="str">
        <f>IF($B311="","",(COUNTIFS(Rships!$C$2:$C$9990,$A311,Rships!$D$2:$D$9990,3)))</f>
        <v/>
      </c>
      <c r="AE311" s="64" t="str">
        <f>IF($B311="","",(COUNTIFS(Rships!$C$2:$C$9990,$A311,Rships!$D$2:$D$9990,4)))</f>
        <v/>
      </c>
      <c r="AF311" s="64" t="str">
        <f>IF($B311="","",(COUNTIFS(Rships!$C$2:$C$9990,$A311,Rships!$D$2:$D$9990,5)))</f>
        <v/>
      </c>
      <c r="AG311" s="64" t="str">
        <f>IF($B311="","",(COUNTIFS(Rships!$C$2:$C$9990,$A311,Rships!$D$2:$D$9990,6)))</f>
        <v/>
      </c>
      <c r="AH311" s="64" t="str">
        <f>IF($B311="","",(COUNTIFS(Rships!$C$2:$C$9990,$A311,Rships!$D$2:$D$9990,7)))</f>
        <v/>
      </c>
    </row>
    <row r="312" spans="1:34" s="29" customFormat="1">
      <c r="A312" s="1" t="s">
        <v>564</v>
      </c>
      <c r="B312" s="35" t="s">
        <v>146</v>
      </c>
      <c r="C312" s="29" t="s">
        <v>19</v>
      </c>
      <c r="D312" s="29" t="s">
        <v>22</v>
      </c>
      <c r="E312" s="29" t="s">
        <v>213</v>
      </c>
      <c r="F312" s="29" t="s">
        <v>214</v>
      </c>
      <c r="G312" s="30" t="s">
        <v>215</v>
      </c>
      <c r="H312" s="31">
        <v>6906180285084</v>
      </c>
      <c r="I312" s="32">
        <v>718136807</v>
      </c>
      <c r="J312" s="30" t="s">
        <v>139</v>
      </c>
      <c r="K312" s="29" t="s">
        <v>216</v>
      </c>
      <c r="L312" s="31">
        <v>9323</v>
      </c>
      <c r="M312" s="29" t="s">
        <v>216</v>
      </c>
      <c r="N312" s="31">
        <v>9323</v>
      </c>
      <c r="O312" s="29" t="s">
        <v>26</v>
      </c>
      <c r="P312" s="34">
        <v>18952</v>
      </c>
      <c r="Q312" s="29" t="s">
        <v>134</v>
      </c>
      <c r="R312" s="29" t="s">
        <v>56</v>
      </c>
      <c r="S312" s="29" t="s">
        <v>124</v>
      </c>
      <c r="T312" s="29" t="s">
        <v>217</v>
      </c>
      <c r="U312" s="31">
        <v>62381540254</v>
      </c>
      <c r="V312" s="29" t="s">
        <v>29</v>
      </c>
      <c r="W312" s="36">
        <v>41698</v>
      </c>
      <c r="X312" s="48">
        <v>41591</v>
      </c>
      <c r="Y312" s="64">
        <f t="shared" si="10"/>
        <v>0</v>
      </c>
      <c r="Z312" s="29" t="s">
        <v>123</v>
      </c>
      <c r="AA312" s="64">
        <f t="shared" si="9"/>
        <v>0</v>
      </c>
      <c r="AB312" s="64">
        <f>IF($B312="","",(COUNTIFS(Rships!$C$2:$C$9990,$A312,Rships!$D$2:$D$9990,1)))</f>
        <v>0</v>
      </c>
      <c r="AC312" s="64">
        <f>IF($B312="","",(COUNTIFS(Rships!$C$2:$C$9990,$A312,Rships!$D$2:$D$9990,2)))</f>
        <v>0</v>
      </c>
      <c r="AD312" s="64">
        <f>IF($B312="","",(COUNTIFS(Rships!$C$2:$C$9990,$A312,Rships!$D$2:$D$9990,3)))</f>
        <v>0</v>
      </c>
      <c r="AE312" s="64">
        <f>IF($B312="","",(COUNTIFS(Rships!$C$2:$C$9990,$A312,Rships!$D$2:$D$9990,4)))</f>
        <v>0</v>
      </c>
      <c r="AF312" s="64">
        <f>IF($B312="","",(COUNTIFS(Rships!$C$2:$C$9990,$A312,Rships!$D$2:$D$9990,5)))</f>
        <v>0</v>
      </c>
      <c r="AG312" s="64">
        <f>IF($B312="","",(COUNTIFS(Rships!$C$2:$C$9990,$A312,Rships!$D$2:$D$9990,6)))</f>
        <v>0</v>
      </c>
      <c r="AH312" s="64">
        <f>IF($B312="","",(COUNTIFS(Rships!$C$2:$C$9990,$A312,Rships!$D$2:$D$9990,7)))</f>
        <v>0</v>
      </c>
    </row>
    <row r="313" spans="1:34">
      <c r="A313" s="1" t="s">
        <v>565</v>
      </c>
      <c r="C313" s="11" t="s">
        <v>19</v>
      </c>
      <c r="D313" s="11" t="s">
        <v>21</v>
      </c>
      <c r="F313" s="15"/>
      <c r="G313" s="15"/>
      <c r="I313" s="17"/>
      <c r="O313" s="11" t="s">
        <v>27</v>
      </c>
      <c r="W313" s="36"/>
      <c r="Y313" s="64">
        <f t="shared" si="10"/>
        <v>0</v>
      </c>
      <c r="AA313" s="64">
        <f t="shared" si="9"/>
        <v>0</v>
      </c>
      <c r="AB313" s="64" t="str">
        <f>IF($B313="","",(COUNTIFS(Rships!$C$2:$C$9990,$A313,Rships!$D$2:$D$9990,1)))</f>
        <v/>
      </c>
      <c r="AC313" s="64" t="str">
        <f>IF($B313="","",(COUNTIFS(Rships!$C$2:$C$9990,$A313,Rships!$D$2:$D$9990,2)))</f>
        <v/>
      </c>
      <c r="AD313" s="64" t="str">
        <f>IF($B313="","",(COUNTIFS(Rships!$C$2:$C$9990,$A313,Rships!$D$2:$D$9990,3)))</f>
        <v/>
      </c>
      <c r="AE313" s="64" t="str">
        <f>IF($B313="","",(COUNTIFS(Rships!$C$2:$C$9990,$A313,Rships!$D$2:$D$9990,4)))</f>
        <v/>
      </c>
      <c r="AF313" s="64" t="str">
        <f>IF($B313="","",(COUNTIFS(Rships!$C$2:$C$9990,$A313,Rships!$D$2:$D$9990,5)))</f>
        <v/>
      </c>
      <c r="AG313" s="64" t="str">
        <f>IF($B313="","",(COUNTIFS(Rships!$C$2:$C$9990,$A313,Rships!$D$2:$D$9990,6)))</f>
        <v/>
      </c>
      <c r="AH313" s="64" t="str">
        <f>IF($B313="","",(COUNTIFS(Rships!$C$2:$C$9990,$A313,Rships!$D$2:$D$9990,7)))</f>
        <v/>
      </c>
    </row>
    <row r="314" spans="1:34">
      <c r="A314" s="1" t="s">
        <v>566</v>
      </c>
      <c r="C314" s="11" t="s">
        <v>19</v>
      </c>
      <c r="D314" s="11" t="s">
        <v>21</v>
      </c>
      <c r="F314" s="15"/>
      <c r="G314" s="15"/>
      <c r="I314" s="17"/>
      <c r="O314" s="11" t="s">
        <v>27</v>
      </c>
      <c r="Y314" s="64">
        <f t="shared" si="10"/>
        <v>0</v>
      </c>
      <c r="AA314" s="64">
        <f t="shared" si="9"/>
        <v>0</v>
      </c>
      <c r="AB314" s="64" t="str">
        <f>IF($B314="","",(COUNTIFS(Rships!$C$2:$C$9990,$A314,Rships!$D$2:$D$9990,1)))</f>
        <v/>
      </c>
      <c r="AC314" s="64" t="str">
        <f>IF($B314="","",(COUNTIFS(Rships!$C$2:$C$9990,$A314,Rships!$D$2:$D$9990,2)))</f>
        <v/>
      </c>
      <c r="AD314" s="64" t="str">
        <f>IF($B314="","",(COUNTIFS(Rships!$C$2:$C$9990,$A314,Rships!$D$2:$D$9990,3)))</f>
        <v/>
      </c>
      <c r="AE314" s="64" t="str">
        <f>IF($B314="","",(COUNTIFS(Rships!$C$2:$C$9990,$A314,Rships!$D$2:$D$9990,4)))</f>
        <v/>
      </c>
      <c r="AF314" s="64" t="str">
        <f>IF($B314="","",(COUNTIFS(Rships!$C$2:$C$9990,$A314,Rships!$D$2:$D$9990,5)))</f>
        <v/>
      </c>
      <c r="AG314" s="64" t="str">
        <f>IF($B314="","",(COUNTIFS(Rships!$C$2:$C$9990,$A314,Rships!$D$2:$D$9990,6)))</f>
        <v/>
      </c>
      <c r="AH314" s="64" t="str">
        <f>IF($B314="","",(COUNTIFS(Rships!$C$2:$C$9990,$A314,Rships!$D$2:$D$9990,7)))</f>
        <v/>
      </c>
    </row>
    <row r="315" spans="1:34">
      <c r="A315" s="1" t="s">
        <v>567</v>
      </c>
      <c r="C315" s="11" t="s">
        <v>19</v>
      </c>
      <c r="D315" s="11" t="s">
        <v>21</v>
      </c>
      <c r="F315" s="15"/>
      <c r="G315" s="15"/>
      <c r="I315" s="17"/>
      <c r="O315" s="11" t="s">
        <v>27</v>
      </c>
      <c r="Y315" s="64">
        <f t="shared" si="10"/>
        <v>0</v>
      </c>
      <c r="AA315" s="64">
        <f t="shared" si="9"/>
        <v>0</v>
      </c>
      <c r="AB315" s="64" t="str">
        <f>IF($B315="","",(COUNTIFS(Rships!$C$2:$C$9990,$A315,Rships!$D$2:$D$9990,1)))</f>
        <v/>
      </c>
      <c r="AC315" s="64" t="str">
        <f>IF($B315="","",(COUNTIFS(Rships!$C$2:$C$9990,$A315,Rships!$D$2:$D$9990,2)))</f>
        <v/>
      </c>
      <c r="AD315" s="64" t="str">
        <f>IF($B315="","",(COUNTIFS(Rships!$C$2:$C$9990,$A315,Rships!$D$2:$D$9990,3)))</f>
        <v/>
      </c>
      <c r="AE315" s="64" t="str">
        <f>IF($B315="","",(COUNTIFS(Rships!$C$2:$C$9990,$A315,Rships!$D$2:$D$9990,4)))</f>
        <v/>
      </c>
      <c r="AF315" s="64" t="str">
        <f>IF($B315="","",(COUNTIFS(Rships!$C$2:$C$9990,$A315,Rships!$D$2:$D$9990,5)))</f>
        <v/>
      </c>
      <c r="AG315" s="64" t="str">
        <f>IF($B315="","",(COUNTIFS(Rships!$C$2:$C$9990,$A315,Rships!$D$2:$D$9990,6)))</f>
        <v/>
      </c>
      <c r="AH315" s="64" t="str">
        <f>IF($B315="","",(COUNTIFS(Rships!$C$2:$C$9990,$A315,Rships!$D$2:$D$9990,7)))</f>
        <v/>
      </c>
    </row>
    <row r="316" spans="1:34">
      <c r="A316" s="1" t="s">
        <v>568</v>
      </c>
      <c r="C316" s="11" t="s">
        <v>19</v>
      </c>
      <c r="D316" s="11" t="s">
        <v>21</v>
      </c>
      <c r="F316" s="15"/>
      <c r="G316" s="15"/>
      <c r="I316" s="17"/>
      <c r="O316" s="11" t="s">
        <v>27</v>
      </c>
      <c r="Y316" s="64">
        <f t="shared" si="10"/>
        <v>0</v>
      </c>
      <c r="AA316" s="64">
        <f t="shared" si="9"/>
        <v>0</v>
      </c>
      <c r="AB316" s="64" t="str">
        <f>IF($B316="","",(COUNTIFS(Rships!$C$2:$C$9990,$A316,Rships!$D$2:$D$9990,1)))</f>
        <v/>
      </c>
      <c r="AC316" s="64" t="str">
        <f>IF($B316="","",(COUNTIFS(Rships!$C$2:$C$9990,$A316,Rships!$D$2:$D$9990,2)))</f>
        <v/>
      </c>
      <c r="AD316" s="64" t="str">
        <f>IF($B316="","",(COUNTIFS(Rships!$C$2:$C$9990,$A316,Rships!$D$2:$D$9990,3)))</f>
        <v/>
      </c>
      <c r="AE316" s="64" t="str">
        <f>IF($B316="","",(COUNTIFS(Rships!$C$2:$C$9990,$A316,Rships!$D$2:$D$9990,4)))</f>
        <v/>
      </c>
      <c r="AF316" s="64" t="str">
        <f>IF($B316="","",(COUNTIFS(Rships!$C$2:$C$9990,$A316,Rships!$D$2:$D$9990,5)))</f>
        <v/>
      </c>
      <c r="AG316" s="64" t="str">
        <f>IF($B316="","",(COUNTIFS(Rships!$C$2:$C$9990,$A316,Rships!$D$2:$D$9990,6)))</f>
        <v/>
      </c>
      <c r="AH316" s="64" t="str">
        <f>IF($B316="","",(COUNTIFS(Rships!$C$2:$C$9990,$A316,Rships!$D$2:$D$9990,7)))</f>
        <v/>
      </c>
    </row>
    <row r="317" spans="1:34" ht="15">
      <c r="A317" s="1" t="s">
        <v>569</v>
      </c>
      <c r="C317" s="11" t="s">
        <v>19</v>
      </c>
      <c r="D317" s="11" t="s">
        <v>21</v>
      </c>
      <c r="F317" s="30"/>
      <c r="G317" s="15"/>
      <c r="I317" s="17"/>
      <c r="J317" s="33"/>
      <c r="K317" s="29"/>
      <c r="O317" s="11" t="s">
        <v>27</v>
      </c>
      <c r="Y317" s="64">
        <f t="shared" si="10"/>
        <v>0</v>
      </c>
      <c r="AA317" s="64">
        <f t="shared" si="9"/>
        <v>0</v>
      </c>
      <c r="AB317" s="64" t="str">
        <f>IF($B317="","",(COUNTIFS(Rships!$C$2:$C$9990,$A317,Rships!$D$2:$D$9990,1)))</f>
        <v/>
      </c>
      <c r="AC317" s="64" t="str">
        <f>IF($B317="","",(COUNTIFS(Rships!$C$2:$C$9990,$A317,Rships!$D$2:$D$9990,2)))</f>
        <v/>
      </c>
      <c r="AD317" s="64" t="str">
        <f>IF($B317="","",(COUNTIFS(Rships!$C$2:$C$9990,$A317,Rships!$D$2:$D$9990,3)))</f>
        <v/>
      </c>
      <c r="AE317" s="64" t="str">
        <f>IF($B317="","",(COUNTIFS(Rships!$C$2:$C$9990,$A317,Rships!$D$2:$D$9990,4)))</f>
        <v/>
      </c>
      <c r="AF317" s="64" t="str">
        <f>IF($B317="","",(COUNTIFS(Rships!$C$2:$C$9990,$A317,Rships!$D$2:$D$9990,5)))</f>
        <v/>
      </c>
      <c r="AG317" s="64" t="str">
        <f>IF($B317="","",(COUNTIFS(Rships!$C$2:$C$9990,$A317,Rships!$D$2:$D$9990,6)))</f>
        <v/>
      </c>
      <c r="AH317" s="64" t="str">
        <f>IF($B317="","",(COUNTIFS(Rships!$C$2:$C$9990,$A317,Rships!$D$2:$D$9990,7)))</f>
        <v/>
      </c>
    </row>
    <row r="318" spans="1:34" s="29" customFormat="1">
      <c r="A318" s="1" t="s">
        <v>570</v>
      </c>
      <c r="B318" s="35" t="s">
        <v>137</v>
      </c>
      <c r="C318" s="29" t="s">
        <v>19</v>
      </c>
      <c r="D318" s="29" t="s">
        <v>21</v>
      </c>
      <c r="E318" s="29" t="s">
        <v>218</v>
      </c>
      <c r="F318" s="29" t="s">
        <v>220</v>
      </c>
      <c r="G318" s="30" t="s">
        <v>221</v>
      </c>
      <c r="H318" s="31">
        <v>8003265632089</v>
      </c>
      <c r="I318" s="32">
        <v>727479698</v>
      </c>
      <c r="J318" s="29" t="s">
        <v>219</v>
      </c>
      <c r="K318" s="29" t="s">
        <v>222</v>
      </c>
      <c r="L318" s="31">
        <v>9463</v>
      </c>
      <c r="M318" s="29" t="s">
        <v>222</v>
      </c>
      <c r="N318" s="31">
        <v>9463</v>
      </c>
      <c r="O318" s="29" t="s">
        <v>26</v>
      </c>
      <c r="P318" s="34">
        <v>15000</v>
      </c>
      <c r="Q318" s="29" t="s">
        <v>205</v>
      </c>
      <c r="R318" s="29" t="s">
        <v>135</v>
      </c>
      <c r="S318" s="29" t="s">
        <v>223</v>
      </c>
      <c r="T318" s="29" t="s">
        <v>224</v>
      </c>
      <c r="U318" s="31">
        <v>3946657</v>
      </c>
      <c r="V318" s="29" t="s">
        <v>31</v>
      </c>
      <c r="W318" s="36">
        <v>41667</v>
      </c>
      <c r="X318" s="48">
        <v>41591</v>
      </c>
      <c r="Y318" s="64">
        <f t="shared" si="10"/>
        <v>0</v>
      </c>
      <c r="Z318" s="29" t="s">
        <v>123</v>
      </c>
      <c r="AA318" s="64">
        <f t="shared" si="9"/>
        <v>0</v>
      </c>
      <c r="AB318" s="64">
        <f>IF($B318="","",(COUNTIFS(Rships!$C$2:$C$9990,$A318,Rships!$D$2:$D$9990,1)))</f>
        <v>0</v>
      </c>
      <c r="AC318" s="64">
        <f>IF($B318="","",(COUNTIFS(Rships!$C$2:$C$9990,$A318,Rships!$D$2:$D$9990,2)))</f>
        <v>0</v>
      </c>
      <c r="AD318" s="64">
        <f>IF($B318="","",(COUNTIFS(Rships!$C$2:$C$9990,$A318,Rships!$D$2:$D$9990,3)))</f>
        <v>0</v>
      </c>
      <c r="AE318" s="64">
        <f>IF($B318="","",(COUNTIFS(Rships!$C$2:$C$9990,$A318,Rships!$D$2:$D$9990,4)))</f>
        <v>0</v>
      </c>
      <c r="AF318" s="64">
        <f>IF($B318="","",(COUNTIFS(Rships!$C$2:$C$9990,$A318,Rships!$D$2:$D$9990,5)))</f>
        <v>0</v>
      </c>
      <c r="AG318" s="64">
        <f>IF($B318="","",(COUNTIFS(Rships!$C$2:$C$9990,$A318,Rships!$D$2:$D$9990,6)))</f>
        <v>0</v>
      </c>
      <c r="AH318" s="64">
        <f>IF($B318="","",(COUNTIFS(Rships!$C$2:$C$9990,$A318,Rships!$D$2:$D$9990,7)))</f>
        <v>0</v>
      </c>
    </row>
    <row r="319" spans="1:34">
      <c r="A319" s="1" t="s">
        <v>571</v>
      </c>
      <c r="C319" s="11" t="s">
        <v>19</v>
      </c>
      <c r="D319" s="11" t="s">
        <v>21</v>
      </c>
      <c r="F319" s="15"/>
      <c r="G319" s="15"/>
      <c r="I319" s="17"/>
      <c r="O319" s="11" t="s">
        <v>27</v>
      </c>
      <c r="W319" s="36"/>
      <c r="Y319" s="64">
        <f t="shared" si="10"/>
        <v>0</v>
      </c>
      <c r="AA319" s="64">
        <f t="shared" si="9"/>
        <v>0</v>
      </c>
      <c r="AB319" s="64" t="str">
        <f>IF($B319="","",(COUNTIFS(Rships!$C$2:$C$9990,$A319,Rships!$D$2:$D$9990,1)))</f>
        <v/>
      </c>
      <c r="AC319" s="64" t="str">
        <f>IF($B319="","",(COUNTIFS(Rships!$C$2:$C$9990,$A319,Rships!$D$2:$D$9990,2)))</f>
        <v/>
      </c>
      <c r="AD319" s="64" t="str">
        <f>IF($B319="","",(COUNTIFS(Rships!$C$2:$C$9990,$A319,Rships!$D$2:$D$9990,3)))</f>
        <v/>
      </c>
      <c r="AE319" s="64" t="str">
        <f>IF($B319="","",(COUNTIFS(Rships!$C$2:$C$9990,$A319,Rships!$D$2:$D$9990,4)))</f>
        <v/>
      </c>
      <c r="AF319" s="64" t="str">
        <f>IF($B319="","",(COUNTIFS(Rships!$C$2:$C$9990,$A319,Rships!$D$2:$D$9990,5)))</f>
        <v/>
      </c>
      <c r="AG319" s="64" t="str">
        <f>IF($B319="","",(COUNTIFS(Rships!$C$2:$C$9990,$A319,Rships!$D$2:$D$9990,6)))</f>
        <v/>
      </c>
      <c r="AH319" s="64" t="str">
        <f>IF($B319="","",(COUNTIFS(Rships!$C$2:$C$9990,$A319,Rships!$D$2:$D$9990,7)))</f>
        <v/>
      </c>
    </row>
    <row r="320" spans="1:34">
      <c r="A320" s="1" t="s">
        <v>572</v>
      </c>
      <c r="C320" s="11" t="s">
        <v>19</v>
      </c>
      <c r="D320" s="11" t="s">
        <v>21</v>
      </c>
      <c r="F320" s="15"/>
      <c r="G320" s="15"/>
      <c r="I320" s="17"/>
      <c r="O320" s="11" t="s">
        <v>27</v>
      </c>
      <c r="Y320" s="64">
        <f t="shared" si="10"/>
        <v>0</v>
      </c>
      <c r="AA320" s="64">
        <f t="shared" si="9"/>
        <v>0</v>
      </c>
      <c r="AB320" s="64" t="str">
        <f>IF($B320="","",(COUNTIFS(Rships!$C$2:$C$9990,$A320,Rships!$D$2:$D$9990,1)))</f>
        <v/>
      </c>
      <c r="AC320" s="64" t="str">
        <f>IF($B320="","",(COUNTIFS(Rships!$C$2:$C$9990,$A320,Rships!$D$2:$D$9990,2)))</f>
        <v/>
      </c>
      <c r="AD320" s="64" t="str">
        <f>IF($B320="","",(COUNTIFS(Rships!$C$2:$C$9990,$A320,Rships!$D$2:$D$9990,3)))</f>
        <v/>
      </c>
      <c r="AE320" s="64" t="str">
        <f>IF($B320="","",(COUNTIFS(Rships!$C$2:$C$9990,$A320,Rships!$D$2:$D$9990,4)))</f>
        <v/>
      </c>
      <c r="AF320" s="64" t="str">
        <f>IF($B320="","",(COUNTIFS(Rships!$C$2:$C$9990,$A320,Rships!$D$2:$D$9990,5)))</f>
        <v/>
      </c>
      <c r="AG320" s="64" t="str">
        <f>IF($B320="","",(COUNTIFS(Rships!$C$2:$C$9990,$A320,Rships!$D$2:$D$9990,6)))</f>
        <v/>
      </c>
      <c r="AH320" s="64" t="str">
        <f>IF($B320="","",(COUNTIFS(Rships!$C$2:$C$9990,$A320,Rships!$D$2:$D$9990,7)))</f>
        <v/>
      </c>
    </row>
    <row r="321" spans="1:34">
      <c r="A321" s="1" t="s">
        <v>573</v>
      </c>
      <c r="C321" s="11" t="s">
        <v>19</v>
      </c>
      <c r="D321" s="11" t="s">
        <v>21</v>
      </c>
      <c r="F321" s="15"/>
      <c r="G321" s="15"/>
      <c r="I321" s="17"/>
      <c r="O321" s="11" t="s">
        <v>27</v>
      </c>
      <c r="Y321" s="64">
        <f t="shared" si="10"/>
        <v>0</v>
      </c>
      <c r="AA321" s="64">
        <f t="shared" si="9"/>
        <v>0</v>
      </c>
      <c r="AB321" s="64" t="str">
        <f>IF($B321="","",(COUNTIFS(Rships!$C$2:$C$9990,$A321,Rships!$D$2:$D$9990,1)))</f>
        <v/>
      </c>
      <c r="AC321" s="64" t="str">
        <f>IF($B321="","",(COUNTIFS(Rships!$C$2:$C$9990,$A321,Rships!$D$2:$D$9990,2)))</f>
        <v/>
      </c>
      <c r="AD321" s="64" t="str">
        <f>IF($B321="","",(COUNTIFS(Rships!$C$2:$C$9990,$A321,Rships!$D$2:$D$9990,3)))</f>
        <v/>
      </c>
      <c r="AE321" s="64" t="str">
        <f>IF($B321="","",(COUNTIFS(Rships!$C$2:$C$9990,$A321,Rships!$D$2:$D$9990,4)))</f>
        <v/>
      </c>
      <c r="AF321" s="64" t="str">
        <f>IF($B321="","",(COUNTIFS(Rships!$C$2:$C$9990,$A321,Rships!$D$2:$D$9990,5)))</f>
        <v/>
      </c>
      <c r="AG321" s="64" t="str">
        <f>IF($B321="","",(COUNTIFS(Rships!$C$2:$C$9990,$A321,Rships!$D$2:$D$9990,6)))</f>
        <v/>
      </c>
      <c r="AH321" s="64" t="str">
        <f>IF($B321="","",(COUNTIFS(Rships!$C$2:$C$9990,$A321,Rships!$D$2:$D$9990,7)))</f>
        <v/>
      </c>
    </row>
    <row r="322" spans="1:34">
      <c r="A322" s="1" t="s">
        <v>574</v>
      </c>
      <c r="C322" s="11" t="s">
        <v>19</v>
      </c>
      <c r="D322" s="11" t="s">
        <v>21</v>
      </c>
      <c r="F322" s="15"/>
      <c r="G322" s="15"/>
      <c r="I322" s="17"/>
      <c r="O322" s="11" t="s">
        <v>27</v>
      </c>
      <c r="Y322" s="64">
        <f t="shared" si="10"/>
        <v>0</v>
      </c>
      <c r="AA322" s="64">
        <f t="shared" si="9"/>
        <v>0</v>
      </c>
      <c r="AB322" s="64" t="str">
        <f>IF($B322="","",(COUNTIFS(Rships!$C$2:$C$9990,$A322,Rships!$D$2:$D$9990,1)))</f>
        <v/>
      </c>
      <c r="AC322" s="64" t="str">
        <f>IF($B322="","",(COUNTIFS(Rships!$C$2:$C$9990,$A322,Rships!$D$2:$D$9990,2)))</f>
        <v/>
      </c>
      <c r="AD322" s="64" t="str">
        <f>IF($B322="","",(COUNTIFS(Rships!$C$2:$C$9990,$A322,Rships!$D$2:$D$9990,3)))</f>
        <v/>
      </c>
      <c r="AE322" s="64" t="str">
        <f>IF($B322="","",(COUNTIFS(Rships!$C$2:$C$9990,$A322,Rships!$D$2:$D$9990,4)))</f>
        <v/>
      </c>
      <c r="AF322" s="64" t="str">
        <f>IF($B322="","",(COUNTIFS(Rships!$C$2:$C$9990,$A322,Rships!$D$2:$D$9990,5)))</f>
        <v/>
      </c>
      <c r="AG322" s="64" t="str">
        <f>IF($B322="","",(COUNTIFS(Rships!$C$2:$C$9990,$A322,Rships!$D$2:$D$9990,6)))</f>
        <v/>
      </c>
      <c r="AH322" s="64" t="str">
        <f>IF($B322="","",(COUNTIFS(Rships!$C$2:$C$9990,$A322,Rships!$D$2:$D$9990,7)))</f>
        <v/>
      </c>
    </row>
    <row r="323" spans="1:34">
      <c r="A323" s="1" t="s">
        <v>575</v>
      </c>
      <c r="C323" s="11" t="s">
        <v>19</v>
      </c>
      <c r="D323" s="11" t="s">
        <v>21</v>
      </c>
      <c r="F323" s="15"/>
      <c r="G323" s="15"/>
      <c r="I323" s="17"/>
      <c r="O323" s="11" t="s">
        <v>27</v>
      </c>
      <c r="Y323" s="64">
        <f t="shared" si="10"/>
        <v>0</v>
      </c>
      <c r="AA323" s="64">
        <f t="shared" ref="AA323:AA386" si="11">SUM($AB323:$AH323)</f>
        <v>0</v>
      </c>
      <c r="AB323" s="64" t="str">
        <f>IF($B323="","",(COUNTIFS(Rships!$C$2:$C$9990,$A323,Rships!$D$2:$D$9990,1)))</f>
        <v/>
      </c>
      <c r="AC323" s="64" t="str">
        <f>IF($B323="","",(COUNTIFS(Rships!$C$2:$C$9990,$A323,Rships!$D$2:$D$9990,2)))</f>
        <v/>
      </c>
      <c r="AD323" s="64" t="str">
        <f>IF($B323="","",(COUNTIFS(Rships!$C$2:$C$9990,$A323,Rships!$D$2:$D$9990,3)))</f>
        <v/>
      </c>
      <c r="AE323" s="64" t="str">
        <f>IF($B323="","",(COUNTIFS(Rships!$C$2:$C$9990,$A323,Rships!$D$2:$D$9990,4)))</f>
        <v/>
      </c>
      <c r="AF323" s="64" t="str">
        <f>IF($B323="","",(COUNTIFS(Rships!$C$2:$C$9990,$A323,Rships!$D$2:$D$9990,5)))</f>
        <v/>
      </c>
      <c r="AG323" s="64" t="str">
        <f>IF($B323="","",(COUNTIFS(Rships!$C$2:$C$9990,$A323,Rships!$D$2:$D$9990,6)))</f>
        <v/>
      </c>
      <c r="AH323" s="64" t="str">
        <f>IF($B323="","",(COUNTIFS(Rships!$C$2:$C$9990,$A323,Rships!$D$2:$D$9990,7)))</f>
        <v/>
      </c>
    </row>
    <row r="324" spans="1:34">
      <c r="A324" s="1" t="s">
        <v>576</v>
      </c>
      <c r="C324" s="11" t="s">
        <v>19</v>
      </c>
      <c r="D324" s="11" t="s">
        <v>21</v>
      </c>
      <c r="F324" s="15"/>
      <c r="G324" s="15"/>
      <c r="I324" s="17"/>
      <c r="O324" s="11" t="s">
        <v>27</v>
      </c>
      <c r="Y324" s="64">
        <f t="shared" si="10"/>
        <v>0</v>
      </c>
      <c r="AA324" s="64">
        <f t="shared" si="11"/>
        <v>0</v>
      </c>
      <c r="AB324" s="64" t="str">
        <f>IF($B324="","",(COUNTIFS(Rships!$C$2:$C$9990,$A324,Rships!$D$2:$D$9990,1)))</f>
        <v/>
      </c>
      <c r="AC324" s="64" t="str">
        <f>IF($B324="","",(COUNTIFS(Rships!$C$2:$C$9990,$A324,Rships!$D$2:$D$9990,2)))</f>
        <v/>
      </c>
      <c r="AD324" s="64" t="str">
        <f>IF($B324="","",(COUNTIFS(Rships!$C$2:$C$9990,$A324,Rships!$D$2:$D$9990,3)))</f>
        <v/>
      </c>
      <c r="AE324" s="64" t="str">
        <f>IF($B324="","",(COUNTIFS(Rships!$C$2:$C$9990,$A324,Rships!$D$2:$D$9990,4)))</f>
        <v/>
      </c>
      <c r="AF324" s="64" t="str">
        <f>IF($B324="","",(COUNTIFS(Rships!$C$2:$C$9990,$A324,Rships!$D$2:$D$9990,5)))</f>
        <v/>
      </c>
      <c r="AG324" s="64" t="str">
        <f>IF($B324="","",(COUNTIFS(Rships!$C$2:$C$9990,$A324,Rships!$D$2:$D$9990,6)))</f>
        <v/>
      </c>
      <c r="AH324" s="64" t="str">
        <f>IF($B324="","",(COUNTIFS(Rships!$C$2:$C$9990,$A324,Rships!$D$2:$D$9990,7)))</f>
        <v/>
      </c>
    </row>
    <row r="325" spans="1:34">
      <c r="A325" s="1" t="s">
        <v>577</v>
      </c>
      <c r="C325" s="11" t="s">
        <v>19</v>
      </c>
      <c r="D325" s="11" t="s">
        <v>21</v>
      </c>
      <c r="F325" s="15"/>
      <c r="G325" s="15"/>
      <c r="I325" s="17"/>
      <c r="O325" s="11" t="s">
        <v>27</v>
      </c>
      <c r="Y325" s="64">
        <f t="shared" si="10"/>
        <v>0</v>
      </c>
      <c r="AA325" s="64">
        <f t="shared" si="11"/>
        <v>0</v>
      </c>
      <c r="AB325" s="64" t="str">
        <f>IF($B325="","",(COUNTIFS(Rships!$C$2:$C$9990,$A325,Rships!$D$2:$D$9990,1)))</f>
        <v/>
      </c>
      <c r="AC325" s="64" t="str">
        <f>IF($B325="","",(COUNTIFS(Rships!$C$2:$C$9990,$A325,Rships!$D$2:$D$9990,2)))</f>
        <v/>
      </c>
      <c r="AD325" s="64" t="str">
        <f>IF($B325="","",(COUNTIFS(Rships!$C$2:$C$9990,$A325,Rships!$D$2:$D$9990,3)))</f>
        <v/>
      </c>
      <c r="AE325" s="64" t="str">
        <f>IF($B325="","",(COUNTIFS(Rships!$C$2:$C$9990,$A325,Rships!$D$2:$D$9990,4)))</f>
        <v/>
      </c>
      <c r="AF325" s="64" t="str">
        <f>IF($B325="","",(COUNTIFS(Rships!$C$2:$C$9990,$A325,Rships!$D$2:$D$9990,5)))</f>
        <v/>
      </c>
      <c r="AG325" s="64" t="str">
        <f>IF($B325="","",(COUNTIFS(Rships!$C$2:$C$9990,$A325,Rships!$D$2:$D$9990,6)))</f>
        <v/>
      </c>
      <c r="AH325" s="64" t="str">
        <f>IF($B325="","",(COUNTIFS(Rships!$C$2:$C$9990,$A325,Rships!$D$2:$D$9990,7)))</f>
        <v/>
      </c>
    </row>
    <row r="326" spans="1:34">
      <c r="A326" s="1" t="s">
        <v>578</v>
      </c>
      <c r="C326" s="11" t="s">
        <v>19</v>
      </c>
      <c r="D326" s="11" t="s">
        <v>21</v>
      </c>
      <c r="F326" s="15"/>
      <c r="G326" s="15"/>
      <c r="I326" s="17"/>
      <c r="O326" s="11" t="s">
        <v>27</v>
      </c>
      <c r="Y326" s="64">
        <f t="shared" si="10"/>
        <v>0</v>
      </c>
      <c r="AA326" s="64">
        <f t="shared" si="11"/>
        <v>0</v>
      </c>
      <c r="AB326" s="64" t="str">
        <f>IF($B326="","",(COUNTIFS(Rships!$C$2:$C$9990,$A326,Rships!$D$2:$D$9990,1)))</f>
        <v/>
      </c>
      <c r="AC326" s="64" t="str">
        <f>IF($B326="","",(COUNTIFS(Rships!$C$2:$C$9990,$A326,Rships!$D$2:$D$9990,2)))</f>
        <v/>
      </c>
      <c r="AD326" s="64" t="str">
        <f>IF($B326="","",(COUNTIFS(Rships!$C$2:$C$9990,$A326,Rships!$D$2:$D$9990,3)))</f>
        <v/>
      </c>
      <c r="AE326" s="64" t="str">
        <f>IF($B326="","",(COUNTIFS(Rships!$C$2:$C$9990,$A326,Rships!$D$2:$D$9990,4)))</f>
        <v/>
      </c>
      <c r="AF326" s="64" t="str">
        <f>IF($B326="","",(COUNTIFS(Rships!$C$2:$C$9990,$A326,Rships!$D$2:$D$9990,5)))</f>
        <v/>
      </c>
      <c r="AG326" s="64" t="str">
        <f>IF($B326="","",(COUNTIFS(Rships!$C$2:$C$9990,$A326,Rships!$D$2:$D$9990,6)))</f>
        <v/>
      </c>
      <c r="AH326" s="64" t="str">
        <f>IF($B326="","",(COUNTIFS(Rships!$C$2:$C$9990,$A326,Rships!$D$2:$D$9990,7)))</f>
        <v/>
      </c>
    </row>
    <row r="327" spans="1:34">
      <c r="A327" s="1" t="s">
        <v>579</v>
      </c>
      <c r="C327" s="11" t="s">
        <v>19</v>
      </c>
      <c r="D327" s="11" t="s">
        <v>21</v>
      </c>
      <c r="F327" s="15"/>
      <c r="G327" s="15"/>
      <c r="I327" s="17"/>
      <c r="O327" s="11" t="s">
        <v>27</v>
      </c>
      <c r="Y327" s="64">
        <f t="shared" si="10"/>
        <v>0</v>
      </c>
      <c r="AA327" s="64">
        <f t="shared" si="11"/>
        <v>0</v>
      </c>
      <c r="AB327" s="64" t="str">
        <f>IF($B327="","",(COUNTIFS(Rships!$C$2:$C$9990,$A327,Rships!$D$2:$D$9990,1)))</f>
        <v/>
      </c>
      <c r="AC327" s="64" t="str">
        <f>IF($B327="","",(COUNTIFS(Rships!$C$2:$C$9990,$A327,Rships!$D$2:$D$9990,2)))</f>
        <v/>
      </c>
      <c r="AD327" s="64" t="str">
        <f>IF($B327="","",(COUNTIFS(Rships!$C$2:$C$9990,$A327,Rships!$D$2:$D$9990,3)))</f>
        <v/>
      </c>
      <c r="AE327" s="64" t="str">
        <f>IF($B327="","",(COUNTIFS(Rships!$C$2:$C$9990,$A327,Rships!$D$2:$D$9990,4)))</f>
        <v/>
      </c>
      <c r="AF327" s="64" t="str">
        <f>IF($B327="","",(COUNTIFS(Rships!$C$2:$C$9990,$A327,Rships!$D$2:$D$9990,5)))</f>
        <v/>
      </c>
      <c r="AG327" s="64" t="str">
        <f>IF($B327="","",(COUNTIFS(Rships!$C$2:$C$9990,$A327,Rships!$D$2:$D$9990,6)))</f>
        <v/>
      </c>
      <c r="AH327" s="64" t="str">
        <f>IF($B327="","",(COUNTIFS(Rships!$C$2:$C$9990,$A327,Rships!$D$2:$D$9990,7)))</f>
        <v/>
      </c>
    </row>
    <row r="328" spans="1:34">
      <c r="A328" s="1" t="s">
        <v>580</v>
      </c>
      <c r="C328" s="11" t="s">
        <v>19</v>
      </c>
      <c r="D328" s="11" t="s">
        <v>21</v>
      </c>
      <c r="F328" s="15"/>
      <c r="G328" s="15"/>
      <c r="I328" s="17"/>
      <c r="O328" s="11" t="s">
        <v>27</v>
      </c>
      <c r="Y328" s="64">
        <f t="shared" si="10"/>
        <v>0</v>
      </c>
      <c r="AA328" s="64">
        <f t="shared" si="11"/>
        <v>0</v>
      </c>
      <c r="AB328" s="64" t="str">
        <f>IF($B328="","",(COUNTIFS(Rships!$C$2:$C$9990,$A328,Rships!$D$2:$D$9990,1)))</f>
        <v/>
      </c>
      <c r="AC328" s="64" t="str">
        <f>IF($B328="","",(COUNTIFS(Rships!$C$2:$C$9990,$A328,Rships!$D$2:$D$9990,2)))</f>
        <v/>
      </c>
      <c r="AD328" s="64" t="str">
        <f>IF($B328="","",(COUNTIFS(Rships!$C$2:$C$9990,$A328,Rships!$D$2:$D$9990,3)))</f>
        <v/>
      </c>
      <c r="AE328" s="64" t="str">
        <f>IF($B328="","",(COUNTIFS(Rships!$C$2:$C$9990,$A328,Rships!$D$2:$D$9990,4)))</f>
        <v/>
      </c>
      <c r="AF328" s="64" t="str">
        <f>IF($B328="","",(COUNTIFS(Rships!$C$2:$C$9990,$A328,Rships!$D$2:$D$9990,5)))</f>
        <v/>
      </c>
      <c r="AG328" s="64" t="str">
        <f>IF($B328="","",(COUNTIFS(Rships!$C$2:$C$9990,$A328,Rships!$D$2:$D$9990,6)))</f>
        <v/>
      </c>
      <c r="AH328" s="64" t="str">
        <f>IF($B328="","",(COUNTIFS(Rships!$C$2:$C$9990,$A328,Rships!$D$2:$D$9990,7)))</f>
        <v/>
      </c>
    </row>
    <row r="329" spans="1:34">
      <c r="A329" s="1" t="s">
        <v>581</v>
      </c>
      <c r="C329" s="11" t="s">
        <v>19</v>
      </c>
      <c r="D329" s="11" t="s">
        <v>21</v>
      </c>
      <c r="F329" s="15"/>
      <c r="G329" s="15"/>
      <c r="I329" s="17"/>
      <c r="O329" s="11" t="s">
        <v>27</v>
      </c>
      <c r="Y329" s="64">
        <f t="shared" si="10"/>
        <v>0</v>
      </c>
      <c r="AA329" s="64">
        <f t="shared" si="11"/>
        <v>0</v>
      </c>
      <c r="AB329" s="64" t="str">
        <f>IF($B329="","",(COUNTIFS(Rships!$C$2:$C$9990,$A329,Rships!$D$2:$D$9990,1)))</f>
        <v/>
      </c>
      <c r="AC329" s="64" t="str">
        <f>IF($B329="","",(COUNTIFS(Rships!$C$2:$C$9990,$A329,Rships!$D$2:$D$9990,2)))</f>
        <v/>
      </c>
      <c r="AD329" s="64" t="str">
        <f>IF($B329="","",(COUNTIFS(Rships!$C$2:$C$9990,$A329,Rships!$D$2:$D$9990,3)))</f>
        <v/>
      </c>
      <c r="AE329" s="64" t="str">
        <f>IF($B329="","",(COUNTIFS(Rships!$C$2:$C$9990,$A329,Rships!$D$2:$D$9990,4)))</f>
        <v/>
      </c>
      <c r="AF329" s="64" t="str">
        <f>IF($B329="","",(COUNTIFS(Rships!$C$2:$C$9990,$A329,Rships!$D$2:$D$9990,5)))</f>
        <v/>
      </c>
      <c r="AG329" s="64" t="str">
        <f>IF($B329="","",(COUNTIFS(Rships!$C$2:$C$9990,$A329,Rships!$D$2:$D$9990,6)))</f>
        <v/>
      </c>
      <c r="AH329" s="64" t="str">
        <f>IF($B329="","",(COUNTIFS(Rships!$C$2:$C$9990,$A329,Rships!$D$2:$D$9990,7)))</f>
        <v/>
      </c>
    </row>
    <row r="330" spans="1:34">
      <c r="A330" s="1" t="s">
        <v>582</v>
      </c>
      <c r="C330" s="11" t="s">
        <v>19</v>
      </c>
      <c r="D330" s="11" t="s">
        <v>21</v>
      </c>
      <c r="F330" s="15"/>
      <c r="G330" s="15"/>
      <c r="I330" s="17"/>
      <c r="O330" s="11" t="s">
        <v>27</v>
      </c>
      <c r="Y330" s="64">
        <f t="shared" si="10"/>
        <v>0</v>
      </c>
      <c r="AA330" s="64">
        <f t="shared" si="11"/>
        <v>0</v>
      </c>
      <c r="AB330" s="64" t="str">
        <f>IF($B330="","",(COUNTIFS(Rships!$C$2:$C$9990,$A330,Rships!$D$2:$D$9990,1)))</f>
        <v/>
      </c>
      <c r="AC330" s="64" t="str">
        <f>IF($B330="","",(COUNTIFS(Rships!$C$2:$C$9990,$A330,Rships!$D$2:$D$9990,2)))</f>
        <v/>
      </c>
      <c r="AD330" s="64" t="str">
        <f>IF($B330="","",(COUNTIFS(Rships!$C$2:$C$9990,$A330,Rships!$D$2:$D$9990,3)))</f>
        <v/>
      </c>
      <c r="AE330" s="64" t="str">
        <f>IF($B330="","",(COUNTIFS(Rships!$C$2:$C$9990,$A330,Rships!$D$2:$D$9990,4)))</f>
        <v/>
      </c>
      <c r="AF330" s="64" t="str">
        <f>IF($B330="","",(COUNTIFS(Rships!$C$2:$C$9990,$A330,Rships!$D$2:$D$9990,5)))</f>
        <v/>
      </c>
      <c r="AG330" s="64" t="str">
        <f>IF($B330="","",(COUNTIFS(Rships!$C$2:$C$9990,$A330,Rships!$D$2:$D$9990,6)))</f>
        <v/>
      </c>
      <c r="AH330" s="64" t="str">
        <f>IF($B330="","",(COUNTIFS(Rships!$C$2:$C$9990,$A330,Rships!$D$2:$D$9990,7)))</f>
        <v/>
      </c>
    </row>
    <row r="331" spans="1:34">
      <c r="A331" s="1" t="s">
        <v>583</v>
      </c>
      <c r="C331" s="11" t="s">
        <v>19</v>
      </c>
      <c r="D331" s="11" t="s">
        <v>21</v>
      </c>
      <c r="F331" s="15"/>
      <c r="G331" s="15"/>
      <c r="I331" s="17"/>
      <c r="O331" s="11" t="s">
        <v>27</v>
      </c>
      <c r="Y331" s="64">
        <f t="shared" si="10"/>
        <v>0</v>
      </c>
      <c r="AA331" s="64">
        <f t="shared" si="11"/>
        <v>0</v>
      </c>
      <c r="AB331" s="64" t="str">
        <f>IF($B331="","",(COUNTIFS(Rships!$C$2:$C$9990,$A331,Rships!$D$2:$D$9990,1)))</f>
        <v/>
      </c>
      <c r="AC331" s="64" t="str">
        <f>IF($B331="","",(COUNTIFS(Rships!$C$2:$C$9990,$A331,Rships!$D$2:$D$9990,2)))</f>
        <v/>
      </c>
      <c r="AD331" s="64" t="str">
        <f>IF($B331="","",(COUNTIFS(Rships!$C$2:$C$9990,$A331,Rships!$D$2:$D$9990,3)))</f>
        <v/>
      </c>
      <c r="AE331" s="64" t="str">
        <f>IF($B331="","",(COUNTIFS(Rships!$C$2:$C$9990,$A331,Rships!$D$2:$D$9990,4)))</f>
        <v/>
      </c>
      <c r="AF331" s="64" t="str">
        <f>IF($B331="","",(COUNTIFS(Rships!$C$2:$C$9990,$A331,Rships!$D$2:$D$9990,5)))</f>
        <v/>
      </c>
      <c r="AG331" s="64" t="str">
        <f>IF($B331="","",(COUNTIFS(Rships!$C$2:$C$9990,$A331,Rships!$D$2:$D$9990,6)))</f>
        <v/>
      </c>
      <c r="AH331" s="64" t="str">
        <f>IF($B331="","",(COUNTIFS(Rships!$C$2:$C$9990,$A331,Rships!$D$2:$D$9990,7)))</f>
        <v/>
      </c>
    </row>
    <row r="332" spans="1:34">
      <c r="A332" s="1" t="s">
        <v>584</v>
      </c>
      <c r="C332" s="11" t="s">
        <v>19</v>
      </c>
      <c r="D332" s="11" t="s">
        <v>21</v>
      </c>
      <c r="F332" s="15"/>
      <c r="G332" s="15"/>
      <c r="I332" s="17"/>
      <c r="O332" s="11" t="s">
        <v>27</v>
      </c>
      <c r="Y332" s="64">
        <f t="shared" si="10"/>
        <v>0</v>
      </c>
      <c r="AA332" s="64">
        <f t="shared" si="11"/>
        <v>0</v>
      </c>
      <c r="AB332" s="64" t="str">
        <f>IF($B332="","",(COUNTIFS(Rships!$C$2:$C$9990,$A332,Rships!$D$2:$D$9990,1)))</f>
        <v/>
      </c>
      <c r="AC332" s="64" t="str">
        <f>IF($B332="","",(COUNTIFS(Rships!$C$2:$C$9990,$A332,Rships!$D$2:$D$9990,2)))</f>
        <v/>
      </c>
      <c r="AD332" s="64" t="str">
        <f>IF($B332="","",(COUNTIFS(Rships!$C$2:$C$9990,$A332,Rships!$D$2:$D$9990,3)))</f>
        <v/>
      </c>
      <c r="AE332" s="64" t="str">
        <f>IF($B332="","",(COUNTIFS(Rships!$C$2:$C$9990,$A332,Rships!$D$2:$D$9990,4)))</f>
        <v/>
      </c>
      <c r="AF332" s="64" t="str">
        <f>IF($B332="","",(COUNTIFS(Rships!$C$2:$C$9990,$A332,Rships!$D$2:$D$9990,5)))</f>
        <v/>
      </c>
      <c r="AG332" s="64" t="str">
        <f>IF($B332="","",(COUNTIFS(Rships!$C$2:$C$9990,$A332,Rships!$D$2:$D$9990,6)))</f>
        <v/>
      </c>
      <c r="AH332" s="64" t="str">
        <f>IF($B332="","",(COUNTIFS(Rships!$C$2:$C$9990,$A332,Rships!$D$2:$D$9990,7)))</f>
        <v/>
      </c>
    </row>
    <row r="333" spans="1:34">
      <c r="A333" s="1" t="s">
        <v>585</v>
      </c>
      <c r="C333" s="11" t="s">
        <v>19</v>
      </c>
      <c r="D333" s="11" t="s">
        <v>21</v>
      </c>
      <c r="F333" s="15"/>
      <c r="G333" s="15"/>
      <c r="I333" s="17"/>
      <c r="O333" s="11" t="s">
        <v>27</v>
      </c>
      <c r="Y333" s="64">
        <f t="shared" si="10"/>
        <v>0</v>
      </c>
      <c r="AA333" s="64">
        <f t="shared" si="11"/>
        <v>0</v>
      </c>
      <c r="AB333" s="64" t="str">
        <f>IF($B333="","",(COUNTIFS(Rships!$C$2:$C$9990,$A333,Rships!$D$2:$D$9990,1)))</f>
        <v/>
      </c>
      <c r="AC333" s="64" t="str">
        <f>IF($B333="","",(COUNTIFS(Rships!$C$2:$C$9990,$A333,Rships!$D$2:$D$9990,2)))</f>
        <v/>
      </c>
      <c r="AD333" s="64" t="str">
        <f>IF($B333="","",(COUNTIFS(Rships!$C$2:$C$9990,$A333,Rships!$D$2:$D$9990,3)))</f>
        <v/>
      </c>
      <c r="AE333" s="64" t="str">
        <f>IF($B333="","",(COUNTIFS(Rships!$C$2:$C$9990,$A333,Rships!$D$2:$D$9990,4)))</f>
        <v/>
      </c>
      <c r="AF333" s="64" t="str">
        <f>IF($B333="","",(COUNTIFS(Rships!$C$2:$C$9990,$A333,Rships!$D$2:$D$9990,5)))</f>
        <v/>
      </c>
      <c r="AG333" s="64" t="str">
        <f>IF($B333="","",(COUNTIFS(Rships!$C$2:$C$9990,$A333,Rships!$D$2:$D$9990,6)))</f>
        <v/>
      </c>
      <c r="AH333" s="64" t="str">
        <f>IF($B333="","",(COUNTIFS(Rships!$C$2:$C$9990,$A333,Rships!$D$2:$D$9990,7)))</f>
        <v/>
      </c>
    </row>
    <row r="334" spans="1:34">
      <c r="A334" s="1" t="s">
        <v>586</v>
      </c>
      <c r="C334" s="11" t="s">
        <v>19</v>
      </c>
      <c r="D334" s="11" t="s">
        <v>21</v>
      </c>
      <c r="F334" s="15"/>
      <c r="G334" s="15"/>
      <c r="I334" s="17"/>
      <c r="O334" s="11" t="s">
        <v>27</v>
      </c>
      <c r="Y334" s="64">
        <f t="shared" si="10"/>
        <v>0</v>
      </c>
      <c r="AA334" s="64">
        <f t="shared" si="11"/>
        <v>0</v>
      </c>
      <c r="AB334" s="64" t="str">
        <f>IF($B334="","",(COUNTIFS(Rships!$C$2:$C$9990,$A334,Rships!$D$2:$D$9990,1)))</f>
        <v/>
      </c>
      <c r="AC334" s="64" t="str">
        <f>IF($B334="","",(COUNTIFS(Rships!$C$2:$C$9990,$A334,Rships!$D$2:$D$9990,2)))</f>
        <v/>
      </c>
      <c r="AD334" s="64" t="str">
        <f>IF($B334="","",(COUNTIFS(Rships!$C$2:$C$9990,$A334,Rships!$D$2:$D$9990,3)))</f>
        <v/>
      </c>
      <c r="AE334" s="64" t="str">
        <f>IF($B334="","",(COUNTIFS(Rships!$C$2:$C$9990,$A334,Rships!$D$2:$D$9990,4)))</f>
        <v/>
      </c>
      <c r="AF334" s="64" t="str">
        <f>IF($B334="","",(COUNTIFS(Rships!$C$2:$C$9990,$A334,Rships!$D$2:$D$9990,5)))</f>
        <v/>
      </c>
      <c r="AG334" s="64" t="str">
        <f>IF($B334="","",(COUNTIFS(Rships!$C$2:$C$9990,$A334,Rships!$D$2:$D$9990,6)))</f>
        <v/>
      </c>
      <c r="AH334" s="64" t="str">
        <f>IF($B334="","",(COUNTIFS(Rships!$C$2:$C$9990,$A334,Rships!$D$2:$D$9990,7)))</f>
        <v/>
      </c>
    </row>
    <row r="335" spans="1:34">
      <c r="A335" s="1" t="s">
        <v>587</v>
      </c>
      <c r="C335" s="11" t="s">
        <v>19</v>
      </c>
      <c r="D335" s="11" t="s">
        <v>21</v>
      </c>
      <c r="F335" s="15"/>
      <c r="G335" s="15"/>
      <c r="I335" s="17"/>
      <c r="O335" s="11" t="s">
        <v>27</v>
      </c>
      <c r="Y335" s="64">
        <f t="shared" si="10"/>
        <v>0</v>
      </c>
      <c r="AA335" s="64">
        <f t="shared" si="11"/>
        <v>0</v>
      </c>
      <c r="AB335" s="64" t="str">
        <f>IF($B335="","",(COUNTIFS(Rships!$C$2:$C$9990,$A335,Rships!$D$2:$D$9990,1)))</f>
        <v/>
      </c>
      <c r="AC335" s="64" t="str">
        <f>IF($B335="","",(COUNTIFS(Rships!$C$2:$C$9990,$A335,Rships!$D$2:$D$9990,2)))</f>
        <v/>
      </c>
      <c r="AD335" s="64" t="str">
        <f>IF($B335="","",(COUNTIFS(Rships!$C$2:$C$9990,$A335,Rships!$D$2:$D$9990,3)))</f>
        <v/>
      </c>
      <c r="AE335" s="64" t="str">
        <f>IF($B335="","",(COUNTIFS(Rships!$C$2:$C$9990,$A335,Rships!$D$2:$D$9990,4)))</f>
        <v/>
      </c>
      <c r="AF335" s="64" t="str">
        <f>IF($B335="","",(COUNTIFS(Rships!$C$2:$C$9990,$A335,Rships!$D$2:$D$9990,5)))</f>
        <v/>
      </c>
      <c r="AG335" s="64" t="str">
        <f>IF($B335="","",(COUNTIFS(Rships!$C$2:$C$9990,$A335,Rships!$D$2:$D$9990,6)))</f>
        <v/>
      </c>
      <c r="AH335" s="64" t="str">
        <f>IF($B335="","",(COUNTIFS(Rships!$C$2:$C$9990,$A335,Rships!$D$2:$D$9990,7)))</f>
        <v/>
      </c>
    </row>
    <row r="336" spans="1:34">
      <c r="A336" s="1" t="s">
        <v>588</v>
      </c>
      <c r="C336" s="11" t="s">
        <v>19</v>
      </c>
      <c r="D336" s="11" t="s">
        <v>21</v>
      </c>
      <c r="F336" s="15"/>
      <c r="G336" s="15"/>
      <c r="I336" s="17"/>
      <c r="O336" s="11" t="s">
        <v>27</v>
      </c>
      <c r="Y336" s="64">
        <f t="shared" si="10"/>
        <v>0</v>
      </c>
      <c r="AA336" s="64">
        <f t="shared" si="11"/>
        <v>0</v>
      </c>
      <c r="AB336" s="64" t="str">
        <f>IF($B336="","",(COUNTIFS(Rships!$C$2:$C$9990,$A336,Rships!$D$2:$D$9990,1)))</f>
        <v/>
      </c>
      <c r="AC336" s="64" t="str">
        <f>IF($B336="","",(COUNTIFS(Rships!$C$2:$C$9990,$A336,Rships!$D$2:$D$9990,2)))</f>
        <v/>
      </c>
      <c r="AD336" s="64" t="str">
        <f>IF($B336="","",(COUNTIFS(Rships!$C$2:$C$9990,$A336,Rships!$D$2:$D$9990,3)))</f>
        <v/>
      </c>
      <c r="AE336" s="64" t="str">
        <f>IF($B336="","",(COUNTIFS(Rships!$C$2:$C$9990,$A336,Rships!$D$2:$D$9990,4)))</f>
        <v/>
      </c>
      <c r="AF336" s="64" t="str">
        <f>IF($B336="","",(COUNTIFS(Rships!$C$2:$C$9990,$A336,Rships!$D$2:$D$9990,5)))</f>
        <v/>
      </c>
      <c r="AG336" s="64" t="str">
        <f>IF($B336="","",(COUNTIFS(Rships!$C$2:$C$9990,$A336,Rships!$D$2:$D$9990,6)))</f>
        <v/>
      </c>
      <c r="AH336" s="64" t="str">
        <f>IF($B336="","",(COUNTIFS(Rships!$C$2:$C$9990,$A336,Rships!$D$2:$D$9990,7)))</f>
        <v/>
      </c>
    </row>
    <row r="337" spans="1:34">
      <c r="A337" s="1" t="s">
        <v>589</v>
      </c>
      <c r="C337" s="11" t="s">
        <v>19</v>
      </c>
      <c r="D337" s="11" t="s">
        <v>21</v>
      </c>
      <c r="F337" s="15"/>
      <c r="G337" s="15"/>
      <c r="I337" s="17"/>
      <c r="O337" s="11" t="s">
        <v>27</v>
      </c>
      <c r="Y337" s="64">
        <f t="shared" si="10"/>
        <v>0</v>
      </c>
      <c r="AA337" s="64">
        <f t="shared" si="11"/>
        <v>0</v>
      </c>
      <c r="AB337" s="64" t="str">
        <f>IF($B337="","",(COUNTIFS(Rships!$C$2:$C$9990,$A337,Rships!$D$2:$D$9990,1)))</f>
        <v/>
      </c>
      <c r="AC337" s="64" t="str">
        <f>IF($B337="","",(COUNTIFS(Rships!$C$2:$C$9990,$A337,Rships!$D$2:$D$9990,2)))</f>
        <v/>
      </c>
      <c r="AD337" s="64" t="str">
        <f>IF($B337="","",(COUNTIFS(Rships!$C$2:$C$9990,$A337,Rships!$D$2:$D$9990,3)))</f>
        <v/>
      </c>
      <c r="AE337" s="64" t="str">
        <f>IF($B337="","",(COUNTIFS(Rships!$C$2:$C$9990,$A337,Rships!$D$2:$D$9990,4)))</f>
        <v/>
      </c>
      <c r="AF337" s="64" t="str">
        <f>IF($B337="","",(COUNTIFS(Rships!$C$2:$C$9990,$A337,Rships!$D$2:$D$9990,5)))</f>
        <v/>
      </c>
      <c r="AG337" s="64" t="str">
        <f>IF($B337="","",(COUNTIFS(Rships!$C$2:$C$9990,$A337,Rships!$D$2:$D$9990,6)))</f>
        <v/>
      </c>
      <c r="AH337" s="64" t="str">
        <f>IF($B337="","",(COUNTIFS(Rships!$C$2:$C$9990,$A337,Rships!$D$2:$D$9990,7)))</f>
        <v/>
      </c>
    </row>
    <row r="338" spans="1:34">
      <c r="A338" s="1" t="s">
        <v>590</v>
      </c>
      <c r="C338" s="11" t="s">
        <v>19</v>
      </c>
      <c r="D338" s="11" t="s">
        <v>21</v>
      </c>
      <c r="F338" s="15"/>
      <c r="G338" s="15"/>
      <c r="I338" s="17"/>
      <c r="O338" s="11" t="s">
        <v>27</v>
      </c>
      <c r="Y338" s="64">
        <f t="shared" si="10"/>
        <v>0</v>
      </c>
      <c r="AA338" s="64">
        <f t="shared" si="11"/>
        <v>0</v>
      </c>
      <c r="AB338" s="64" t="str">
        <f>IF($B338="","",(COUNTIFS(Rships!$C$2:$C$9990,$A338,Rships!$D$2:$D$9990,1)))</f>
        <v/>
      </c>
      <c r="AC338" s="64" t="str">
        <f>IF($B338="","",(COUNTIFS(Rships!$C$2:$C$9990,$A338,Rships!$D$2:$D$9990,2)))</f>
        <v/>
      </c>
      <c r="AD338" s="64" t="str">
        <f>IF($B338="","",(COUNTIFS(Rships!$C$2:$C$9990,$A338,Rships!$D$2:$D$9990,3)))</f>
        <v/>
      </c>
      <c r="AE338" s="64" t="str">
        <f>IF($B338="","",(COUNTIFS(Rships!$C$2:$C$9990,$A338,Rships!$D$2:$D$9990,4)))</f>
        <v/>
      </c>
      <c r="AF338" s="64" t="str">
        <f>IF($B338="","",(COUNTIFS(Rships!$C$2:$C$9990,$A338,Rships!$D$2:$D$9990,5)))</f>
        <v/>
      </c>
      <c r="AG338" s="64" t="str">
        <f>IF($B338="","",(COUNTIFS(Rships!$C$2:$C$9990,$A338,Rships!$D$2:$D$9990,6)))</f>
        <v/>
      </c>
      <c r="AH338" s="64" t="str">
        <f>IF($B338="","",(COUNTIFS(Rships!$C$2:$C$9990,$A338,Rships!$D$2:$D$9990,7)))</f>
        <v/>
      </c>
    </row>
    <row r="339" spans="1:34">
      <c r="A339" s="1" t="s">
        <v>591</v>
      </c>
      <c r="C339" s="11" t="s">
        <v>19</v>
      </c>
      <c r="D339" s="11" t="s">
        <v>21</v>
      </c>
      <c r="F339" s="15"/>
      <c r="G339" s="15"/>
      <c r="I339" s="17"/>
      <c r="O339" s="11" t="s">
        <v>27</v>
      </c>
      <c r="Y339" s="64">
        <f t="shared" si="10"/>
        <v>0</v>
      </c>
      <c r="AA339" s="64">
        <f t="shared" si="11"/>
        <v>0</v>
      </c>
      <c r="AB339" s="64" t="str">
        <f>IF($B339="","",(COUNTIFS(Rships!$C$2:$C$9990,$A339,Rships!$D$2:$D$9990,1)))</f>
        <v/>
      </c>
      <c r="AC339" s="64" t="str">
        <f>IF($B339="","",(COUNTIFS(Rships!$C$2:$C$9990,$A339,Rships!$D$2:$D$9990,2)))</f>
        <v/>
      </c>
      <c r="AD339" s="64" t="str">
        <f>IF($B339="","",(COUNTIFS(Rships!$C$2:$C$9990,$A339,Rships!$D$2:$D$9990,3)))</f>
        <v/>
      </c>
      <c r="AE339" s="64" t="str">
        <f>IF($B339="","",(COUNTIFS(Rships!$C$2:$C$9990,$A339,Rships!$D$2:$D$9990,4)))</f>
        <v/>
      </c>
      <c r="AF339" s="64" t="str">
        <f>IF($B339="","",(COUNTIFS(Rships!$C$2:$C$9990,$A339,Rships!$D$2:$D$9990,5)))</f>
        <v/>
      </c>
      <c r="AG339" s="64" t="str">
        <f>IF($B339="","",(COUNTIFS(Rships!$C$2:$C$9990,$A339,Rships!$D$2:$D$9990,6)))</f>
        <v/>
      </c>
      <c r="AH339" s="64" t="str">
        <f>IF($B339="","",(COUNTIFS(Rships!$C$2:$C$9990,$A339,Rships!$D$2:$D$9990,7)))</f>
        <v/>
      </c>
    </row>
    <row r="340" spans="1:34">
      <c r="A340" s="1" t="s">
        <v>592</v>
      </c>
      <c r="C340" s="11" t="s">
        <v>19</v>
      </c>
      <c r="D340" s="11" t="s">
        <v>21</v>
      </c>
      <c r="F340" s="15"/>
      <c r="G340" s="15"/>
      <c r="I340" s="17"/>
      <c r="O340" s="11" t="s">
        <v>27</v>
      </c>
      <c r="Y340" s="64">
        <f t="shared" si="10"/>
        <v>0</v>
      </c>
      <c r="AA340" s="64">
        <f t="shared" si="11"/>
        <v>0</v>
      </c>
      <c r="AB340" s="64" t="str">
        <f>IF($B340="","",(COUNTIFS(Rships!$C$2:$C$9990,$A340,Rships!$D$2:$D$9990,1)))</f>
        <v/>
      </c>
      <c r="AC340" s="64" t="str">
        <f>IF($B340="","",(COUNTIFS(Rships!$C$2:$C$9990,$A340,Rships!$D$2:$D$9990,2)))</f>
        <v/>
      </c>
      <c r="AD340" s="64" t="str">
        <f>IF($B340="","",(COUNTIFS(Rships!$C$2:$C$9990,$A340,Rships!$D$2:$D$9990,3)))</f>
        <v/>
      </c>
      <c r="AE340" s="64" t="str">
        <f>IF($B340="","",(COUNTIFS(Rships!$C$2:$C$9990,$A340,Rships!$D$2:$D$9990,4)))</f>
        <v/>
      </c>
      <c r="AF340" s="64" t="str">
        <f>IF($B340="","",(COUNTIFS(Rships!$C$2:$C$9990,$A340,Rships!$D$2:$D$9990,5)))</f>
        <v/>
      </c>
      <c r="AG340" s="64" t="str">
        <f>IF($B340="","",(COUNTIFS(Rships!$C$2:$C$9990,$A340,Rships!$D$2:$D$9990,6)))</f>
        <v/>
      </c>
      <c r="AH340" s="64" t="str">
        <f>IF($B340="","",(COUNTIFS(Rships!$C$2:$C$9990,$A340,Rships!$D$2:$D$9990,7)))</f>
        <v/>
      </c>
    </row>
    <row r="341" spans="1:34">
      <c r="A341" s="1" t="s">
        <v>593</v>
      </c>
      <c r="C341" s="11" t="s">
        <v>19</v>
      </c>
      <c r="D341" s="11" t="s">
        <v>21</v>
      </c>
      <c r="F341" s="15"/>
      <c r="G341" s="15"/>
      <c r="I341" s="17"/>
      <c r="O341" s="11" t="s">
        <v>27</v>
      </c>
      <c r="Y341" s="64">
        <f t="shared" si="10"/>
        <v>0</v>
      </c>
      <c r="AA341" s="64">
        <f t="shared" si="11"/>
        <v>0</v>
      </c>
      <c r="AB341" s="64" t="str">
        <f>IF($B341="","",(COUNTIFS(Rships!$C$2:$C$9990,$A341,Rships!$D$2:$D$9990,1)))</f>
        <v/>
      </c>
      <c r="AC341" s="64" t="str">
        <f>IF($B341="","",(COUNTIFS(Rships!$C$2:$C$9990,$A341,Rships!$D$2:$D$9990,2)))</f>
        <v/>
      </c>
      <c r="AD341" s="64" t="str">
        <f>IF($B341="","",(COUNTIFS(Rships!$C$2:$C$9990,$A341,Rships!$D$2:$D$9990,3)))</f>
        <v/>
      </c>
      <c r="AE341" s="64" t="str">
        <f>IF($B341="","",(COUNTIFS(Rships!$C$2:$C$9990,$A341,Rships!$D$2:$D$9990,4)))</f>
        <v/>
      </c>
      <c r="AF341" s="64" t="str">
        <f>IF($B341="","",(COUNTIFS(Rships!$C$2:$C$9990,$A341,Rships!$D$2:$D$9990,5)))</f>
        <v/>
      </c>
      <c r="AG341" s="64" t="str">
        <f>IF($B341="","",(COUNTIFS(Rships!$C$2:$C$9990,$A341,Rships!$D$2:$D$9990,6)))</f>
        <v/>
      </c>
      <c r="AH341" s="64" t="str">
        <f>IF($B341="","",(COUNTIFS(Rships!$C$2:$C$9990,$A341,Rships!$D$2:$D$9990,7)))</f>
        <v/>
      </c>
    </row>
    <row r="342" spans="1:34">
      <c r="A342" s="1" t="s">
        <v>594</v>
      </c>
      <c r="C342" s="11" t="s">
        <v>19</v>
      </c>
      <c r="D342" s="11" t="s">
        <v>21</v>
      </c>
      <c r="F342" s="15"/>
      <c r="G342" s="15"/>
      <c r="I342" s="17"/>
      <c r="O342" s="11" t="s">
        <v>27</v>
      </c>
      <c r="Y342" s="64">
        <f t="shared" si="10"/>
        <v>0</v>
      </c>
      <c r="AA342" s="64">
        <f t="shared" si="11"/>
        <v>0</v>
      </c>
      <c r="AB342" s="64" t="str">
        <f>IF($B342="","",(COUNTIFS(Rships!$C$2:$C$9990,$A342,Rships!$D$2:$D$9990,1)))</f>
        <v/>
      </c>
      <c r="AC342" s="64" t="str">
        <f>IF($B342="","",(COUNTIFS(Rships!$C$2:$C$9990,$A342,Rships!$D$2:$D$9990,2)))</f>
        <v/>
      </c>
      <c r="AD342" s="64" t="str">
        <f>IF($B342="","",(COUNTIFS(Rships!$C$2:$C$9990,$A342,Rships!$D$2:$D$9990,3)))</f>
        <v/>
      </c>
      <c r="AE342" s="64" t="str">
        <f>IF($B342="","",(COUNTIFS(Rships!$C$2:$C$9990,$A342,Rships!$D$2:$D$9990,4)))</f>
        <v/>
      </c>
      <c r="AF342" s="64" t="str">
        <f>IF($B342="","",(COUNTIFS(Rships!$C$2:$C$9990,$A342,Rships!$D$2:$D$9990,5)))</f>
        <v/>
      </c>
      <c r="AG342" s="64" t="str">
        <f>IF($B342="","",(COUNTIFS(Rships!$C$2:$C$9990,$A342,Rships!$D$2:$D$9990,6)))</f>
        <v/>
      </c>
      <c r="AH342" s="64" t="str">
        <f>IF($B342="","",(COUNTIFS(Rships!$C$2:$C$9990,$A342,Rships!$D$2:$D$9990,7)))</f>
        <v/>
      </c>
    </row>
    <row r="343" spans="1:34">
      <c r="A343" s="1" t="s">
        <v>595</v>
      </c>
      <c r="C343" s="11" t="s">
        <v>19</v>
      </c>
      <c r="D343" s="11" t="s">
        <v>21</v>
      </c>
      <c r="F343" s="15"/>
      <c r="G343" s="15"/>
      <c r="I343" s="17"/>
      <c r="O343" s="11" t="s">
        <v>27</v>
      </c>
      <c r="Y343" s="64">
        <f t="shared" si="10"/>
        <v>0</v>
      </c>
      <c r="AA343" s="64">
        <f t="shared" si="11"/>
        <v>0</v>
      </c>
      <c r="AB343" s="64" t="str">
        <f>IF($B343="","",(COUNTIFS(Rships!$C$2:$C$9990,$A343,Rships!$D$2:$D$9990,1)))</f>
        <v/>
      </c>
      <c r="AC343" s="64" t="str">
        <f>IF($B343="","",(COUNTIFS(Rships!$C$2:$C$9990,$A343,Rships!$D$2:$D$9990,2)))</f>
        <v/>
      </c>
      <c r="AD343" s="64" t="str">
        <f>IF($B343="","",(COUNTIFS(Rships!$C$2:$C$9990,$A343,Rships!$D$2:$D$9990,3)))</f>
        <v/>
      </c>
      <c r="AE343" s="64" t="str">
        <f>IF($B343="","",(COUNTIFS(Rships!$C$2:$C$9990,$A343,Rships!$D$2:$D$9990,4)))</f>
        <v/>
      </c>
      <c r="AF343" s="64" t="str">
        <f>IF($B343="","",(COUNTIFS(Rships!$C$2:$C$9990,$A343,Rships!$D$2:$D$9990,5)))</f>
        <v/>
      </c>
      <c r="AG343" s="64" t="str">
        <f>IF($B343="","",(COUNTIFS(Rships!$C$2:$C$9990,$A343,Rships!$D$2:$D$9990,6)))</f>
        <v/>
      </c>
      <c r="AH343" s="64" t="str">
        <f>IF($B343="","",(COUNTIFS(Rships!$C$2:$C$9990,$A343,Rships!$D$2:$D$9990,7)))</f>
        <v/>
      </c>
    </row>
    <row r="344" spans="1:34">
      <c r="A344" s="1" t="s">
        <v>596</v>
      </c>
      <c r="C344" s="11" t="s">
        <v>19</v>
      </c>
      <c r="D344" s="11" t="s">
        <v>21</v>
      </c>
      <c r="F344" s="15"/>
      <c r="G344" s="15"/>
      <c r="I344" s="17"/>
      <c r="O344" s="11" t="s">
        <v>27</v>
      </c>
      <c r="Y344" s="64">
        <f t="shared" si="10"/>
        <v>0</v>
      </c>
      <c r="AA344" s="64">
        <f t="shared" si="11"/>
        <v>0</v>
      </c>
      <c r="AB344" s="64" t="str">
        <f>IF($B344="","",(COUNTIFS(Rships!$C$2:$C$9990,$A344,Rships!$D$2:$D$9990,1)))</f>
        <v/>
      </c>
      <c r="AC344" s="64" t="str">
        <f>IF($B344="","",(COUNTIFS(Rships!$C$2:$C$9990,$A344,Rships!$D$2:$D$9990,2)))</f>
        <v/>
      </c>
      <c r="AD344" s="64" t="str">
        <f>IF($B344="","",(COUNTIFS(Rships!$C$2:$C$9990,$A344,Rships!$D$2:$D$9990,3)))</f>
        <v/>
      </c>
      <c r="AE344" s="64" t="str">
        <f>IF($B344="","",(COUNTIFS(Rships!$C$2:$C$9990,$A344,Rships!$D$2:$D$9990,4)))</f>
        <v/>
      </c>
      <c r="AF344" s="64" t="str">
        <f>IF($B344="","",(COUNTIFS(Rships!$C$2:$C$9990,$A344,Rships!$D$2:$D$9990,5)))</f>
        <v/>
      </c>
      <c r="AG344" s="64" t="str">
        <f>IF($B344="","",(COUNTIFS(Rships!$C$2:$C$9990,$A344,Rships!$D$2:$D$9990,6)))</f>
        <v/>
      </c>
      <c r="AH344" s="64" t="str">
        <f>IF($B344="","",(COUNTIFS(Rships!$C$2:$C$9990,$A344,Rships!$D$2:$D$9990,7)))</f>
        <v/>
      </c>
    </row>
    <row r="345" spans="1:34">
      <c r="A345" s="1" t="s">
        <v>597</v>
      </c>
      <c r="C345" s="11" t="s">
        <v>19</v>
      </c>
      <c r="D345" s="11" t="s">
        <v>21</v>
      </c>
      <c r="F345" s="15"/>
      <c r="G345" s="15"/>
      <c r="I345" s="17"/>
      <c r="O345" s="11" t="s">
        <v>27</v>
      </c>
      <c r="Y345" s="64">
        <f t="shared" si="10"/>
        <v>0</v>
      </c>
      <c r="AA345" s="64">
        <f t="shared" si="11"/>
        <v>0</v>
      </c>
      <c r="AB345" s="64" t="str">
        <f>IF($B345="","",(COUNTIFS(Rships!$C$2:$C$9990,$A345,Rships!$D$2:$D$9990,1)))</f>
        <v/>
      </c>
      <c r="AC345" s="64" t="str">
        <f>IF($B345="","",(COUNTIFS(Rships!$C$2:$C$9990,$A345,Rships!$D$2:$D$9990,2)))</f>
        <v/>
      </c>
      <c r="AD345" s="64" t="str">
        <f>IF($B345="","",(COUNTIFS(Rships!$C$2:$C$9990,$A345,Rships!$D$2:$D$9990,3)))</f>
        <v/>
      </c>
      <c r="AE345" s="64" t="str">
        <f>IF($B345="","",(COUNTIFS(Rships!$C$2:$C$9990,$A345,Rships!$D$2:$D$9990,4)))</f>
        <v/>
      </c>
      <c r="AF345" s="64" t="str">
        <f>IF($B345="","",(COUNTIFS(Rships!$C$2:$C$9990,$A345,Rships!$D$2:$D$9990,5)))</f>
        <v/>
      </c>
      <c r="AG345" s="64" t="str">
        <f>IF($B345="","",(COUNTIFS(Rships!$C$2:$C$9990,$A345,Rships!$D$2:$D$9990,6)))</f>
        <v/>
      </c>
      <c r="AH345" s="64" t="str">
        <f>IF($B345="","",(COUNTIFS(Rships!$C$2:$C$9990,$A345,Rships!$D$2:$D$9990,7)))</f>
        <v/>
      </c>
    </row>
    <row r="346" spans="1:34">
      <c r="A346" s="1" t="s">
        <v>598</v>
      </c>
      <c r="C346" s="11" t="s">
        <v>19</v>
      </c>
      <c r="D346" s="11" t="s">
        <v>21</v>
      </c>
      <c r="F346" s="15"/>
      <c r="G346" s="15"/>
      <c r="I346" s="17"/>
      <c r="O346" s="11" t="s">
        <v>27</v>
      </c>
      <c r="Y346" s="64">
        <f t="shared" si="10"/>
        <v>0</v>
      </c>
      <c r="AA346" s="64">
        <f t="shared" si="11"/>
        <v>0</v>
      </c>
      <c r="AB346" s="64" t="str">
        <f>IF($B346="","",(COUNTIFS(Rships!$C$2:$C$9990,$A346,Rships!$D$2:$D$9990,1)))</f>
        <v/>
      </c>
      <c r="AC346" s="64" t="str">
        <f>IF($B346="","",(COUNTIFS(Rships!$C$2:$C$9990,$A346,Rships!$D$2:$D$9990,2)))</f>
        <v/>
      </c>
      <c r="AD346" s="64" t="str">
        <f>IF($B346="","",(COUNTIFS(Rships!$C$2:$C$9990,$A346,Rships!$D$2:$D$9990,3)))</f>
        <v/>
      </c>
      <c r="AE346" s="64" t="str">
        <f>IF($B346="","",(COUNTIFS(Rships!$C$2:$C$9990,$A346,Rships!$D$2:$D$9990,4)))</f>
        <v/>
      </c>
      <c r="AF346" s="64" t="str">
        <f>IF($B346="","",(COUNTIFS(Rships!$C$2:$C$9990,$A346,Rships!$D$2:$D$9990,5)))</f>
        <v/>
      </c>
      <c r="AG346" s="64" t="str">
        <f>IF($B346="","",(COUNTIFS(Rships!$C$2:$C$9990,$A346,Rships!$D$2:$D$9990,6)))</f>
        <v/>
      </c>
      <c r="AH346" s="64" t="str">
        <f>IF($B346="","",(COUNTIFS(Rships!$C$2:$C$9990,$A346,Rships!$D$2:$D$9990,7)))</f>
        <v/>
      </c>
    </row>
    <row r="347" spans="1:34">
      <c r="A347" s="1" t="s">
        <v>599</v>
      </c>
      <c r="C347" s="11" t="s">
        <v>19</v>
      </c>
      <c r="D347" s="11" t="s">
        <v>21</v>
      </c>
      <c r="F347" s="15"/>
      <c r="G347" s="15"/>
      <c r="I347" s="17"/>
      <c r="O347" s="11" t="s">
        <v>27</v>
      </c>
      <c r="Y347" s="64">
        <f t="shared" si="10"/>
        <v>0</v>
      </c>
      <c r="AA347" s="64">
        <f t="shared" si="11"/>
        <v>0</v>
      </c>
      <c r="AB347" s="64" t="str">
        <f>IF($B347="","",(COUNTIFS(Rships!$C$2:$C$9990,$A347,Rships!$D$2:$D$9990,1)))</f>
        <v/>
      </c>
      <c r="AC347" s="64" t="str">
        <f>IF($B347="","",(COUNTIFS(Rships!$C$2:$C$9990,$A347,Rships!$D$2:$D$9990,2)))</f>
        <v/>
      </c>
      <c r="AD347" s="64" t="str">
        <f>IF($B347="","",(COUNTIFS(Rships!$C$2:$C$9990,$A347,Rships!$D$2:$D$9990,3)))</f>
        <v/>
      </c>
      <c r="AE347" s="64" t="str">
        <f>IF($B347="","",(COUNTIFS(Rships!$C$2:$C$9990,$A347,Rships!$D$2:$D$9990,4)))</f>
        <v/>
      </c>
      <c r="AF347" s="64" t="str">
        <f>IF($B347="","",(COUNTIFS(Rships!$C$2:$C$9990,$A347,Rships!$D$2:$D$9990,5)))</f>
        <v/>
      </c>
      <c r="AG347" s="64" t="str">
        <f>IF($B347="","",(COUNTIFS(Rships!$C$2:$C$9990,$A347,Rships!$D$2:$D$9990,6)))</f>
        <v/>
      </c>
      <c r="AH347" s="64" t="str">
        <f>IF($B347="","",(COUNTIFS(Rships!$C$2:$C$9990,$A347,Rships!$D$2:$D$9990,7)))</f>
        <v/>
      </c>
    </row>
    <row r="348" spans="1:34">
      <c r="A348" s="1" t="s">
        <v>600</v>
      </c>
      <c r="C348" s="11" t="s">
        <v>19</v>
      </c>
      <c r="D348" s="11" t="s">
        <v>21</v>
      </c>
      <c r="F348" s="15"/>
      <c r="G348" s="15"/>
      <c r="I348" s="17"/>
      <c r="O348" s="11" t="s">
        <v>27</v>
      </c>
      <c r="Y348" s="64">
        <f t="shared" si="10"/>
        <v>0</v>
      </c>
      <c r="AA348" s="64">
        <f t="shared" si="11"/>
        <v>0</v>
      </c>
      <c r="AB348" s="64" t="str">
        <f>IF($B348="","",(COUNTIFS(Rships!$C$2:$C$9990,$A348,Rships!$D$2:$D$9990,1)))</f>
        <v/>
      </c>
      <c r="AC348" s="64" t="str">
        <f>IF($B348="","",(COUNTIFS(Rships!$C$2:$C$9990,$A348,Rships!$D$2:$D$9990,2)))</f>
        <v/>
      </c>
      <c r="AD348" s="64" t="str">
        <f>IF($B348="","",(COUNTIFS(Rships!$C$2:$C$9990,$A348,Rships!$D$2:$D$9990,3)))</f>
        <v/>
      </c>
      <c r="AE348" s="64" t="str">
        <f>IF($B348="","",(COUNTIFS(Rships!$C$2:$C$9990,$A348,Rships!$D$2:$D$9990,4)))</f>
        <v/>
      </c>
      <c r="AF348" s="64" t="str">
        <f>IF($B348="","",(COUNTIFS(Rships!$C$2:$C$9990,$A348,Rships!$D$2:$D$9990,5)))</f>
        <v/>
      </c>
      <c r="AG348" s="64" t="str">
        <f>IF($B348="","",(COUNTIFS(Rships!$C$2:$C$9990,$A348,Rships!$D$2:$D$9990,6)))</f>
        <v/>
      </c>
      <c r="AH348" s="64" t="str">
        <f>IF($B348="","",(COUNTIFS(Rships!$C$2:$C$9990,$A348,Rships!$D$2:$D$9990,7)))</f>
        <v/>
      </c>
    </row>
    <row r="349" spans="1:34">
      <c r="A349" s="1" t="s">
        <v>601</v>
      </c>
      <c r="C349" s="11" t="s">
        <v>19</v>
      </c>
      <c r="D349" s="11" t="s">
        <v>21</v>
      </c>
      <c r="F349" s="15"/>
      <c r="G349" s="15"/>
      <c r="I349" s="17"/>
      <c r="O349" s="11" t="s">
        <v>27</v>
      </c>
      <c r="Y349" s="64">
        <f t="shared" si="10"/>
        <v>0</v>
      </c>
      <c r="AA349" s="64">
        <f t="shared" si="11"/>
        <v>0</v>
      </c>
      <c r="AB349" s="64" t="str">
        <f>IF($B349="","",(COUNTIFS(Rships!$C$2:$C$9990,$A349,Rships!$D$2:$D$9990,1)))</f>
        <v/>
      </c>
      <c r="AC349" s="64" t="str">
        <f>IF($B349="","",(COUNTIFS(Rships!$C$2:$C$9990,$A349,Rships!$D$2:$D$9990,2)))</f>
        <v/>
      </c>
      <c r="AD349" s="64" t="str">
        <f>IF($B349="","",(COUNTIFS(Rships!$C$2:$C$9990,$A349,Rships!$D$2:$D$9990,3)))</f>
        <v/>
      </c>
      <c r="AE349" s="64" t="str">
        <f>IF($B349="","",(COUNTIFS(Rships!$C$2:$C$9990,$A349,Rships!$D$2:$D$9990,4)))</f>
        <v/>
      </c>
      <c r="AF349" s="64" t="str">
        <f>IF($B349="","",(COUNTIFS(Rships!$C$2:$C$9990,$A349,Rships!$D$2:$D$9990,5)))</f>
        <v/>
      </c>
      <c r="AG349" s="64" t="str">
        <f>IF($B349="","",(COUNTIFS(Rships!$C$2:$C$9990,$A349,Rships!$D$2:$D$9990,6)))</f>
        <v/>
      </c>
      <c r="AH349" s="64" t="str">
        <f>IF($B349="","",(COUNTIFS(Rships!$C$2:$C$9990,$A349,Rships!$D$2:$D$9990,7)))</f>
        <v/>
      </c>
    </row>
    <row r="350" spans="1:34">
      <c r="A350" s="1" t="s">
        <v>602</v>
      </c>
      <c r="C350" s="11" t="s">
        <v>19</v>
      </c>
      <c r="D350" s="11" t="s">
        <v>21</v>
      </c>
      <c r="F350" s="15"/>
      <c r="G350" s="15"/>
      <c r="I350" s="17"/>
      <c r="O350" s="11" t="s">
        <v>27</v>
      </c>
      <c r="Y350" s="64">
        <f t="shared" si="10"/>
        <v>0</v>
      </c>
      <c r="AA350" s="64">
        <f t="shared" si="11"/>
        <v>0</v>
      </c>
      <c r="AB350" s="64" t="str">
        <f>IF($B350="","",(COUNTIFS(Rships!$C$2:$C$9990,$A350,Rships!$D$2:$D$9990,1)))</f>
        <v/>
      </c>
      <c r="AC350" s="64" t="str">
        <f>IF($B350="","",(COUNTIFS(Rships!$C$2:$C$9990,$A350,Rships!$D$2:$D$9990,2)))</f>
        <v/>
      </c>
      <c r="AD350" s="64" t="str">
        <f>IF($B350="","",(COUNTIFS(Rships!$C$2:$C$9990,$A350,Rships!$D$2:$D$9990,3)))</f>
        <v/>
      </c>
      <c r="AE350" s="64" t="str">
        <f>IF($B350="","",(COUNTIFS(Rships!$C$2:$C$9990,$A350,Rships!$D$2:$D$9990,4)))</f>
        <v/>
      </c>
      <c r="AF350" s="64" t="str">
        <f>IF($B350="","",(COUNTIFS(Rships!$C$2:$C$9990,$A350,Rships!$D$2:$D$9990,5)))</f>
        <v/>
      </c>
      <c r="AG350" s="64" t="str">
        <f>IF($B350="","",(COUNTIFS(Rships!$C$2:$C$9990,$A350,Rships!$D$2:$D$9990,6)))</f>
        <v/>
      </c>
      <c r="AH350" s="64" t="str">
        <f>IF($B350="","",(COUNTIFS(Rships!$C$2:$C$9990,$A350,Rships!$D$2:$D$9990,7)))</f>
        <v/>
      </c>
    </row>
    <row r="351" spans="1:34">
      <c r="A351" s="1" t="s">
        <v>603</v>
      </c>
      <c r="C351" s="11" t="s">
        <v>19</v>
      </c>
      <c r="D351" s="11" t="s">
        <v>21</v>
      </c>
      <c r="F351" s="15"/>
      <c r="G351" s="15"/>
      <c r="I351" s="17"/>
      <c r="O351" s="11" t="s">
        <v>27</v>
      </c>
      <c r="Y351" s="64">
        <f t="shared" si="10"/>
        <v>0</v>
      </c>
      <c r="AA351" s="64">
        <f t="shared" si="11"/>
        <v>0</v>
      </c>
      <c r="AB351" s="64" t="str">
        <f>IF($B351="","",(COUNTIFS(Rships!$C$2:$C$9990,$A351,Rships!$D$2:$D$9990,1)))</f>
        <v/>
      </c>
      <c r="AC351" s="64" t="str">
        <f>IF($B351="","",(COUNTIFS(Rships!$C$2:$C$9990,$A351,Rships!$D$2:$D$9990,2)))</f>
        <v/>
      </c>
      <c r="AD351" s="64" t="str">
        <f>IF($B351="","",(COUNTIFS(Rships!$C$2:$C$9990,$A351,Rships!$D$2:$D$9990,3)))</f>
        <v/>
      </c>
      <c r="AE351" s="64" t="str">
        <f>IF($B351="","",(COUNTIFS(Rships!$C$2:$C$9990,$A351,Rships!$D$2:$D$9990,4)))</f>
        <v/>
      </c>
      <c r="AF351" s="64" t="str">
        <f>IF($B351="","",(COUNTIFS(Rships!$C$2:$C$9990,$A351,Rships!$D$2:$D$9990,5)))</f>
        <v/>
      </c>
      <c r="AG351" s="64" t="str">
        <f>IF($B351="","",(COUNTIFS(Rships!$C$2:$C$9990,$A351,Rships!$D$2:$D$9990,6)))</f>
        <v/>
      </c>
      <c r="AH351" s="64" t="str">
        <f>IF($B351="","",(COUNTIFS(Rships!$C$2:$C$9990,$A351,Rships!$D$2:$D$9990,7)))</f>
        <v/>
      </c>
    </row>
    <row r="352" spans="1:34">
      <c r="A352" s="1" t="s">
        <v>604</v>
      </c>
      <c r="C352" s="11" t="s">
        <v>19</v>
      </c>
      <c r="D352" s="11" t="s">
        <v>21</v>
      </c>
      <c r="F352" s="15"/>
      <c r="G352" s="15"/>
      <c r="I352" s="17"/>
      <c r="O352" s="11" t="s">
        <v>27</v>
      </c>
      <c r="Y352" s="64">
        <f t="shared" si="10"/>
        <v>0</v>
      </c>
      <c r="AA352" s="64">
        <f t="shared" si="11"/>
        <v>0</v>
      </c>
      <c r="AB352" s="64" t="str">
        <f>IF($B352="","",(COUNTIFS(Rships!$C$2:$C$9990,$A352,Rships!$D$2:$D$9990,1)))</f>
        <v/>
      </c>
      <c r="AC352" s="64" t="str">
        <f>IF($B352="","",(COUNTIFS(Rships!$C$2:$C$9990,$A352,Rships!$D$2:$D$9990,2)))</f>
        <v/>
      </c>
      <c r="AD352" s="64" t="str">
        <f>IF($B352="","",(COUNTIFS(Rships!$C$2:$C$9990,$A352,Rships!$D$2:$D$9990,3)))</f>
        <v/>
      </c>
      <c r="AE352" s="64" t="str">
        <f>IF($B352="","",(COUNTIFS(Rships!$C$2:$C$9990,$A352,Rships!$D$2:$D$9990,4)))</f>
        <v/>
      </c>
      <c r="AF352" s="64" t="str">
        <f>IF($B352="","",(COUNTIFS(Rships!$C$2:$C$9990,$A352,Rships!$D$2:$D$9990,5)))</f>
        <v/>
      </c>
      <c r="AG352" s="64" t="str">
        <f>IF($B352="","",(COUNTIFS(Rships!$C$2:$C$9990,$A352,Rships!$D$2:$D$9990,6)))</f>
        <v/>
      </c>
      <c r="AH352" s="64" t="str">
        <f>IF($B352="","",(COUNTIFS(Rships!$C$2:$C$9990,$A352,Rships!$D$2:$D$9990,7)))</f>
        <v/>
      </c>
    </row>
    <row r="353" spans="1:34">
      <c r="A353" s="1" t="s">
        <v>605</v>
      </c>
      <c r="C353" s="11" t="s">
        <v>19</v>
      </c>
      <c r="D353" s="11" t="s">
        <v>21</v>
      </c>
      <c r="F353" s="15"/>
      <c r="G353" s="15"/>
      <c r="I353" s="17"/>
      <c r="O353" s="11" t="s">
        <v>27</v>
      </c>
      <c r="Y353" s="64">
        <f t="shared" si="10"/>
        <v>0</v>
      </c>
      <c r="AA353" s="64">
        <f t="shared" si="11"/>
        <v>0</v>
      </c>
      <c r="AB353" s="64" t="str">
        <f>IF($B353="","",(COUNTIFS(Rships!$C$2:$C$9990,$A353,Rships!$D$2:$D$9990,1)))</f>
        <v/>
      </c>
      <c r="AC353" s="64" t="str">
        <f>IF($B353="","",(COUNTIFS(Rships!$C$2:$C$9990,$A353,Rships!$D$2:$D$9990,2)))</f>
        <v/>
      </c>
      <c r="AD353" s="64" t="str">
        <f>IF($B353="","",(COUNTIFS(Rships!$C$2:$C$9990,$A353,Rships!$D$2:$D$9990,3)))</f>
        <v/>
      </c>
      <c r="AE353" s="64" t="str">
        <f>IF($B353="","",(COUNTIFS(Rships!$C$2:$C$9990,$A353,Rships!$D$2:$D$9990,4)))</f>
        <v/>
      </c>
      <c r="AF353" s="64" t="str">
        <f>IF($B353="","",(COUNTIFS(Rships!$C$2:$C$9990,$A353,Rships!$D$2:$D$9990,5)))</f>
        <v/>
      </c>
      <c r="AG353" s="64" t="str">
        <f>IF($B353="","",(COUNTIFS(Rships!$C$2:$C$9990,$A353,Rships!$D$2:$D$9990,6)))</f>
        <v/>
      </c>
      <c r="AH353" s="64" t="str">
        <f>IF($B353="","",(COUNTIFS(Rships!$C$2:$C$9990,$A353,Rships!$D$2:$D$9990,7)))</f>
        <v/>
      </c>
    </row>
    <row r="354" spans="1:34">
      <c r="A354" s="1" t="s">
        <v>606</v>
      </c>
      <c r="C354" s="11" t="s">
        <v>19</v>
      </c>
      <c r="D354" s="11" t="s">
        <v>21</v>
      </c>
      <c r="F354" s="15"/>
      <c r="G354" s="15"/>
      <c r="I354" s="17"/>
      <c r="O354" s="11" t="s">
        <v>27</v>
      </c>
      <c r="Y354" s="64">
        <f t="shared" si="10"/>
        <v>0</v>
      </c>
      <c r="AA354" s="64">
        <f t="shared" si="11"/>
        <v>0</v>
      </c>
      <c r="AB354" s="64" t="str">
        <f>IF($B354="","",(COUNTIFS(Rships!$C$2:$C$9990,$A354,Rships!$D$2:$D$9990,1)))</f>
        <v/>
      </c>
      <c r="AC354" s="64" t="str">
        <f>IF($B354="","",(COUNTIFS(Rships!$C$2:$C$9990,$A354,Rships!$D$2:$D$9990,2)))</f>
        <v/>
      </c>
      <c r="AD354" s="64" t="str">
        <f>IF($B354="","",(COUNTIFS(Rships!$C$2:$C$9990,$A354,Rships!$D$2:$D$9990,3)))</f>
        <v/>
      </c>
      <c r="AE354" s="64" t="str">
        <f>IF($B354="","",(COUNTIFS(Rships!$C$2:$C$9990,$A354,Rships!$D$2:$D$9990,4)))</f>
        <v/>
      </c>
      <c r="AF354" s="64" t="str">
        <f>IF($B354="","",(COUNTIFS(Rships!$C$2:$C$9990,$A354,Rships!$D$2:$D$9990,5)))</f>
        <v/>
      </c>
      <c r="AG354" s="64" t="str">
        <f>IF($B354="","",(COUNTIFS(Rships!$C$2:$C$9990,$A354,Rships!$D$2:$D$9990,6)))</f>
        <v/>
      </c>
      <c r="AH354" s="64" t="str">
        <f>IF($B354="","",(COUNTIFS(Rships!$C$2:$C$9990,$A354,Rships!$D$2:$D$9990,7)))</f>
        <v/>
      </c>
    </row>
    <row r="355" spans="1:34">
      <c r="A355" s="1" t="s">
        <v>607</v>
      </c>
      <c r="C355" s="11" t="s">
        <v>19</v>
      </c>
      <c r="D355" s="11" t="s">
        <v>21</v>
      </c>
      <c r="F355" s="15"/>
      <c r="G355" s="15"/>
      <c r="I355" s="17"/>
      <c r="O355" s="11" t="s">
        <v>27</v>
      </c>
      <c r="Y355" s="64">
        <f t="shared" si="10"/>
        <v>0</v>
      </c>
      <c r="AA355" s="64">
        <f t="shared" si="11"/>
        <v>0</v>
      </c>
      <c r="AB355" s="64" t="str">
        <f>IF($B355="","",(COUNTIFS(Rships!$C$2:$C$9990,$A355,Rships!$D$2:$D$9990,1)))</f>
        <v/>
      </c>
      <c r="AC355" s="64" t="str">
        <f>IF($B355="","",(COUNTIFS(Rships!$C$2:$C$9990,$A355,Rships!$D$2:$D$9990,2)))</f>
        <v/>
      </c>
      <c r="AD355" s="64" t="str">
        <f>IF($B355="","",(COUNTIFS(Rships!$C$2:$C$9990,$A355,Rships!$D$2:$D$9990,3)))</f>
        <v/>
      </c>
      <c r="AE355" s="64" t="str">
        <f>IF($B355="","",(COUNTIFS(Rships!$C$2:$C$9990,$A355,Rships!$D$2:$D$9990,4)))</f>
        <v/>
      </c>
      <c r="AF355" s="64" t="str">
        <f>IF($B355="","",(COUNTIFS(Rships!$C$2:$C$9990,$A355,Rships!$D$2:$D$9990,5)))</f>
        <v/>
      </c>
      <c r="AG355" s="64" t="str">
        <f>IF($B355="","",(COUNTIFS(Rships!$C$2:$C$9990,$A355,Rships!$D$2:$D$9990,6)))</f>
        <v/>
      </c>
      <c r="AH355" s="64" t="str">
        <f>IF($B355="","",(COUNTIFS(Rships!$C$2:$C$9990,$A355,Rships!$D$2:$D$9990,7)))</f>
        <v/>
      </c>
    </row>
    <row r="356" spans="1:34">
      <c r="A356" s="1" t="s">
        <v>608</v>
      </c>
      <c r="C356" s="11" t="s">
        <v>19</v>
      </c>
      <c r="D356" s="11" t="s">
        <v>21</v>
      </c>
      <c r="F356" s="15"/>
      <c r="G356" s="15"/>
      <c r="I356" s="17"/>
      <c r="O356" s="11" t="s">
        <v>27</v>
      </c>
      <c r="Y356" s="64">
        <f t="shared" si="10"/>
        <v>0</v>
      </c>
      <c r="AA356" s="64">
        <f t="shared" si="11"/>
        <v>0</v>
      </c>
      <c r="AB356" s="64" t="str">
        <f>IF($B356="","",(COUNTIFS(Rships!$C$2:$C$9990,$A356,Rships!$D$2:$D$9990,1)))</f>
        <v/>
      </c>
      <c r="AC356" s="64" t="str">
        <f>IF($B356="","",(COUNTIFS(Rships!$C$2:$C$9990,$A356,Rships!$D$2:$D$9990,2)))</f>
        <v/>
      </c>
      <c r="AD356" s="64" t="str">
        <f>IF($B356="","",(COUNTIFS(Rships!$C$2:$C$9990,$A356,Rships!$D$2:$D$9990,3)))</f>
        <v/>
      </c>
      <c r="AE356" s="64" t="str">
        <f>IF($B356="","",(COUNTIFS(Rships!$C$2:$C$9990,$A356,Rships!$D$2:$D$9990,4)))</f>
        <v/>
      </c>
      <c r="AF356" s="64" t="str">
        <f>IF($B356="","",(COUNTIFS(Rships!$C$2:$C$9990,$A356,Rships!$D$2:$D$9990,5)))</f>
        <v/>
      </c>
      <c r="AG356" s="64" t="str">
        <f>IF($B356="","",(COUNTIFS(Rships!$C$2:$C$9990,$A356,Rships!$D$2:$D$9990,6)))</f>
        <v/>
      </c>
      <c r="AH356" s="64" t="str">
        <f>IF($B356="","",(COUNTIFS(Rships!$C$2:$C$9990,$A356,Rships!$D$2:$D$9990,7)))</f>
        <v/>
      </c>
    </row>
    <row r="357" spans="1:34">
      <c r="A357" s="1" t="s">
        <v>609</v>
      </c>
      <c r="C357" s="11" t="s">
        <v>19</v>
      </c>
      <c r="D357" s="11" t="s">
        <v>21</v>
      </c>
      <c r="F357" s="15"/>
      <c r="G357" s="15"/>
      <c r="I357" s="17"/>
      <c r="O357" s="11" t="s">
        <v>27</v>
      </c>
      <c r="Y357" s="64">
        <f t="shared" si="10"/>
        <v>0</v>
      </c>
      <c r="AA357" s="64">
        <f t="shared" si="11"/>
        <v>0</v>
      </c>
      <c r="AB357" s="64" t="str">
        <f>IF($B357="","",(COUNTIFS(Rships!$C$2:$C$9990,$A357,Rships!$D$2:$D$9990,1)))</f>
        <v/>
      </c>
      <c r="AC357" s="64" t="str">
        <f>IF($B357="","",(COUNTIFS(Rships!$C$2:$C$9990,$A357,Rships!$D$2:$D$9990,2)))</f>
        <v/>
      </c>
      <c r="AD357" s="64" t="str">
        <f>IF($B357="","",(COUNTIFS(Rships!$C$2:$C$9990,$A357,Rships!$D$2:$D$9990,3)))</f>
        <v/>
      </c>
      <c r="AE357" s="64" t="str">
        <f>IF($B357="","",(COUNTIFS(Rships!$C$2:$C$9990,$A357,Rships!$D$2:$D$9990,4)))</f>
        <v/>
      </c>
      <c r="AF357" s="64" t="str">
        <f>IF($B357="","",(COUNTIFS(Rships!$C$2:$C$9990,$A357,Rships!$D$2:$D$9990,5)))</f>
        <v/>
      </c>
      <c r="AG357" s="64" t="str">
        <f>IF($B357="","",(COUNTIFS(Rships!$C$2:$C$9990,$A357,Rships!$D$2:$D$9990,6)))</f>
        <v/>
      </c>
      <c r="AH357" s="64" t="str">
        <f>IF($B357="","",(COUNTIFS(Rships!$C$2:$C$9990,$A357,Rships!$D$2:$D$9990,7)))</f>
        <v/>
      </c>
    </row>
    <row r="358" spans="1:34">
      <c r="A358" s="1" t="s">
        <v>610</v>
      </c>
      <c r="C358" s="11" t="s">
        <v>19</v>
      </c>
      <c r="D358" s="11" t="s">
        <v>21</v>
      </c>
      <c r="F358" s="15"/>
      <c r="G358" s="15"/>
      <c r="I358" s="17"/>
      <c r="O358" s="11" t="s">
        <v>27</v>
      </c>
      <c r="Y358" s="64">
        <f t="shared" si="10"/>
        <v>0</v>
      </c>
      <c r="AA358" s="64">
        <f t="shared" si="11"/>
        <v>0</v>
      </c>
      <c r="AB358" s="64" t="str">
        <f>IF($B358="","",(COUNTIFS(Rships!$C$2:$C$9990,$A358,Rships!$D$2:$D$9990,1)))</f>
        <v/>
      </c>
      <c r="AC358" s="64" t="str">
        <f>IF($B358="","",(COUNTIFS(Rships!$C$2:$C$9990,$A358,Rships!$D$2:$D$9990,2)))</f>
        <v/>
      </c>
      <c r="AD358" s="64" t="str">
        <f>IF($B358="","",(COUNTIFS(Rships!$C$2:$C$9990,$A358,Rships!$D$2:$D$9990,3)))</f>
        <v/>
      </c>
      <c r="AE358" s="64" t="str">
        <f>IF($B358="","",(COUNTIFS(Rships!$C$2:$C$9990,$A358,Rships!$D$2:$D$9990,4)))</f>
        <v/>
      </c>
      <c r="AF358" s="64" t="str">
        <f>IF($B358="","",(COUNTIFS(Rships!$C$2:$C$9990,$A358,Rships!$D$2:$D$9990,5)))</f>
        <v/>
      </c>
      <c r="AG358" s="64" t="str">
        <f>IF($B358="","",(COUNTIFS(Rships!$C$2:$C$9990,$A358,Rships!$D$2:$D$9990,6)))</f>
        <v/>
      </c>
      <c r="AH358" s="64" t="str">
        <f>IF($B358="","",(COUNTIFS(Rships!$C$2:$C$9990,$A358,Rships!$D$2:$D$9990,7)))</f>
        <v/>
      </c>
    </row>
    <row r="359" spans="1:34">
      <c r="A359" s="1" t="s">
        <v>611</v>
      </c>
      <c r="C359" s="11" t="s">
        <v>19</v>
      </c>
      <c r="D359" s="11" t="s">
        <v>21</v>
      </c>
      <c r="F359" s="15"/>
      <c r="G359" s="15"/>
      <c r="I359" s="17"/>
      <c r="O359" s="11" t="s">
        <v>27</v>
      </c>
      <c r="Y359" s="64">
        <f t="shared" si="10"/>
        <v>0</v>
      </c>
      <c r="AA359" s="64">
        <f t="shared" si="11"/>
        <v>0</v>
      </c>
      <c r="AB359" s="64" t="str">
        <f>IF($B359="","",(COUNTIFS(Rships!$C$2:$C$9990,$A359,Rships!$D$2:$D$9990,1)))</f>
        <v/>
      </c>
      <c r="AC359" s="64" t="str">
        <f>IF($B359="","",(COUNTIFS(Rships!$C$2:$C$9990,$A359,Rships!$D$2:$D$9990,2)))</f>
        <v/>
      </c>
      <c r="AD359" s="64" t="str">
        <f>IF($B359="","",(COUNTIFS(Rships!$C$2:$C$9990,$A359,Rships!$D$2:$D$9990,3)))</f>
        <v/>
      </c>
      <c r="AE359" s="64" t="str">
        <f>IF($B359="","",(COUNTIFS(Rships!$C$2:$C$9990,$A359,Rships!$D$2:$D$9990,4)))</f>
        <v/>
      </c>
      <c r="AF359" s="64" t="str">
        <f>IF($B359="","",(COUNTIFS(Rships!$C$2:$C$9990,$A359,Rships!$D$2:$D$9990,5)))</f>
        <v/>
      </c>
      <c r="AG359" s="64" t="str">
        <f>IF($B359="","",(COUNTIFS(Rships!$C$2:$C$9990,$A359,Rships!$D$2:$D$9990,6)))</f>
        <v/>
      </c>
      <c r="AH359" s="64" t="str">
        <f>IF($B359="","",(COUNTIFS(Rships!$C$2:$C$9990,$A359,Rships!$D$2:$D$9990,7)))</f>
        <v/>
      </c>
    </row>
    <row r="360" spans="1:34">
      <c r="A360" s="1" t="s">
        <v>612</v>
      </c>
      <c r="C360" s="11" t="s">
        <v>19</v>
      </c>
      <c r="D360" s="11" t="s">
        <v>21</v>
      </c>
      <c r="F360" s="15"/>
      <c r="G360" s="15"/>
      <c r="I360" s="17"/>
      <c r="O360" s="11" t="s">
        <v>27</v>
      </c>
      <c r="Y360" s="64">
        <f t="shared" si="10"/>
        <v>0</v>
      </c>
      <c r="AA360" s="64">
        <f t="shared" si="11"/>
        <v>0</v>
      </c>
      <c r="AB360" s="64" t="str">
        <f>IF($B360="","",(COUNTIFS(Rships!$C$2:$C$9990,$A360,Rships!$D$2:$D$9990,1)))</f>
        <v/>
      </c>
      <c r="AC360" s="64" t="str">
        <f>IF($B360="","",(COUNTIFS(Rships!$C$2:$C$9990,$A360,Rships!$D$2:$D$9990,2)))</f>
        <v/>
      </c>
      <c r="AD360" s="64" t="str">
        <f>IF($B360="","",(COUNTIFS(Rships!$C$2:$C$9990,$A360,Rships!$D$2:$D$9990,3)))</f>
        <v/>
      </c>
      <c r="AE360" s="64" t="str">
        <f>IF($B360="","",(COUNTIFS(Rships!$C$2:$C$9990,$A360,Rships!$D$2:$D$9990,4)))</f>
        <v/>
      </c>
      <c r="AF360" s="64" t="str">
        <f>IF($B360="","",(COUNTIFS(Rships!$C$2:$C$9990,$A360,Rships!$D$2:$D$9990,5)))</f>
        <v/>
      </c>
      <c r="AG360" s="64" t="str">
        <f>IF($B360="","",(COUNTIFS(Rships!$C$2:$C$9990,$A360,Rships!$D$2:$D$9990,6)))</f>
        <v/>
      </c>
      <c r="AH360" s="64" t="str">
        <f>IF($B360="","",(COUNTIFS(Rships!$C$2:$C$9990,$A360,Rships!$D$2:$D$9990,7)))</f>
        <v/>
      </c>
    </row>
    <row r="361" spans="1:34">
      <c r="A361" s="1" t="s">
        <v>613</v>
      </c>
      <c r="C361" s="11" t="s">
        <v>19</v>
      </c>
      <c r="D361" s="11" t="s">
        <v>21</v>
      </c>
      <c r="F361" s="15"/>
      <c r="G361" s="15"/>
      <c r="I361" s="17"/>
      <c r="O361" s="11" t="s">
        <v>27</v>
      </c>
      <c r="Y361" s="64">
        <f t="shared" si="10"/>
        <v>0</v>
      </c>
      <c r="AA361" s="64">
        <f t="shared" si="11"/>
        <v>0</v>
      </c>
      <c r="AB361" s="64" t="str">
        <f>IF($B361="","",(COUNTIFS(Rships!$C$2:$C$9990,$A361,Rships!$D$2:$D$9990,1)))</f>
        <v/>
      </c>
      <c r="AC361" s="64" t="str">
        <f>IF($B361="","",(COUNTIFS(Rships!$C$2:$C$9990,$A361,Rships!$D$2:$D$9990,2)))</f>
        <v/>
      </c>
      <c r="AD361" s="64" t="str">
        <f>IF($B361="","",(COUNTIFS(Rships!$C$2:$C$9990,$A361,Rships!$D$2:$D$9990,3)))</f>
        <v/>
      </c>
      <c r="AE361" s="64" t="str">
        <f>IF($B361="","",(COUNTIFS(Rships!$C$2:$C$9990,$A361,Rships!$D$2:$D$9990,4)))</f>
        <v/>
      </c>
      <c r="AF361" s="64" t="str">
        <f>IF($B361="","",(COUNTIFS(Rships!$C$2:$C$9990,$A361,Rships!$D$2:$D$9990,5)))</f>
        <v/>
      </c>
      <c r="AG361" s="64" t="str">
        <f>IF($B361="","",(COUNTIFS(Rships!$C$2:$C$9990,$A361,Rships!$D$2:$D$9990,6)))</f>
        <v/>
      </c>
      <c r="AH361" s="64" t="str">
        <f>IF($B361="","",(COUNTIFS(Rships!$C$2:$C$9990,$A361,Rships!$D$2:$D$9990,7)))</f>
        <v/>
      </c>
    </row>
    <row r="362" spans="1:34">
      <c r="A362" s="1" t="s">
        <v>614</v>
      </c>
      <c r="C362" s="11" t="s">
        <v>19</v>
      </c>
      <c r="D362" s="11" t="s">
        <v>21</v>
      </c>
      <c r="F362" s="15"/>
      <c r="G362" s="15"/>
      <c r="I362" s="17"/>
      <c r="O362" s="11" t="s">
        <v>27</v>
      </c>
      <c r="Y362" s="64">
        <f t="shared" si="10"/>
        <v>0</v>
      </c>
      <c r="AA362" s="64">
        <f t="shared" si="11"/>
        <v>0</v>
      </c>
      <c r="AB362" s="64" t="str">
        <f>IF($B362="","",(COUNTIFS(Rships!$C$2:$C$9990,$A362,Rships!$D$2:$D$9990,1)))</f>
        <v/>
      </c>
      <c r="AC362" s="64" t="str">
        <f>IF($B362="","",(COUNTIFS(Rships!$C$2:$C$9990,$A362,Rships!$D$2:$D$9990,2)))</f>
        <v/>
      </c>
      <c r="AD362" s="64" t="str">
        <f>IF($B362="","",(COUNTIFS(Rships!$C$2:$C$9990,$A362,Rships!$D$2:$D$9990,3)))</f>
        <v/>
      </c>
      <c r="AE362" s="64" t="str">
        <f>IF($B362="","",(COUNTIFS(Rships!$C$2:$C$9990,$A362,Rships!$D$2:$D$9990,4)))</f>
        <v/>
      </c>
      <c r="AF362" s="64" t="str">
        <f>IF($B362="","",(COUNTIFS(Rships!$C$2:$C$9990,$A362,Rships!$D$2:$D$9990,5)))</f>
        <v/>
      </c>
      <c r="AG362" s="64" t="str">
        <f>IF($B362="","",(COUNTIFS(Rships!$C$2:$C$9990,$A362,Rships!$D$2:$D$9990,6)))</f>
        <v/>
      </c>
      <c r="AH362" s="64" t="str">
        <f>IF($B362="","",(COUNTIFS(Rships!$C$2:$C$9990,$A362,Rships!$D$2:$D$9990,7)))</f>
        <v/>
      </c>
    </row>
    <row r="363" spans="1:34">
      <c r="A363" s="1" t="s">
        <v>615</v>
      </c>
      <c r="C363" s="11" t="s">
        <v>19</v>
      </c>
      <c r="D363" s="11" t="s">
        <v>21</v>
      </c>
      <c r="F363" s="15"/>
      <c r="G363" s="15"/>
      <c r="I363" s="17"/>
      <c r="O363" s="11" t="s">
        <v>27</v>
      </c>
      <c r="Y363" s="64">
        <f t="shared" si="10"/>
        <v>0</v>
      </c>
      <c r="AA363" s="64">
        <f t="shared" si="11"/>
        <v>0</v>
      </c>
      <c r="AB363" s="64" t="str">
        <f>IF($B363="","",(COUNTIFS(Rships!$C$2:$C$9990,$A363,Rships!$D$2:$D$9990,1)))</f>
        <v/>
      </c>
      <c r="AC363" s="64" t="str">
        <f>IF($B363="","",(COUNTIFS(Rships!$C$2:$C$9990,$A363,Rships!$D$2:$D$9990,2)))</f>
        <v/>
      </c>
      <c r="AD363" s="64" t="str">
        <f>IF($B363="","",(COUNTIFS(Rships!$C$2:$C$9990,$A363,Rships!$D$2:$D$9990,3)))</f>
        <v/>
      </c>
      <c r="AE363" s="64" t="str">
        <f>IF($B363="","",(COUNTIFS(Rships!$C$2:$C$9990,$A363,Rships!$D$2:$D$9990,4)))</f>
        <v/>
      </c>
      <c r="AF363" s="64" t="str">
        <f>IF($B363="","",(COUNTIFS(Rships!$C$2:$C$9990,$A363,Rships!$D$2:$D$9990,5)))</f>
        <v/>
      </c>
      <c r="AG363" s="64" t="str">
        <f>IF($B363="","",(COUNTIFS(Rships!$C$2:$C$9990,$A363,Rships!$D$2:$D$9990,6)))</f>
        <v/>
      </c>
      <c r="AH363" s="64" t="str">
        <f>IF($B363="","",(COUNTIFS(Rships!$C$2:$C$9990,$A363,Rships!$D$2:$D$9990,7)))</f>
        <v/>
      </c>
    </row>
    <row r="364" spans="1:34">
      <c r="A364" s="1" t="s">
        <v>616</v>
      </c>
      <c r="C364" s="11" t="s">
        <v>19</v>
      </c>
      <c r="D364" s="11" t="s">
        <v>21</v>
      </c>
      <c r="F364" s="15"/>
      <c r="G364" s="15"/>
      <c r="I364" s="17"/>
      <c r="O364" s="11" t="s">
        <v>27</v>
      </c>
      <c r="Y364" s="64">
        <f t="shared" si="10"/>
        <v>0</v>
      </c>
      <c r="AA364" s="64">
        <f t="shared" si="11"/>
        <v>0</v>
      </c>
      <c r="AB364" s="64" t="str">
        <f>IF($B364="","",(COUNTIFS(Rships!$C$2:$C$9990,$A364,Rships!$D$2:$D$9990,1)))</f>
        <v/>
      </c>
      <c r="AC364" s="64" t="str">
        <f>IF($B364="","",(COUNTIFS(Rships!$C$2:$C$9990,$A364,Rships!$D$2:$D$9990,2)))</f>
        <v/>
      </c>
      <c r="AD364" s="64" t="str">
        <f>IF($B364="","",(COUNTIFS(Rships!$C$2:$C$9990,$A364,Rships!$D$2:$D$9990,3)))</f>
        <v/>
      </c>
      <c r="AE364" s="64" t="str">
        <f>IF($B364="","",(COUNTIFS(Rships!$C$2:$C$9990,$A364,Rships!$D$2:$D$9990,4)))</f>
        <v/>
      </c>
      <c r="AF364" s="64" t="str">
        <f>IF($B364="","",(COUNTIFS(Rships!$C$2:$C$9990,$A364,Rships!$D$2:$D$9990,5)))</f>
        <v/>
      </c>
      <c r="AG364" s="64" t="str">
        <f>IF($B364="","",(COUNTIFS(Rships!$C$2:$C$9990,$A364,Rships!$D$2:$D$9990,6)))</f>
        <v/>
      </c>
      <c r="AH364" s="64" t="str">
        <f>IF($B364="","",(COUNTIFS(Rships!$C$2:$C$9990,$A364,Rships!$D$2:$D$9990,7)))</f>
        <v/>
      </c>
    </row>
    <row r="365" spans="1:34">
      <c r="A365" s="1" t="s">
        <v>617</v>
      </c>
      <c r="C365" s="11" t="s">
        <v>19</v>
      </c>
      <c r="D365" s="11" t="s">
        <v>21</v>
      </c>
      <c r="F365" s="15"/>
      <c r="G365" s="15"/>
      <c r="I365" s="17"/>
      <c r="O365" s="11" t="s">
        <v>27</v>
      </c>
      <c r="Y365" s="64">
        <f t="shared" si="10"/>
        <v>0</v>
      </c>
      <c r="AA365" s="64">
        <f t="shared" si="11"/>
        <v>0</v>
      </c>
      <c r="AB365" s="64" t="str">
        <f>IF($B365="","",(COUNTIFS(Rships!$C$2:$C$9990,$A365,Rships!$D$2:$D$9990,1)))</f>
        <v/>
      </c>
      <c r="AC365" s="64" t="str">
        <f>IF($B365="","",(COUNTIFS(Rships!$C$2:$C$9990,$A365,Rships!$D$2:$D$9990,2)))</f>
        <v/>
      </c>
      <c r="AD365" s="64" t="str">
        <f>IF($B365="","",(COUNTIFS(Rships!$C$2:$C$9990,$A365,Rships!$D$2:$D$9990,3)))</f>
        <v/>
      </c>
      <c r="AE365" s="64" t="str">
        <f>IF($B365="","",(COUNTIFS(Rships!$C$2:$C$9990,$A365,Rships!$D$2:$D$9990,4)))</f>
        <v/>
      </c>
      <c r="AF365" s="64" t="str">
        <f>IF($B365="","",(COUNTIFS(Rships!$C$2:$C$9990,$A365,Rships!$D$2:$D$9990,5)))</f>
        <v/>
      </c>
      <c r="AG365" s="64" t="str">
        <f>IF($B365="","",(COUNTIFS(Rships!$C$2:$C$9990,$A365,Rships!$D$2:$D$9990,6)))</f>
        <v/>
      </c>
      <c r="AH365" s="64" t="str">
        <f>IF($B365="","",(COUNTIFS(Rships!$C$2:$C$9990,$A365,Rships!$D$2:$D$9990,7)))</f>
        <v/>
      </c>
    </row>
    <row r="366" spans="1:34">
      <c r="A366" s="1" t="s">
        <v>618</v>
      </c>
      <c r="C366" s="11" t="s">
        <v>19</v>
      </c>
      <c r="D366" s="11" t="s">
        <v>21</v>
      </c>
      <c r="F366" s="15"/>
      <c r="G366" s="15"/>
      <c r="I366" s="17"/>
      <c r="O366" s="11" t="s">
        <v>27</v>
      </c>
      <c r="Y366" s="64">
        <f t="shared" si="10"/>
        <v>0</v>
      </c>
      <c r="AA366" s="64">
        <f t="shared" si="11"/>
        <v>0</v>
      </c>
      <c r="AB366" s="64" t="str">
        <f>IF($B366="","",(COUNTIFS(Rships!$C$2:$C$9990,$A366,Rships!$D$2:$D$9990,1)))</f>
        <v/>
      </c>
      <c r="AC366" s="64" t="str">
        <f>IF($B366="","",(COUNTIFS(Rships!$C$2:$C$9990,$A366,Rships!$D$2:$D$9990,2)))</f>
        <v/>
      </c>
      <c r="AD366" s="64" t="str">
        <f>IF($B366="","",(COUNTIFS(Rships!$C$2:$C$9990,$A366,Rships!$D$2:$D$9990,3)))</f>
        <v/>
      </c>
      <c r="AE366" s="64" t="str">
        <f>IF($B366="","",(COUNTIFS(Rships!$C$2:$C$9990,$A366,Rships!$D$2:$D$9990,4)))</f>
        <v/>
      </c>
      <c r="AF366" s="64" t="str">
        <f>IF($B366="","",(COUNTIFS(Rships!$C$2:$C$9990,$A366,Rships!$D$2:$D$9990,5)))</f>
        <v/>
      </c>
      <c r="AG366" s="64" t="str">
        <f>IF($B366="","",(COUNTIFS(Rships!$C$2:$C$9990,$A366,Rships!$D$2:$D$9990,6)))</f>
        <v/>
      </c>
      <c r="AH366" s="64" t="str">
        <f>IF($B366="","",(COUNTIFS(Rships!$C$2:$C$9990,$A366,Rships!$D$2:$D$9990,7)))</f>
        <v/>
      </c>
    </row>
    <row r="367" spans="1:34">
      <c r="A367" s="1" t="s">
        <v>619</v>
      </c>
      <c r="C367" s="11" t="s">
        <v>19</v>
      </c>
      <c r="D367" s="11" t="s">
        <v>21</v>
      </c>
      <c r="F367" s="15"/>
      <c r="G367" s="15"/>
      <c r="I367" s="17"/>
      <c r="O367" s="11" t="s">
        <v>27</v>
      </c>
      <c r="Y367" s="64">
        <f t="shared" si="10"/>
        <v>0</v>
      </c>
      <c r="AA367" s="64">
        <f t="shared" si="11"/>
        <v>0</v>
      </c>
      <c r="AB367" s="64" t="str">
        <f>IF($B367="","",(COUNTIFS(Rships!$C$2:$C$9990,$A367,Rships!$D$2:$D$9990,1)))</f>
        <v/>
      </c>
      <c r="AC367" s="64" t="str">
        <f>IF($B367="","",(COUNTIFS(Rships!$C$2:$C$9990,$A367,Rships!$D$2:$D$9990,2)))</f>
        <v/>
      </c>
      <c r="AD367" s="64" t="str">
        <f>IF($B367="","",(COUNTIFS(Rships!$C$2:$C$9990,$A367,Rships!$D$2:$D$9990,3)))</f>
        <v/>
      </c>
      <c r="AE367" s="64" t="str">
        <f>IF($B367="","",(COUNTIFS(Rships!$C$2:$C$9990,$A367,Rships!$D$2:$D$9990,4)))</f>
        <v/>
      </c>
      <c r="AF367" s="64" t="str">
        <f>IF($B367="","",(COUNTIFS(Rships!$C$2:$C$9990,$A367,Rships!$D$2:$D$9990,5)))</f>
        <v/>
      </c>
      <c r="AG367" s="64" t="str">
        <f>IF($B367="","",(COUNTIFS(Rships!$C$2:$C$9990,$A367,Rships!$D$2:$D$9990,6)))</f>
        <v/>
      </c>
      <c r="AH367" s="64" t="str">
        <f>IF($B367="","",(COUNTIFS(Rships!$C$2:$C$9990,$A367,Rships!$D$2:$D$9990,7)))</f>
        <v/>
      </c>
    </row>
    <row r="368" spans="1:34">
      <c r="A368" s="1" t="s">
        <v>620</v>
      </c>
      <c r="C368" s="11" t="s">
        <v>19</v>
      </c>
      <c r="D368" s="11" t="s">
        <v>21</v>
      </c>
      <c r="F368" s="15"/>
      <c r="G368" s="15"/>
      <c r="I368" s="17"/>
      <c r="O368" s="11" t="s">
        <v>27</v>
      </c>
      <c r="Y368" s="64">
        <f t="shared" si="10"/>
        <v>0</v>
      </c>
      <c r="AA368" s="64">
        <f t="shared" si="11"/>
        <v>0</v>
      </c>
      <c r="AB368" s="64" t="str">
        <f>IF($B368="","",(COUNTIFS(Rships!$C$2:$C$9990,$A368,Rships!$D$2:$D$9990,1)))</f>
        <v/>
      </c>
      <c r="AC368" s="64" t="str">
        <f>IF($B368="","",(COUNTIFS(Rships!$C$2:$C$9990,$A368,Rships!$D$2:$D$9990,2)))</f>
        <v/>
      </c>
      <c r="AD368" s="64" t="str">
        <f>IF($B368="","",(COUNTIFS(Rships!$C$2:$C$9990,$A368,Rships!$D$2:$D$9990,3)))</f>
        <v/>
      </c>
      <c r="AE368" s="64" t="str">
        <f>IF($B368="","",(COUNTIFS(Rships!$C$2:$C$9990,$A368,Rships!$D$2:$D$9990,4)))</f>
        <v/>
      </c>
      <c r="AF368" s="64" t="str">
        <f>IF($B368="","",(COUNTIFS(Rships!$C$2:$C$9990,$A368,Rships!$D$2:$D$9990,5)))</f>
        <v/>
      </c>
      <c r="AG368" s="64" t="str">
        <f>IF($B368="","",(COUNTIFS(Rships!$C$2:$C$9990,$A368,Rships!$D$2:$D$9990,6)))</f>
        <v/>
      </c>
      <c r="AH368" s="64" t="str">
        <f>IF($B368="","",(COUNTIFS(Rships!$C$2:$C$9990,$A368,Rships!$D$2:$D$9990,7)))</f>
        <v/>
      </c>
    </row>
    <row r="369" spans="1:34">
      <c r="A369" s="1" t="s">
        <v>621</v>
      </c>
      <c r="C369" s="11" t="s">
        <v>19</v>
      </c>
      <c r="D369" s="11" t="s">
        <v>21</v>
      </c>
      <c r="F369" s="15"/>
      <c r="G369" s="15"/>
      <c r="I369" s="17"/>
      <c r="O369" s="11" t="s">
        <v>27</v>
      </c>
      <c r="Y369" s="64">
        <f t="shared" si="10"/>
        <v>0</v>
      </c>
      <c r="AA369" s="64">
        <f t="shared" si="11"/>
        <v>0</v>
      </c>
      <c r="AB369" s="64" t="str">
        <f>IF($B369="","",(COUNTIFS(Rships!$C$2:$C$9990,$A369,Rships!$D$2:$D$9990,1)))</f>
        <v/>
      </c>
      <c r="AC369" s="64" t="str">
        <f>IF($B369="","",(COUNTIFS(Rships!$C$2:$C$9990,$A369,Rships!$D$2:$D$9990,2)))</f>
        <v/>
      </c>
      <c r="AD369" s="64" t="str">
        <f>IF($B369="","",(COUNTIFS(Rships!$C$2:$C$9990,$A369,Rships!$D$2:$D$9990,3)))</f>
        <v/>
      </c>
      <c r="AE369" s="64" t="str">
        <f>IF($B369="","",(COUNTIFS(Rships!$C$2:$C$9990,$A369,Rships!$D$2:$D$9990,4)))</f>
        <v/>
      </c>
      <c r="AF369" s="64" t="str">
        <f>IF($B369="","",(COUNTIFS(Rships!$C$2:$C$9990,$A369,Rships!$D$2:$D$9990,5)))</f>
        <v/>
      </c>
      <c r="AG369" s="64" t="str">
        <f>IF($B369="","",(COUNTIFS(Rships!$C$2:$C$9990,$A369,Rships!$D$2:$D$9990,6)))</f>
        <v/>
      </c>
      <c r="AH369" s="64" t="str">
        <f>IF($B369="","",(COUNTIFS(Rships!$C$2:$C$9990,$A369,Rships!$D$2:$D$9990,7)))</f>
        <v/>
      </c>
    </row>
    <row r="370" spans="1:34">
      <c r="A370" s="1" t="s">
        <v>622</v>
      </c>
      <c r="C370" s="11" t="s">
        <v>19</v>
      </c>
      <c r="D370" s="11" t="s">
        <v>21</v>
      </c>
      <c r="F370" s="15"/>
      <c r="G370" s="15"/>
      <c r="I370" s="17"/>
      <c r="O370" s="11" t="s">
        <v>27</v>
      </c>
      <c r="Y370" s="64">
        <f t="shared" si="10"/>
        <v>0</v>
      </c>
      <c r="AA370" s="64">
        <f t="shared" si="11"/>
        <v>0</v>
      </c>
      <c r="AB370" s="64" t="str">
        <f>IF($B370="","",(COUNTIFS(Rships!$C$2:$C$9990,$A370,Rships!$D$2:$D$9990,1)))</f>
        <v/>
      </c>
      <c r="AC370" s="64" t="str">
        <f>IF($B370="","",(COUNTIFS(Rships!$C$2:$C$9990,$A370,Rships!$D$2:$D$9990,2)))</f>
        <v/>
      </c>
      <c r="AD370" s="64" t="str">
        <f>IF($B370="","",(COUNTIFS(Rships!$C$2:$C$9990,$A370,Rships!$D$2:$D$9990,3)))</f>
        <v/>
      </c>
      <c r="AE370" s="64" t="str">
        <f>IF($B370="","",(COUNTIFS(Rships!$C$2:$C$9990,$A370,Rships!$D$2:$D$9990,4)))</f>
        <v/>
      </c>
      <c r="AF370" s="64" t="str">
        <f>IF($B370="","",(COUNTIFS(Rships!$C$2:$C$9990,$A370,Rships!$D$2:$D$9990,5)))</f>
        <v/>
      </c>
      <c r="AG370" s="64" t="str">
        <f>IF($B370="","",(COUNTIFS(Rships!$C$2:$C$9990,$A370,Rships!$D$2:$D$9990,6)))</f>
        <v/>
      </c>
      <c r="AH370" s="64" t="str">
        <f>IF($B370="","",(COUNTIFS(Rships!$C$2:$C$9990,$A370,Rships!$D$2:$D$9990,7)))</f>
        <v/>
      </c>
    </row>
    <row r="371" spans="1:34">
      <c r="A371" s="1" t="s">
        <v>623</v>
      </c>
      <c r="C371" s="11" t="s">
        <v>19</v>
      </c>
      <c r="D371" s="11" t="s">
        <v>21</v>
      </c>
      <c r="F371" s="15"/>
      <c r="G371" s="15"/>
      <c r="I371" s="17"/>
      <c r="O371" s="11" t="s">
        <v>27</v>
      </c>
      <c r="Y371" s="64">
        <f t="shared" ref="Y371:Y434" si="12">SUMIF($B$2:$B$100,$A371,$AA$2:$AA$100)</f>
        <v>0</v>
      </c>
      <c r="AA371" s="64">
        <f t="shared" si="11"/>
        <v>0</v>
      </c>
      <c r="AB371" s="64" t="str">
        <f>IF($B371="","",(COUNTIFS(Rships!$C$2:$C$9990,$A371,Rships!$D$2:$D$9990,1)))</f>
        <v/>
      </c>
      <c r="AC371" s="64" t="str">
        <f>IF($B371="","",(COUNTIFS(Rships!$C$2:$C$9990,$A371,Rships!$D$2:$D$9990,2)))</f>
        <v/>
      </c>
      <c r="AD371" s="64" t="str">
        <f>IF($B371="","",(COUNTIFS(Rships!$C$2:$C$9990,$A371,Rships!$D$2:$D$9990,3)))</f>
        <v/>
      </c>
      <c r="AE371" s="64" t="str">
        <f>IF($B371="","",(COUNTIFS(Rships!$C$2:$C$9990,$A371,Rships!$D$2:$D$9990,4)))</f>
        <v/>
      </c>
      <c r="AF371" s="64" t="str">
        <f>IF($B371="","",(COUNTIFS(Rships!$C$2:$C$9990,$A371,Rships!$D$2:$D$9990,5)))</f>
        <v/>
      </c>
      <c r="AG371" s="64" t="str">
        <f>IF($B371="","",(COUNTIFS(Rships!$C$2:$C$9990,$A371,Rships!$D$2:$D$9990,6)))</f>
        <v/>
      </c>
      <c r="AH371" s="64" t="str">
        <f>IF($B371="","",(COUNTIFS(Rships!$C$2:$C$9990,$A371,Rships!$D$2:$D$9990,7)))</f>
        <v/>
      </c>
    </row>
    <row r="372" spans="1:34">
      <c r="A372" s="1" t="s">
        <v>624</v>
      </c>
      <c r="C372" s="11" t="s">
        <v>19</v>
      </c>
      <c r="D372" s="11" t="s">
        <v>21</v>
      </c>
      <c r="F372" s="15"/>
      <c r="G372" s="15"/>
      <c r="I372" s="17"/>
      <c r="O372" s="11" t="s">
        <v>27</v>
      </c>
      <c r="Y372" s="64">
        <f t="shared" si="12"/>
        <v>0</v>
      </c>
      <c r="AA372" s="64">
        <f t="shared" si="11"/>
        <v>0</v>
      </c>
      <c r="AB372" s="64" t="str">
        <f>IF($B372="","",(COUNTIFS(Rships!$C$2:$C$9990,$A372,Rships!$D$2:$D$9990,1)))</f>
        <v/>
      </c>
      <c r="AC372" s="64" t="str">
        <f>IF($B372="","",(COUNTIFS(Rships!$C$2:$C$9990,$A372,Rships!$D$2:$D$9990,2)))</f>
        <v/>
      </c>
      <c r="AD372" s="64" t="str">
        <f>IF($B372="","",(COUNTIFS(Rships!$C$2:$C$9990,$A372,Rships!$D$2:$D$9990,3)))</f>
        <v/>
      </c>
      <c r="AE372" s="64" t="str">
        <f>IF($B372="","",(COUNTIFS(Rships!$C$2:$C$9990,$A372,Rships!$D$2:$D$9990,4)))</f>
        <v/>
      </c>
      <c r="AF372" s="64" t="str">
        <f>IF($B372="","",(COUNTIFS(Rships!$C$2:$C$9990,$A372,Rships!$D$2:$D$9990,5)))</f>
        <v/>
      </c>
      <c r="AG372" s="64" t="str">
        <f>IF($B372="","",(COUNTIFS(Rships!$C$2:$C$9990,$A372,Rships!$D$2:$D$9990,6)))</f>
        <v/>
      </c>
      <c r="AH372" s="64" t="str">
        <f>IF($B372="","",(COUNTIFS(Rships!$C$2:$C$9990,$A372,Rships!$D$2:$D$9990,7)))</f>
        <v/>
      </c>
    </row>
    <row r="373" spans="1:34">
      <c r="A373" s="1" t="s">
        <v>625</v>
      </c>
      <c r="C373" s="11" t="s">
        <v>19</v>
      </c>
      <c r="D373" s="11" t="s">
        <v>21</v>
      </c>
      <c r="F373" s="15"/>
      <c r="G373" s="15"/>
      <c r="I373" s="17"/>
      <c r="O373" s="11" t="s">
        <v>27</v>
      </c>
      <c r="Y373" s="64">
        <f t="shared" si="12"/>
        <v>0</v>
      </c>
      <c r="AA373" s="64">
        <f t="shared" si="11"/>
        <v>0</v>
      </c>
      <c r="AB373" s="64" t="str">
        <f>IF($B373="","",(COUNTIFS(Rships!$C$2:$C$9990,$A373,Rships!$D$2:$D$9990,1)))</f>
        <v/>
      </c>
      <c r="AC373" s="64" t="str">
        <f>IF($B373="","",(COUNTIFS(Rships!$C$2:$C$9990,$A373,Rships!$D$2:$D$9990,2)))</f>
        <v/>
      </c>
      <c r="AD373" s="64" t="str">
        <f>IF($B373="","",(COUNTIFS(Rships!$C$2:$C$9990,$A373,Rships!$D$2:$D$9990,3)))</f>
        <v/>
      </c>
      <c r="AE373" s="64" t="str">
        <f>IF($B373="","",(COUNTIFS(Rships!$C$2:$C$9990,$A373,Rships!$D$2:$D$9990,4)))</f>
        <v/>
      </c>
      <c r="AF373" s="64" t="str">
        <f>IF($B373="","",(COUNTIFS(Rships!$C$2:$C$9990,$A373,Rships!$D$2:$D$9990,5)))</f>
        <v/>
      </c>
      <c r="AG373" s="64" t="str">
        <f>IF($B373="","",(COUNTIFS(Rships!$C$2:$C$9990,$A373,Rships!$D$2:$D$9990,6)))</f>
        <v/>
      </c>
      <c r="AH373" s="64" t="str">
        <f>IF($B373="","",(COUNTIFS(Rships!$C$2:$C$9990,$A373,Rships!$D$2:$D$9990,7)))</f>
        <v/>
      </c>
    </row>
    <row r="374" spans="1:34">
      <c r="A374" s="1" t="s">
        <v>626</v>
      </c>
      <c r="C374" s="11" t="s">
        <v>19</v>
      </c>
      <c r="D374" s="11" t="s">
        <v>21</v>
      </c>
      <c r="F374" s="15"/>
      <c r="G374" s="15"/>
      <c r="I374" s="17"/>
      <c r="O374" s="11" t="s">
        <v>27</v>
      </c>
      <c r="Y374" s="64">
        <f t="shared" si="12"/>
        <v>0</v>
      </c>
      <c r="AA374" s="64">
        <f t="shared" si="11"/>
        <v>0</v>
      </c>
      <c r="AB374" s="64" t="str">
        <f>IF($B374="","",(COUNTIFS(Rships!$C$2:$C$9990,$A374,Rships!$D$2:$D$9990,1)))</f>
        <v/>
      </c>
      <c r="AC374" s="64" t="str">
        <f>IF($B374="","",(COUNTIFS(Rships!$C$2:$C$9990,$A374,Rships!$D$2:$D$9990,2)))</f>
        <v/>
      </c>
      <c r="AD374" s="64" t="str">
        <f>IF($B374="","",(COUNTIFS(Rships!$C$2:$C$9990,$A374,Rships!$D$2:$D$9990,3)))</f>
        <v/>
      </c>
      <c r="AE374" s="64" t="str">
        <f>IF($B374="","",(COUNTIFS(Rships!$C$2:$C$9990,$A374,Rships!$D$2:$D$9990,4)))</f>
        <v/>
      </c>
      <c r="AF374" s="64" t="str">
        <f>IF($B374="","",(COUNTIFS(Rships!$C$2:$C$9990,$A374,Rships!$D$2:$D$9990,5)))</f>
        <v/>
      </c>
      <c r="AG374" s="64" t="str">
        <f>IF($B374="","",(COUNTIFS(Rships!$C$2:$C$9990,$A374,Rships!$D$2:$D$9990,6)))</f>
        <v/>
      </c>
      <c r="AH374" s="64" t="str">
        <f>IF($B374="","",(COUNTIFS(Rships!$C$2:$C$9990,$A374,Rships!$D$2:$D$9990,7)))</f>
        <v/>
      </c>
    </row>
    <row r="375" spans="1:34">
      <c r="A375" s="1" t="s">
        <v>627</v>
      </c>
      <c r="C375" s="11" t="s">
        <v>19</v>
      </c>
      <c r="D375" s="11" t="s">
        <v>21</v>
      </c>
      <c r="F375" s="15"/>
      <c r="G375" s="15"/>
      <c r="I375" s="17"/>
      <c r="O375" s="11" t="s">
        <v>27</v>
      </c>
      <c r="Y375" s="64">
        <f t="shared" si="12"/>
        <v>0</v>
      </c>
      <c r="AA375" s="64">
        <f t="shared" si="11"/>
        <v>0</v>
      </c>
      <c r="AB375" s="64" t="str">
        <f>IF($B375="","",(COUNTIFS(Rships!$C$2:$C$9990,$A375,Rships!$D$2:$D$9990,1)))</f>
        <v/>
      </c>
      <c r="AC375" s="64" t="str">
        <f>IF($B375="","",(COUNTIFS(Rships!$C$2:$C$9990,$A375,Rships!$D$2:$D$9990,2)))</f>
        <v/>
      </c>
      <c r="AD375" s="64" t="str">
        <f>IF($B375="","",(COUNTIFS(Rships!$C$2:$C$9990,$A375,Rships!$D$2:$D$9990,3)))</f>
        <v/>
      </c>
      <c r="AE375" s="64" t="str">
        <f>IF($B375="","",(COUNTIFS(Rships!$C$2:$C$9990,$A375,Rships!$D$2:$D$9990,4)))</f>
        <v/>
      </c>
      <c r="AF375" s="64" t="str">
        <f>IF($B375="","",(COUNTIFS(Rships!$C$2:$C$9990,$A375,Rships!$D$2:$D$9990,5)))</f>
        <v/>
      </c>
      <c r="AG375" s="64" t="str">
        <f>IF($B375="","",(COUNTIFS(Rships!$C$2:$C$9990,$A375,Rships!$D$2:$D$9990,6)))</f>
        <v/>
      </c>
      <c r="AH375" s="64" t="str">
        <f>IF($B375="","",(COUNTIFS(Rships!$C$2:$C$9990,$A375,Rships!$D$2:$D$9990,7)))</f>
        <v/>
      </c>
    </row>
    <row r="376" spans="1:34">
      <c r="A376" s="1" t="s">
        <v>628</v>
      </c>
      <c r="C376" s="11" t="s">
        <v>19</v>
      </c>
      <c r="D376" s="11" t="s">
        <v>21</v>
      </c>
      <c r="F376" s="15"/>
      <c r="G376" s="15"/>
      <c r="I376" s="17"/>
      <c r="O376" s="11" t="s">
        <v>27</v>
      </c>
      <c r="Y376" s="64">
        <f t="shared" si="12"/>
        <v>0</v>
      </c>
      <c r="AA376" s="64">
        <f t="shared" si="11"/>
        <v>0</v>
      </c>
      <c r="AB376" s="64" t="str">
        <f>IF($B376="","",(COUNTIFS(Rships!$C$2:$C$9990,$A376,Rships!$D$2:$D$9990,1)))</f>
        <v/>
      </c>
      <c r="AC376" s="64" t="str">
        <f>IF($B376="","",(COUNTIFS(Rships!$C$2:$C$9990,$A376,Rships!$D$2:$D$9990,2)))</f>
        <v/>
      </c>
      <c r="AD376" s="64" t="str">
        <f>IF($B376="","",(COUNTIFS(Rships!$C$2:$C$9990,$A376,Rships!$D$2:$D$9990,3)))</f>
        <v/>
      </c>
      <c r="AE376" s="64" t="str">
        <f>IF($B376="","",(COUNTIFS(Rships!$C$2:$C$9990,$A376,Rships!$D$2:$D$9990,4)))</f>
        <v/>
      </c>
      <c r="AF376" s="64" t="str">
        <f>IF($B376="","",(COUNTIFS(Rships!$C$2:$C$9990,$A376,Rships!$D$2:$D$9990,5)))</f>
        <v/>
      </c>
      <c r="AG376" s="64" t="str">
        <f>IF($B376="","",(COUNTIFS(Rships!$C$2:$C$9990,$A376,Rships!$D$2:$D$9990,6)))</f>
        <v/>
      </c>
      <c r="AH376" s="64" t="str">
        <f>IF($B376="","",(COUNTIFS(Rships!$C$2:$C$9990,$A376,Rships!$D$2:$D$9990,7)))</f>
        <v/>
      </c>
    </row>
    <row r="377" spans="1:34">
      <c r="A377" s="1" t="s">
        <v>629</v>
      </c>
      <c r="C377" s="11" t="s">
        <v>19</v>
      </c>
      <c r="D377" s="11" t="s">
        <v>21</v>
      </c>
      <c r="F377" s="15"/>
      <c r="G377" s="15"/>
      <c r="I377" s="17"/>
      <c r="O377" s="11" t="s">
        <v>27</v>
      </c>
      <c r="Y377" s="64">
        <f t="shared" si="12"/>
        <v>0</v>
      </c>
      <c r="AA377" s="64">
        <f t="shared" si="11"/>
        <v>0</v>
      </c>
      <c r="AB377" s="64" t="str">
        <f>IF($B377="","",(COUNTIFS(Rships!$C$2:$C$9990,$A377,Rships!$D$2:$D$9990,1)))</f>
        <v/>
      </c>
      <c r="AC377" s="64" t="str">
        <f>IF($B377="","",(COUNTIFS(Rships!$C$2:$C$9990,$A377,Rships!$D$2:$D$9990,2)))</f>
        <v/>
      </c>
      <c r="AD377" s="64" t="str">
        <f>IF($B377="","",(COUNTIFS(Rships!$C$2:$C$9990,$A377,Rships!$D$2:$D$9990,3)))</f>
        <v/>
      </c>
      <c r="AE377" s="64" t="str">
        <f>IF($B377="","",(COUNTIFS(Rships!$C$2:$C$9990,$A377,Rships!$D$2:$D$9990,4)))</f>
        <v/>
      </c>
      <c r="AF377" s="64" t="str">
        <f>IF($B377="","",(COUNTIFS(Rships!$C$2:$C$9990,$A377,Rships!$D$2:$D$9990,5)))</f>
        <v/>
      </c>
      <c r="AG377" s="64" t="str">
        <f>IF($B377="","",(COUNTIFS(Rships!$C$2:$C$9990,$A377,Rships!$D$2:$D$9990,6)))</f>
        <v/>
      </c>
      <c r="AH377" s="64" t="str">
        <f>IF($B377="","",(COUNTIFS(Rships!$C$2:$C$9990,$A377,Rships!$D$2:$D$9990,7)))</f>
        <v/>
      </c>
    </row>
    <row r="378" spans="1:34">
      <c r="A378" s="1" t="s">
        <v>630</v>
      </c>
      <c r="C378" s="11" t="s">
        <v>19</v>
      </c>
      <c r="D378" s="11" t="s">
        <v>21</v>
      </c>
      <c r="F378" s="15"/>
      <c r="G378" s="15"/>
      <c r="I378" s="17"/>
      <c r="O378" s="11" t="s">
        <v>27</v>
      </c>
      <c r="Y378" s="64">
        <f t="shared" si="12"/>
        <v>0</v>
      </c>
      <c r="AA378" s="64">
        <f t="shared" si="11"/>
        <v>0</v>
      </c>
      <c r="AB378" s="64" t="str">
        <f>IF($B378="","",(COUNTIFS(Rships!$C$2:$C$9990,$A378,Rships!$D$2:$D$9990,1)))</f>
        <v/>
      </c>
      <c r="AC378" s="64" t="str">
        <f>IF($B378="","",(COUNTIFS(Rships!$C$2:$C$9990,$A378,Rships!$D$2:$D$9990,2)))</f>
        <v/>
      </c>
      <c r="AD378" s="64" t="str">
        <f>IF($B378="","",(COUNTIFS(Rships!$C$2:$C$9990,$A378,Rships!$D$2:$D$9990,3)))</f>
        <v/>
      </c>
      <c r="AE378" s="64" t="str">
        <f>IF($B378="","",(COUNTIFS(Rships!$C$2:$C$9990,$A378,Rships!$D$2:$D$9990,4)))</f>
        <v/>
      </c>
      <c r="AF378" s="64" t="str">
        <f>IF($B378="","",(COUNTIFS(Rships!$C$2:$C$9990,$A378,Rships!$D$2:$D$9990,5)))</f>
        <v/>
      </c>
      <c r="AG378" s="64" t="str">
        <f>IF($B378="","",(COUNTIFS(Rships!$C$2:$C$9990,$A378,Rships!$D$2:$D$9990,6)))</f>
        <v/>
      </c>
      <c r="AH378" s="64" t="str">
        <f>IF($B378="","",(COUNTIFS(Rships!$C$2:$C$9990,$A378,Rships!$D$2:$D$9990,7)))</f>
        <v/>
      </c>
    </row>
    <row r="379" spans="1:34">
      <c r="A379" s="1" t="s">
        <v>631</v>
      </c>
      <c r="C379" s="11" t="s">
        <v>19</v>
      </c>
      <c r="D379" s="11" t="s">
        <v>21</v>
      </c>
      <c r="F379" s="15"/>
      <c r="G379" s="15"/>
      <c r="I379" s="17"/>
      <c r="O379" s="11" t="s">
        <v>27</v>
      </c>
      <c r="Y379" s="64">
        <f t="shared" si="12"/>
        <v>0</v>
      </c>
      <c r="AA379" s="64">
        <f t="shared" si="11"/>
        <v>0</v>
      </c>
      <c r="AB379" s="64" t="str">
        <f>IF($B379="","",(COUNTIFS(Rships!$C$2:$C$9990,$A379,Rships!$D$2:$D$9990,1)))</f>
        <v/>
      </c>
      <c r="AC379" s="64" t="str">
        <f>IF($B379="","",(COUNTIFS(Rships!$C$2:$C$9990,$A379,Rships!$D$2:$D$9990,2)))</f>
        <v/>
      </c>
      <c r="AD379" s="64" t="str">
        <f>IF($B379="","",(COUNTIFS(Rships!$C$2:$C$9990,$A379,Rships!$D$2:$D$9990,3)))</f>
        <v/>
      </c>
      <c r="AE379" s="64" t="str">
        <f>IF($B379="","",(COUNTIFS(Rships!$C$2:$C$9990,$A379,Rships!$D$2:$D$9990,4)))</f>
        <v/>
      </c>
      <c r="AF379" s="64" t="str">
        <f>IF($B379="","",(COUNTIFS(Rships!$C$2:$C$9990,$A379,Rships!$D$2:$D$9990,5)))</f>
        <v/>
      </c>
      <c r="AG379" s="64" t="str">
        <f>IF($B379="","",(COUNTIFS(Rships!$C$2:$C$9990,$A379,Rships!$D$2:$D$9990,6)))</f>
        <v/>
      </c>
      <c r="AH379" s="64" t="str">
        <f>IF($B379="","",(COUNTIFS(Rships!$C$2:$C$9990,$A379,Rships!$D$2:$D$9990,7)))</f>
        <v/>
      </c>
    </row>
    <row r="380" spans="1:34">
      <c r="A380" s="1" t="s">
        <v>632</v>
      </c>
      <c r="C380" s="11" t="s">
        <v>19</v>
      </c>
      <c r="D380" s="11" t="s">
        <v>21</v>
      </c>
      <c r="F380" s="15"/>
      <c r="G380" s="15"/>
      <c r="I380" s="17"/>
      <c r="O380" s="11" t="s">
        <v>27</v>
      </c>
      <c r="Y380" s="64">
        <f t="shared" si="12"/>
        <v>0</v>
      </c>
      <c r="AA380" s="64">
        <f t="shared" si="11"/>
        <v>0</v>
      </c>
      <c r="AB380" s="64" t="str">
        <f>IF($B380="","",(COUNTIFS(Rships!$C$2:$C$9990,$A380,Rships!$D$2:$D$9990,1)))</f>
        <v/>
      </c>
      <c r="AC380" s="64" t="str">
        <f>IF($B380="","",(COUNTIFS(Rships!$C$2:$C$9990,$A380,Rships!$D$2:$D$9990,2)))</f>
        <v/>
      </c>
      <c r="AD380" s="64" t="str">
        <f>IF($B380="","",(COUNTIFS(Rships!$C$2:$C$9990,$A380,Rships!$D$2:$D$9990,3)))</f>
        <v/>
      </c>
      <c r="AE380" s="64" t="str">
        <f>IF($B380="","",(COUNTIFS(Rships!$C$2:$C$9990,$A380,Rships!$D$2:$D$9990,4)))</f>
        <v/>
      </c>
      <c r="AF380" s="64" t="str">
        <f>IF($B380="","",(COUNTIFS(Rships!$C$2:$C$9990,$A380,Rships!$D$2:$D$9990,5)))</f>
        <v/>
      </c>
      <c r="AG380" s="64" t="str">
        <f>IF($B380="","",(COUNTIFS(Rships!$C$2:$C$9990,$A380,Rships!$D$2:$D$9990,6)))</f>
        <v/>
      </c>
      <c r="AH380" s="64" t="str">
        <f>IF($B380="","",(COUNTIFS(Rships!$C$2:$C$9990,$A380,Rships!$D$2:$D$9990,7)))</f>
        <v/>
      </c>
    </row>
    <row r="381" spans="1:34">
      <c r="A381" s="1" t="s">
        <v>633</v>
      </c>
      <c r="C381" s="11" t="s">
        <v>19</v>
      </c>
      <c r="D381" s="11" t="s">
        <v>21</v>
      </c>
      <c r="F381" s="15"/>
      <c r="G381" s="15"/>
      <c r="I381" s="17"/>
      <c r="O381" s="11" t="s">
        <v>27</v>
      </c>
      <c r="Y381" s="64">
        <f t="shared" si="12"/>
        <v>0</v>
      </c>
      <c r="AA381" s="64">
        <f t="shared" si="11"/>
        <v>0</v>
      </c>
      <c r="AB381" s="64" t="str">
        <f>IF($B381="","",(COUNTIFS(Rships!$C$2:$C$9990,$A381,Rships!$D$2:$D$9990,1)))</f>
        <v/>
      </c>
      <c r="AC381" s="64" t="str">
        <f>IF($B381="","",(COUNTIFS(Rships!$C$2:$C$9990,$A381,Rships!$D$2:$D$9990,2)))</f>
        <v/>
      </c>
      <c r="AD381" s="64" t="str">
        <f>IF($B381="","",(COUNTIFS(Rships!$C$2:$C$9990,$A381,Rships!$D$2:$D$9990,3)))</f>
        <v/>
      </c>
      <c r="AE381" s="64" t="str">
        <f>IF($B381="","",(COUNTIFS(Rships!$C$2:$C$9990,$A381,Rships!$D$2:$D$9990,4)))</f>
        <v/>
      </c>
      <c r="AF381" s="64" t="str">
        <f>IF($B381="","",(COUNTIFS(Rships!$C$2:$C$9990,$A381,Rships!$D$2:$D$9990,5)))</f>
        <v/>
      </c>
      <c r="AG381" s="64" t="str">
        <f>IF($B381="","",(COUNTIFS(Rships!$C$2:$C$9990,$A381,Rships!$D$2:$D$9990,6)))</f>
        <v/>
      </c>
      <c r="AH381" s="64" t="str">
        <f>IF($B381="","",(COUNTIFS(Rships!$C$2:$C$9990,$A381,Rships!$D$2:$D$9990,7)))</f>
        <v/>
      </c>
    </row>
    <row r="382" spans="1:34">
      <c r="A382" s="1" t="s">
        <v>634</v>
      </c>
      <c r="C382" s="11" t="s">
        <v>19</v>
      </c>
      <c r="D382" s="11" t="s">
        <v>21</v>
      </c>
      <c r="F382" s="15"/>
      <c r="G382" s="15"/>
      <c r="I382" s="17"/>
      <c r="O382" s="11" t="s">
        <v>27</v>
      </c>
      <c r="Y382" s="64">
        <f t="shared" si="12"/>
        <v>0</v>
      </c>
      <c r="AA382" s="64">
        <f t="shared" si="11"/>
        <v>0</v>
      </c>
      <c r="AB382" s="64" t="str">
        <f>IF($B382="","",(COUNTIFS(Rships!$C$2:$C$9990,$A382,Rships!$D$2:$D$9990,1)))</f>
        <v/>
      </c>
      <c r="AC382" s="64" t="str">
        <f>IF($B382="","",(COUNTIFS(Rships!$C$2:$C$9990,$A382,Rships!$D$2:$D$9990,2)))</f>
        <v/>
      </c>
      <c r="AD382" s="64" t="str">
        <f>IF($B382="","",(COUNTIFS(Rships!$C$2:$C$9990,$A382,Rships!$D$2:$D$9990,3)))</f>
        <v/>
      </c>
      <c r="AE382" s="64" t="str">
        <f>IF($B382="","",(COUNTIFS(Rships!$C$2:$C$9990,$A382,Rships!$D$2:$D$9990,4)))</f>
        <v/>
      </c>
      <c r="AF382" s="64" t="str">
        <f>IF($B382="","",(COUNTIFS(Rships!$C$2:$C$9990,$A382,Rships!$D$2:$D$9990,5)))</f>
        <v/>
      </c>
      <c r="AG382" s="64" t="str">
        <f>IF($B382="","",(COUNTIFS(Rships!$C$2:$C$9990,$A382,Rships!$D$2:$D$9990,6)))</f>
        <v/>
      </c>
      <c r="AH382" s="64" t="str">
        <f>IF($B382="","",(COUNTIFS(Rships!$C$2:$C$9990,$A382,Rships!$D$2:$D$9990,7)))</f>
        <v/>
      </c>
    </row>
    <row r="383" spans="1:34">
      <c r="A383" s="1" t="s">
        <v>635</v>
      </c>
      <c r="C383" s="11" t="s">
        <v>19</v>
      </c>
      <c r="D383" s="11" t="s">
        <v>21</v>
      </c>
      <c r="F383" s="15"/>
      <c r="G383" s="15"/>
      <c r="I383" s="17"/>
      <c r="O383" s="11" t="s">
        <v>27</v>
      </c>
      <c r="Y383" s="64">
        <f t="shared" si="12"/>
        <v>0</v>
      </c>
      <c r="AA383" s="64">
        <f t="shared" si="11"/>
        <v>0</v>
      </c>
      <c r="AB383" s="64" t="str">
        <f>IF($B383="","",(COUNTIFS(Rships!$C$2:$C$9990,$A383,Rships!$D$2:$D$9990,1)))</f>
        <v/>
      </c>
      <c r="AC383" s="64" t="str">
        <f>IF($B383="","",(COUNTIFS(Rships!$C$2:$C$9990,$A383,Rships!$D$2:$D$9990,2)))</f>
        <v/>
      </c>
      <c r="AD383" s="64" t="str">
        <f>IF($B383="","",(COUNTIFS(Rships!$C$2:$C$9990,$A383,Rships!$D$2:$D$9990,3)))</f>
        <v/>
      </c>
      <c r="AE383" s="64" t="str">
        <f>IF($B383="","",(COUNTIFS(Rships!$C$2:$C$9990,$A383,Rships!$D$2:$D$9990,4)))</f>
        <v/>
      </c>
      <c r="AF383" s="64" t="str">
        <f>IF($B383="","",(COUNTIFS(Rships!$C$2:$C$9990,$A383,Rships!$D$2:$D$9990,5)))</f>
        <v/>
      </c>
      <c r="AG383" s="64" t="str">
        <f>IF($B383="","",(COUNTIFS(Rships!$C$2:$C$9990,$A383,Rships!$D$2:$D$9990,6)))</f>
        <v/>
      </c>
      <c r="AH383" s="64" t="str">
        <f>IF($B383="","",(COUNTIFS(Rships!$C$2:$C$9990,$A383,Rships!$D$2:$D$9990,7)))</f>
        <v/>
      </c>
    </row>
    <row r="384" spans="1:34">
      <c r="A384" s="1" t="s">
        <v>636</v>
      </c>
      <c r="C384" s="11" t="s">
        <v>19</v>
      </c>
      <c r="D384" s="11" t="s">
        <v>21</v>
      </c>
      <c r="F384" s="15"/>
      <c r="G384" s="15"/>
      <c r="I384" s="17"/>
      <c r="O384" s="11" t="s">
        <v>27</v>
      </c>
      <c r="Y384" s="64">
        <f t="shared" si="12"/>
        <v>0</v>
      </c>
      <c r="AA384" s="64">
        <f t="shared" si="11"/>
        <v>0</v>
      </c>
      <c r="AB384" s="64" t="str">
        <f>IF($B384="","",(COUNTIFS(Rships!$C$2:$C$9990,$A384,Rships!$D$2:$D$9990,1)))</f>
        <v/>
      </c>
      <c r="AC384" s="64" t="str">
        <f>IF($B384="","",(COUNTIFS(Rships!$C$2:$C$9990,$A384,Rships!$D$2:$D$9990,2)))</f>
        <v/>
      </c>
      <c r="AD384" s="64" t="str">
        <f>IF($B384="","",(COUNTIFS(Rships!$C$2:$C$9990,$A384,Rships!$D$2:$D$9990,3)))</f>
        <v/>
      </c>
      <c r="AE384" s="64" t="str">
        <f>IF($B384="","",(COUNTIFS(Rships!$C$2:$C$9990,$A384,Rships!$D$2:$D$9990,4)))</f>
        <v/>
      </c>
      <c r="AF384" s="64" t="str">
        <f>IF($B384="","",(COUNTIFS(Rships!$C$2:$C$9990,$A384,Rships!$D$2:$D$9990,5)))</f>
        <v/>
      </c>
      <c r="AG384" s="64" t="str">
        <f>IF($B384="","",(COUNTIFS(Rships!$C$2:$C$9990,$A384,Rships!$D$2:$D$9990,6)))</f>
        <v/>
      </c>
      <c r="AH384" s="64" t="str">
        <f>IF($B384="","",(COUNTIFS(Rships!$C$2:$C$9990,$A384,Rships!$D$2:$D$9990,7)))</f>
        <v/>
      </c>
    </row>
    <row r="385" spans="1:34">
      <c r="A385" s="1" t="s">
        <v>637</v>
      </c>
      <c r="C385" s="11" t="s">
        <v>19</v>
      </c>
      <c r="D385" s="11" t="s">
        <v>21</v>
      </c>
      <c r="F385" s="15"/>
      <c r="G385" s="15"/>
      <c r="I385" s="17"/>
      <c r="O385" s="11" t="s">
        <v>27</v>
      </c>
      <c r="Y385" s="64">
        <f t="shared" si="12"/>
        <v>0</v>
      </c>
      <c r="AA385" s="64">
        <f t="shared" si="11"/>
        <v>0</v>
      </c>
      <c r="AB385" s="64" t="str">
        <f>IF($B385="","",(COUNTIFS(Rships!$C$2:$C$9990,$A385,Rships!$D$2:$D$9990,1)))</f>
        <v/>
      </c>
      <c r="AC385" s="64" t="str">
        <f>IF($B385="","",(COUNTIFS(Rships!$C$2:$C$9990,$A385,Rships!$D$2:$D$9990,2)))</f>
        <v/>
      </c>
      <c r="AD385" s="64" t="str">
        <f>IF($B385="","",(COUNTIFS(Rships!$C$2:$C$9990,$A385,Rships!$D$2:$D$9990,3)))</f>
        <v/>
      </c>
      <c r="AE385" s="64" t="str">
        <f>IF($B385="","",(COUNTIFS(Rships!$C$2:$C$9990,$A385,Rships!$D$2:$D$9990,4)))</f>
        <v/>
      </c>
      <c r="AF385" s="64" t="str">
        <f>IF($B385="","",(COUNTIFS(Rships!$C$2:$C$9990,$A385,Rships!$D$2:$D$9990,5)))</f>
        <v/>
      </c>
      <c r="AG385" s="64" t="str">
        <f>IF($B385="","",(COUNTIFS(Rships!$C$2:$C$9990,$A385,Rships!$D$2:$D$9990,6)))</f>
        <v/>
      </c>
      <c r="AH385" s="64" t="str">
        <f>IF($B385="","",(COUNTIFS(Rships!$C$2:$C$9990,$A385,Rships!$D$2:$D$9990,7)))</f>
        <v/>
      </c>
    </row>
    <row r="386" spans="1:34">
      <c r="A386" s="1" t="s">
        <v>638</v>
      </c>
      <c r="C386" s="11" t="s">
        <v>19</v>
      </c>
      <c r="D386" s="11" t="s">
        <v>21</v>
      </c>
      <c r="F386" s="15"/>
      <c r="G386" s="15"/>
      <c r="I386" s="17"/>
      <c r="O386" s="11" t="s">
        <v>27</v>
      </c>
      <c r="Y386" s="64">
        <f t="shared" si="12"/>
        <v>0</v>
      </c>
      <c r="AA386" s="64">
        <f t="shared" si="11"/>
        <v>0</v>
      </c>
      <c r="AB386" s="64" t="str">
        <f>IF($B386="","",(COUNTIFS(Rships!$C$2:$C$9990,$A386,Rships!$D$2:$D$9990,1)))</f>
        <v/>
      </c>
      <c r="AC386" s="64" t="str">
        <f>IF($B386="","",(COUNTIFS(Rships!$C$2:$C$9990,$A386,Rships!$D$2:$D$9990,2)))</f>
        <v/>
      </c>
      <c r="AD386" s="64" t="str">
        <f>IF($B386="","",(COUNTIFS(Rships!$C$2:$C$9990,$A386,Rships!$D$2:$D$9990,3)))</f>
        <v/>
      </c>
      <c r="AE386" s="64" t="str">
        <f>IF($B386="","",(COUNTIFS(Rships!$C$2:$C$9990,$A386,Rships!$D$2:$D$9990,4)))</f>
        <v/>
      </c>
      <c r="AF386" s="64" t="str">
        <f>IF($B386="","",(COUNTIFS(Rships!$C$2:$C$9990,$A386,Rships!$D$2:$D$9990,5)))</f>
        <v/>
      </c>
      <c r="AG386" s="64" t="str">
        <f>IF($B386="","",(COUNTIFS(Rships!$C$2:$C$9990,$A386,Rships!$D$2:$D$9990,6)))</f>
        <v/>
      </c>
      <c r="AH386" s="64" t="str">
        <f>IF($B386="","",(COUNTIFS(Rships!$C$2:$C$9990,$A386,Rships!$D$2:$D$9990,7)))</f>
        <v/>
      </c>
    </row>
    <row r="387" spans="1:34">
      <c r="A387" s="1" t="s">
        <v>639</v>
      </c>
      <c r="C387" s="11" t="s">
        <v>19</v>
      </c>
      <c r="D387" s="11" t="s">
        <v>21</v>
      </c>
      <c r="F387" s="15"/>
      <c r="G387" s="15"/>
      <c r="I387" s="17"/>
      <c r="O387" s="11" t="s">
        <v>27</v>
      </c>
      <c r="Y387" s="64">
        <f t="shared" si="12"/>
        <v>0</v>
      </c>
      <c r="AA387" s="64">
        <f t="shared" ref="AA387:AA450" si="13">SUM($AB387:$AH387)</f>
        <v>0</v>
      </c>
      <c r="AB387" s="64" t="str">
        <f>IF($B387="","",(COUNTIFS(Rships!$C$2:$C$9990,$A387,Rships!$D$2:$D$9990,1)))</f>
        <v/>
      </c>
      <c r="AC387" s="64" t="str">
        <f>IF($B387="","",(COUNTIFS(Rships!$C$2:$C$9990,$A387,Rships!$D$2:$D$9990,2)))</f>
        <v/>
      </c>
      <c r="AD387" s="64" t="str">
        <f>IF($B387="","",(COUNTIFS(Rships!$C$2:$C$9990,$A387,Rships!$D$2:$D$9990,3)))</f>
        <v/>
      </c>
      <c r="AE387" s="64" t="str">
        <f>IF($B387="","",(COUNTIFS(Rships!$C$2:$C$9990,$A387,Rships!$D$2:$D$9990,4)))</f>
        <v/>
      </c>
      <c r="AF387" s="64" t="str">
        <f>IF($B387="","",(COUNTIFS(Rships!$C$2:$C$9990,$A387,Rships!$D$2:$D$9990,5)))</f>
        <v/>
      </c>
      <c r="AG387" s="64" t="str">
        <f>IF($B387="","",(COUNTIFS(Rships!$C$2:$C$9990,$A387,Rships!$D$2:$D$9990,6)))</f>
        <v/>
      </c>
      <c r="AH387" s="64" t="str">
        <f>IF($B387="","",(COUNTIFS(Rships!$C$2:$C$9990,$A387,Rships!$D$2:$D$9990,7)))</f>
        <v/>
      </c>
    </row>
    <row r="388" spans="1:34">
      <c r="A388" s="1" t="s">
        <v>640</v>
      </c>
      <c r="C388" s="11" t="s">
        <v>19</v>
      </c>
      <c r="D388" s="11" t="s">
        <v>21</v>
      </c>
      <c r="F388" s="15"/>
      <c r="G388" s="15"/>
      <c r="I388" s="17"/>
      <c r="O388" s="11" t="s">
        <v>27</v>
      </c>
      <c r="Y388" s="64">
        <f t="shared" si="12"/>
        <v>0</v>
      </c>
      <c r="AA388" s="64">
        <f t="shared" si="13"/>
        <v>0</v>
      </c>
      <c r="AB388" s="64" t="str">
        <f>IF($B388="","",(COUNTIFS(Rships!$C$2:$C$9990,$A388,Rships!$D$2:$D$9990,1)))</f>
        <v/>
      </c>
      <c r="AC388" s="64" t="str">
        <f>IF($B388="","",(COUNTIFS(Rships!$C$2:$C$9990,$A388,Rships!$D$2:$D$9990,2)))</f>
        <v/>
      </c>
      <c r="AD388" s="64" t="str">
        <f>IF($B388="","",(COUNTIFS(Rships!$C$2:$C$9990,$A388,Rships!$D$2:$D$9990,3)))</f>
        <v/>
      </c>
      <c r="AE388" s="64" t="str">
        <f>IF($B388="","",(COUNTIFS(Rships!$C$2:$C$9990,$A388,Rships!$D$2:$D$9990,4)))</f>
        <v/>
      </c>
      <c r="AF388" s="64" t="str">
        <f>IF($B388="","",(COUNTIFS(Rships!$C$2:$C$9990,$A388,Rships!$D$2:$D$9990,5)))</f>
        <v/>
      </c>
      <c r="AG388" s="64" t="str">
        <f>IF($B388="","",(COUNTIFS(Rships!$C$2:$C$9990,$A388,Rships!$D$2:$D$9990,6)))</f>
        <v/>
      </c>
      <c r="AH388" s="64" t="str">
        <f>IF($B388="","",(COUNTIFS(Rships!$C$2:$C$9990,$A388,Rships!$D$2:$D$9990,7)))</f>
        <v/>
      </c>
    </row>
    <row r="389" spans="1:34">
      <c r="A389" s="1" t="s">
        <v>641</v>
      </c>
      <c r="C389" s="11" t="s">
        <v>19</v>
      </c>
      <c r="D389" s="11" t="s">
        <v>21</v>
      </c>
      <c r="F389" s="15"/>
      <c r="G389" s="15"/>
      <c r="I389" s="17"/>
      <c r="O389" s="11" t="s">
        <v>27</v>
      </c>
      <c r="Y389" s="64">
        <f t="shared" si="12"/>
        <v>0</v>
      </c>
      <c r="AA389" s="64">
        <f t="shared" si="13"/>
        <v>0</v>
      </c>
      <c r="AB389" s="64" t="str">
        <f>IF($B389="","",(COUNTIFS(Rships!$C$2:$C$9990,$A389,Rships!$D$2:$D$9990,1)))</f>
        <v/>
      </c>
      <c r="AC389" s="64" t="str">
        <f>IF($B389="","",(COUNTIFS(Rships!$C$2:$C$9990,$A389,Rships!$D$2:$D$9990,2)))</f>
        <v/>
      </c>
      <c r="AD389" s="64" t="str">
        <f>IF($B389="","",(COUNTIFS(Rships!$C$2:$C$9990,$A389,Rships!$D$2:$D$9990,3)))</f>
        <v/>
      </c>
      <c r="AE389" s="64" t="str">
        <f>IF($B389="","",(COUNTIFS(Rships!$C$2:$C$9990,$A389,Rships!$D$2:$D$9990,4)))</f>
        <v/>
      </c>
      <c r="AF389" s="64" t="str">
        <f>IF($B389="","",(COUNTIFS(Rships!$C$2:$C$9990,$A389,Rships!$D$2:$D$9990,5)))</f>
        <v/>
      </c>
      <c r="AG389" s="64" t="str">
        <f>IF($B389="","",(COUNTIFS(Rships!$C$2:$C$9990,$A389,Rships!$D$2:$D$9990,6)))</f>
        <v/>
      </c>
      <c r="AH389" s="64" t="str">
        <f>IF($B389="","",(COUNTIFS(Rships!$C$2:$C$9990,$A389,Rships!$D$2:$D$9990,7)))</f>
        <v/>
      </c>
    </row>
    <row r="390" spans="1:34">
      <c r="A390" s="1" t="s">
        <v>642</v>
      </c>
      <c r="C390" s="11" t="s">
        <v>19</v>
      </c>
      <c r="D390" s="11" t="s">
        <v>21</v>
      </c>
      <c r="F390" s="15"/>
      <c r="G390" s="15"/>
      <c r="I390" s="17"/>
      <c r="O390" s="11" t="s">
        <v>27</v>
      </c>
      <c r="Y390" s="64">
        <f t="shared" si="12"/>
        <v>0</v>
      </c>
      <c r="AA390" s="64">
        <f t="shared" si="13"/>
        <v>0</v>
      </c>
      <c r="AB390" s="64" t="str">
        <f>IF($B390="","",(COUNTIFS(Rships!$C$2:$C$9990,$A390,Rships!$D$2:$D$9990,1)))</f>
        <v/>
      </c>
      <c r="AC390" s="64" t="str">
        <f>IF($B390="","",(COUNTIFS(Rships!$C$2:$C$9990,$A390,Rships!$D$2:$D$9990,2)))</f>
        <v/>
      </c>
      <c r="AD390" s="64" t="str">
        <f>IF($B390="","",(COUNTIFS(Rships!$C$2:$C$9990,$A390,Rships!$D$2:$D$9990,3)))</f>
        <v/>
      </c>
      <c r="AE390" s="64" t="str">
        <f>IF($B390="","",(COUNTIFS(Rships!$C$2:$C$9990,$A390,Rships!$D$2:$D$9990,4)))</f>
        <v/>
      </c>
      <c r="AF390" s="64" t="str">
        <f>IF($B390="","",(COUNTIFS(Rships!$C$2:$C$9990,$A390,Rships!$D$2:$D$9990,5)))</f>
        <v/>
      </c>
      <c r="AG390" s="64" t="str">
        <f>IF($B390="","",(COUNTIFS(Rships!$C$2:$C$9990,$A390,Rships!$D$2:$D$9990,6)))</f>
        <v/>
      </c>
      <c r="AH390" s="64" t="str">
        <f>IF($B390="","",(COUNTIFS(Rships!$C$2:$C$9990,$A390,Rships!$D$2:$D$9990,7)))</f>
        <v/>
      </c>
    </row>
    <row r="391" spans="1:34">
      <c r="A391" s="1" t="s">
        <v>643</v>
      </c>
      <c r="C391" s="11" t="s">
        <v>19</v>
      </c>
      <c r="D391" s="11" t="s">
        <v>21</v>
      </c>
      <c r="F391" s="15"/>
      <c r="G391" s="15"/>
      <c r="I391" s="17"/>
      <c r="O391" s="11" t="s">
        <v>27</v>
      </c>
      <c r="Y391" s="64">
        <f t="shared" si="12"/>
        <v>0</v>
      </c>
      <c r="AA391" s="64">
        <f t="shared" si="13"/>
        <v>0</v>
      </c>
      <c r="AB391" s="64" t="str">
        <f>IF($B391="","",(COUNTIFS(Rships!$C$2:$C$9990,$A391,Rships!$D$2:$D$9990,1)))</f>
        <v/>
      </c>
      <c r="AC391" s="64" t="str">
        <f>IF($B391="","",(COUNTIFS(Rships!$C$2:$C$9990,$A391,Rships!$D$2:$D$9990,2)))</f>
        <v/>
      </c>
      <c r="AD391" s="64" t="str">
        <f>IF($B391="","",(COUNTIFS(Rships!$C$2:$C$9990,$A391,Rships!$D$2:$D$9990,3)))</f>
        <v/>
      </c>
      <c r="AE391" s="64" t="str">
        <f>IF($B391="","",(COUNTIFS(Rships!$C$2:$C$9990,$A391,Rships!$D$2:$D$9990,4)))</f>
        <v/>
      </c>
      <c r="AF391" s="64" t="str">
        <f>IF($B391="","",(COUNTIFS(Rships!$C$2:$C$9990,$A391,Rships!$D$2:$D$9990,5)))</f>
        <v/>
      </c>
      <c r="AG391" s="64" t="str">
        <f>IF($B391="","",(COUNTIFS(Rships!$C$2:$C$9990,$A391,Rships!$D$2:$D$9990,6)))</f>
        <v/>
      </c>
      <c r="AH391" s="64" t="str">
        <f>IF($B391="","",(COUNTIFS(Rships!$C$2:$C$9990,$A391,Rships!$D$2:$D$9990,7)))</f>
        <v/>
      </c>
    </row>
    <row r="392" spans="1:34">
      <c r="A392" s="1" t="s">
        <v>644</v>
      </c>
      <c r="C392" s="11" t="s">
        <v>19</v>
      </c>
      <c r="D392" s="11" t="s">
        <v>21</v>
      </c>
      <c r="F392" s="15"/>
      <c r="G392" s="15"/>
      <c r="I392" s="17"/>
      <c r="O392" s="11" t="s">
        <v>27</v>
      </c>
      <c r="Y392" s="64">
        <f t="shared" si="12"/>
        <v>0</v>
      </c>
      <c r="AA392" s="64">
        <f t="shared" si="13"/>
        <v>0</v>
      </c>
      <c r="AB392" s="64" t="str">
        <f>IF($B392="","",(COUNTIFS(Rships!$C$2:$C$9990,$A392,Rships!$D$2:$D$9990,1)))</f>
        <v/>
      </c>
      <c r="AC392" s="64" t="str">
        <f>IF($B392="","",(COUNTIFS(Rships!$C$2:$C$9990,$A392,Rships!$D$2:$D$9990,2)))</f>
        <v/>
      </c>
      <c r="AD392" s="64" t="str">
        <f>IF($B392="","",(COUNTIFS(Rships!$C$2:$C$9990,$A392,Rships!$D$2:$D$9990,3)))</f>
        <v/>
      </c>
      <c r="AE392" s="64" t="str">
        <f>IF($B392="","",(COUNTIFS(Rships!$C$2:$C$9990,$A392,Rships!$D$2:$D$9990,4)))</f>
        <v/>
      </c>
      <c r="AF392" s="64" t="str">
        <f>IF($B392="","",(COUNTIFS(Rships!$C$2:$C$9990,$A392,Rships!$D$2:$D$9990,5)))</f>
        <v/>
      </c>
      <c r="AG392" s="64" t="str">
        <f>IF($B392="","",(COUNTIFS(Rships!$C$2:$C$9990,$A392,Rships!$D$2:$D$9990,6)))</f>
        <v/>
      </c>
      <c r="AH392" s="64" t="str">
        <f>IF($B392="","",(COUNTIFS(Rships!$C$2:$C$9990,$A392,Rships!$D$2:$D$9990,7)))</f>
        <v/>
      </c>
    </row>
    <row r="393" spans="1:34">
      <c r="A393" s="1" t="s">
        <v>645</v>
      </c>
      <c r="C393" s="11" t="s">
        <v>19</v>
      </c>
      <c r="D393" s="11" t="s">
        <v>21</v>
      </c>
      <c r="F393" s="15"/>
      <c r="G393" s="15"/>
      <c r="I393" s="17"/>
      <c r="O393" s="11" t="s">
        <v>27</v>
      </c>
      <c r="Y393" s="64">
        <f t="shared" si="12"/>
        <v>0</v>
      </c>
      <c r="AA393" s="64">
        <f t="shared" si="13"/>
        <v>0</v>
      </c>
      <c r="AB393" s="64" t="str">
        <f>IF($B393="","",(COUNTIFS(Rships!$C$2:$C$9990,$A393,Rships!$D$2:$D$9990,1)))</f>
        <v/>
      </c>
      <c r="AC393" s="64" t="str">
        <f>IF($B393="","",(COUNTIFS(Rships!$C$2:$C$9990,$A393,Rships!$D$2:$D$9990,2)))</f>
        <v/>
      </c>
      <c r="AD393" s="64" t="str">
        <f>IF($B393="","",(COUNTIFS(Rships!$C$2:$C$9990,$A393,Rships!$D$2:$D$9990,3)))</f>
        <v/>
      </c>
      <c r="AE393" s="64" t="str">
        <f>IF($B393="","",(COUNTIFS(Rships!$C$2:$C$9990,$A393,Rships!$D$2:$D$9990,4)))</f>
        <v/>
      </c>
      <c r="AF393" s="64" t="str">
        <f>IF($B393="","",(COUNTIFS(Rships!$C$2:$C$9990,$A393,Rships!$D$2:$D$9990,5)))</f>
        <v/>
      </c>
      <c r="AG393" s="64" t="str">
        <f>IF($B393="","",(COUNTIFS(Rships!$C$2:$C$9990,$A393,Rships!$D$2:$D$9990,6)))</f>
        <v/>
      </c>
      <c r="AH393" s="64" t="str">
        <f>IF($B393="","",(COUNTIFS(Rships!$C$2:$C$9990,$A393,Rships!$D$2:$D$9990,7)))</f>
        <v/>
      </c>
    </row>
    <row r="394" spans="1:34">
      <c r="A394" s="1" t="s">
        <v>646</v>
      </c>
      <c r="C394" s="11" t="s">
        <v>19</v>
      </c>
      <c r="D394" s="11" t="s">
        <v>21</v>
      </c>
      <c r="F394" s="15"/>
      <c r="G394" s="15"/>
      <c r="I394" s="17"/>
      <c r="O394" s="11" t="s">
        <v>27</v>
      </c>
      <c r="Y394" s="64">
        <f t="shared" si="12"/>
        <v>0</v>
      </c>
      <c r="AA394" s="64">
        <f t="shared" si="13"/>
        <v>0</v>
      </c>
      <c r="AB394" s="64" t="str">
        <f>IF($B394="","",(COUNTIFS(Rships!$C$2:$C$9990,$A394,Rships!$D$2:$D$9990,1)))</f>
        <v/>
      </c>
      <c r="AC394" s="64" t="str">
        <f>IF($B394="","",(COUNTIFS(Rships!$C$2:$C$9990,$A394,Rships!$D$2:$D$9990,2)))</f>
        <v/>
      </c>
      <c r="AD394" s="64" t="str">
        <f>IF($B394="","",(COUNTIFS(Rships!$C$2:$C$9990,$A394,Rships!$D$2:$D$9990,3)))</f>
        <v/>
      </c>
      <c r="AE394" s="64" t="str">
        <f>IF($B394="","",(COUNTIFS(Rships!$C$2:$C$9990,$A394,Rships!$D$2:$D$9990,4)))</f>
        <v/>
      </c>
      <c r="AF394" s="64" t="str">
        <f>IF($B394="","",(COUNTIFS(Rships!$C$2:$C$9990,$A394,Rships!$D$2:$D$9990,5)))</f>
        <v/>
      </c>
      <c r="AG394" s="64" t="str">
        <f>IF($B394="","",(COUNTIFS(Rships!$C$2:$C$9990,$A394,Rships!$D$2:$D$9990,6)))</f>
        <v/>
      </c>
      <c r="AH394" s="64" t="str">
        <f>IF($B394="","",(COUNTIFS(Rships!$C$2:$C$9990,$A394,Rships!$D$2:$D$9990,7)))</f>
        <v/>
      </c>
    </row>
    <row r="395" spans="1:34">
      <c r="A395" s="1" t="s">
        <v>647</v>
      </c>
      <c r="C395" s="11" t="s">
        <v>19</v>
      </c>
      <c r="D395" s="11" t="s">
        <v>21</v>
      </c>
      <c r="F395" s="15"/>
      <c r="G395" s="15"/>
      <c r="I395" s="17"/>
      <c r="O395" s="11" t="s">
        <v>27</v>
      </c>
      <c r="Y395" s="64">
        <f t="shared" si="12"/>
        <v>0</v>
      </c>
      <c r="AA395" s="64">
        <f t="shared" si="13"/>
        <v>0</v>
      </c>
      <c r="AB395" s="64" t="str">
        <f>IF($B395="","",(COUNTIFS(Rships!$C$2:$C$9990,$A395,Rships!$D$2:$D$9990,1)))</f>
        <v/>
      </c>
      <c r="AC395" s="64" t="str">
        <f>IF($B395="","",(COUNTIFS(Rships!$C$2:$C$9990,$A395,Rships!$D$2:$D$9990,2)))</f>
        <v/>
      </c>
      <c r="AD395" s="64" t="str">
        <f>IF($B395="","",(COUNTIFS(Rships!$C$2:$C$9990,$A395,Rships!$D$2:$D$9990,3)))</f>
        <v/>
      </c>
      <c r="AE395" s="64" t="str">
        <f>IF($B395="","",(COUNTIFS(Rships!$C$2:$C$9990,$A395,Rships!$D$2:$D$9990,4)))</f>
        <v/>
      </c>
      <c r="AF395" s="64" t="str">
        <f>IF($B395="","",(COUNTIFS(Rships!$C$2:$C$9990,$A395,Rships!$D$2:$D$9990,5)))</f>
        <v/>
      </c>
      <c r="AG395" s="64" t="str">
        <f>IF($B395="","",(COUNTIFS(Rships!$C$2:$C$9990,$A395,Rships!$D$2:$D$9990,6)))</f>
        <v/>
      </c>
      <c r="AH395" s="64" t="str">
        <f>IF($B395="","",(COUNTIFS(Rships!$C$2:$C$9990,$A395,Rships!$D$2:$D$9990,7)))</f>
        <v/>
      </c>
    </row>
    <row r="396" spans="1:34">
      <c r="A396" s="1" t="s">
        <v>648</v>
      </c>
      <c r="C396" s="11" t="s">
        <v>19</v>
      </c>
      <c r="D396" s="11" t="s">
        <v>21</v>
      </c>
      <c r="F396" s="15"/>
      <c r="G396" s="15"/>
      <c r="I396" s="17"/>
      <c r="O396" s="11" t="s">
        <v>27</v>
      </c>
      <c r="Y396" s="64">
        <f t="shared" si="12"/>
        <v>0</v>
      </c>
      <c r="AA396" s="64">
        <f t="shared" si="13"/>
        <v>0</v>
      </c>
      <c r="AB396" s="64" t="str">
        <f>IF($B396="","",(COUNTIFS(Rships!$C$2:$C$9990,$A396,Rships!$D$2:$D$9990,1)))</f>
        <v/>
      </c>
      <c r="AC396" s="64" t="str">
        <f>IF($B396="","",(COUNTIFS(Rships!$C$2:$C$9990,$A396,Rships!$D$2:$D$9990,2)))</f>
        <v/>
      </c>
      <c r="AD396" s="64" t="str">
        <f>IF($B396="","",(COUNTIFS(Rships!$C$2:$C$9990,$A396,Rships!$D$2:$D$9990,3)))</f>
        <v/>
      </c>
      <c r="AE396" s="64" t="str">
        <f>IF($B396="","",(COUNTIFS(Rships!$C$2:$C$9990,$A396,Rships!$D$2:$D$9990,4)))</f>
        <v/>
      </c>
      <c r="AF396" s="64" t="str">
        <f>IF($B396="","",(COUNTIFS(Rships!$C$2:$C$9990,$A396,Rships!$D$2:$D$9990,5)))</f>
        <v/>
      </c>
      <c r="AG396" s="64" t="str">
        <f>IF($B396="","",(COUNTIFS(Rships!$C$2:$C$9990,$A396,Rships!$D$2:$D$9990,6)))</f>
        <v/>
      </c>
      <c r="AH396" s="64" t="str">
        <f>IF($B396="","",(COUNTIFS(Rships!$C$2:$C$9990,$A396,Rships!$D$2:$D$9990,7)))</f>
        <v/>
      </c>
    </row>
    <row r="397" spans="1:34">
      <c r="A397" s="1" t="s">
        <v>649</v>
      </c>
      <c r="C397" s="11" t="s">
        <v>19</v>
      </c>
      <c r="D397" s="11" t="s">
        <v>21</v>
      </c>
      <c r="F397" s="15"/>
      <c r="G397" s="15"/>
      <c r="I397" s="17"/>
      <c r="O397" s="11" t="s">
        <v>27</v>
      </c>
      <c r="Y397" s="64">
        <f t="shared" si="12"/>
        <v>0</v>
      </c>
      <c r="AA397" s="64">
        <f t="shared" si="13"/>
        <v>0</v>
      </c>
      <c r="AB397" s="64" t="str">
        <f>IF($B397="","",(COUNTIFS(Rships!$C$2:$C$9990,$A397,Rships!$D$2:$D$9990,1)))</f>
        <v/>
      </c>
      <c r="AC397" s="64" t="str">
        <f>IF($B397="","",(COUNTIFS(Rships!$C$2:$C$9990,$A397,Rships!$D$2:$D$9990,2)))</f>
        <v/>
      </c>
      <c r="AD397" s="64" t="str">
        <f>IF($B397="","",(COUNTIFS(Rships!$C$2:$C$9990,$A397,Rships!$D$2:$D$9990,3)))</f>
        <v/>
      </c>
      <c r="AE397" s="64" t="str">
        <f>IF($B397="","",(COUNTIFS(Rships!$C$2:$C$9990,$A397,Rships!$D$2:$D$9990,4)))</f>
        <v/>
      </c>
      <c r="AF397" s="64" t="str">
        <f>IF($B397="","",(COUNTIFS(Rships!$C$2:$C$9990,$A397,Rships!$D$2:$D$9990,5)))</f>
        <v/>
      </c>
      <c r="AG397" s="64" t="str">
        <f>IF($B397="","",(COUNTIFS(Rships!$C$2:$C$9990,$A397,Rships!$D$2:$D$9990,6)))</f>
        <v/>
      </c>
      <c r="AH397" s="64" t="str">
        <f>IF($B397="","",(COUNTIFS(Rships!$C$2:$C$9990,$A397,Rships!$D$2:$D$9990,7)))</f>
        <v/>
      </c>
    </row>
    <row r="398" spans="1:34">
      <c r="A398" s="1" t="s">
        <v>650</v>
      </c>
      <c r="C398" s="11" t="s">
        <v>19</v>
      </c>
      <c r="D398" s="11" t="s">
        <v>21</v>
      </c>
      <c r="F398" s="15"/>
      <c r="G398" s="15"/>
      <c r="I398" s="17"/>
      <c r="O398" s="11" t="s">
        <v>27</v>
      </c>
      <c r="Y398" s="64">
        <f t="shared" si="12"/>
        <v>0</v>
      </c>
      <c r="AA398" s="64">
        <f t="shared" si="13"/>
        <v>0</v>
      </c>
      <c r="AB398" s="64" t="str">
        <f>IF($B398="","",(COUNTIFS(Rships!$C$2:$C$9990,$A398,Rships!$D$2:$D$9990,1)))</f>
        <v/>
      </c>
      <c r="AC398" s="64" t="str">
        <f>IF($B398="","",(COUNTIFS(Rships!$C$2:$C$9990,$A398,Rships!$D$2:$D$9990,2)))</f>
        <v/>
      </c>
      <c r="AD398" s="64" t="str">
        <f>IF($B398="","",(COUNTIFS(Rships!$C$2:$C$9990,$A398,Rships!$D$2:$D$9990,3)))</f>
        <v/>
      </c>
      <c r="AE398" s="64" t="str">
        <f>IF($B398="","",(COUNTIFS(Rships!$C$2:$C$9990,$A398,Rships!$D$2:$D$9990,4)))</f>
        <v/>
      </c>
      <c r="AF398" s="64" t="str">
        <f>IF($B398="","",(COUNTIFS(Rships!$C$2:$C$9990,$A398,Rships!$D$2:$D$9990,5)))</f>
        <v/>
      </c>
      <c r="AG398" s="64" t="str">
        <f>IF($B398="","",(COUNTIFS(Rships!$C$2:$C$9990,$A398,Rships!$D$2:$D$9990,6)))</f>
        <v/>
      </c>
      <c r="AH398" s="64" t="str">
        <f>IF($B398="","",(COUNTIFS(Rships!$C$2:$C$9990,$A398,Rships!$D$2:$D$9990,7)))</f>
        <v/>
      </c>
    </row>
    <row r="399" spans="1:34">
      <c r="A399" s="1" t="s">
        <v>651</v>
      </c>
      <c r="C399" s="11" t="s">
        <v>19</v>
      </c>
      <c r="D399" s="11" t="s">
        <v>21</v>
      </c>
      <c r="F399" s="15"/>
      <c r="G399" s="15"/>
      <c r="I399" s="17"/>
      <c r="O399" s="11" t="s">
        <v>27</v>
      </c>
      <c r="Y399" s="64">
        <f t="shared" si="12"/>
        <v>0</v>
      </c>
      <c r="AA399" s="64">
        <f t="shared" si="13"/>
        <v>0</v>
      </c>
      <c r="AB399" s="64" t="str">
        <f>IF($B399="","",(COUNTIFS(Rships!$C$2:$C$9990,$A399,Rships!$D$2:$D$9990,1)))</f>
        <v/>
      </c>
      <c r="AC399" s="64" t="str">
        <f>IF($B399="","",(COUNTIFS(Rships!$C$2:$C$9990,$A399,Rships!$D$2:$D$9990,2)))</f>
        <v/>
      </c>
      <c r="AD399" s="64" t="str">
        <f>IF($B399="","",(COUNTIFS(Rships!$C$2:$C$9990,$A399,Rships!$D$2:$D$9990,3)))</f>
        <v/>
      </c>
      <c r="AE399" s="64" t="str">
        <f>IF($B399="","",(COUNTIFS(Rships!$C$2:$C$9990,$A399,Rships!$D$2:$D$9990,4)))</f>
        <v/>
      </c>
      <c r="AF399" s="64" t="str">
        <f>IF($B399="","",(COUNTIFS(Rships!$C$2:$C$9990,$A399,Rships!$D$2:$D$9990,5)))</f>
        <v/>
      </c>
      <c r="AG399" s="64" t="str">
        <f>IF($B399="","",(COUNTIFS(Rships!$C$2:$C$9990,$A399,Rships!$D$2:$D$9990,6)))</f>
        <v/>
      </c>
      <c r="AH399" s="64" t="str">
        <f>IF($B399="","",(COUNTIFS(Rships!$C$2:$C$9990,$A399,Rships!$D$2:$D$9990,7)))</f>
        <v/>
      </c>
    </row>
    <row r="400" spans="1:34">
      <c r="A400" s="1" t="s">
        <v>652</v>
      </c>
      <c r="C400" s="11" t="s">
        <v>19</v>
      </c>
      <c r="D400" s="11" t="s">
        <v>21</v>
      </c>
      <c r="F400" s="15"/>
      <c r="G400" s="15"/>
      <c r="I400" s="17"/>
      <c r="O400" s="11" t="s">
        <v>27</v>
      </c>
      <c r="Y400" s="64">
        <f t="shared" si="12"/>
        <v>0</v>
      </c>
      <c r="AA400" s="64">
        <f t="shared" si="13"/>
        <v>0</v>
      </c>
      <c r="AB400" s="64" t="str">
        <f>IF($B400="","",(COUNTIFS(Rships!$C$2:$C$9990,$A400,Rships!$D$2:$D$9990,1)))</f>
        <v/>
      </c>
      <c r="AC400" s="64" t="str">
        <f>IF($B400="","",(COUNTIFS(Rships!$C$2:$C$9990,$A400,Rships!$D$2:$D$9990,2)))</f>
        <v/>
      </c>
      <c r="AD400" s="64" t="str">
        <f>IF($B400="","",(COUNTIFS(Rships!$C$2:$C$9990,$A400,Rships!$D$2:$D$9990,3)))</f>
        <v/>
      </c>
      <c r="AE400" s="64" t="str">
        <f>IF($B400="","",(COUNTIFS(Rships!$C$2:$C$9990,$A400,Rships!$D$2:$D$9990,4)))</f>
        <v/>
      </c>
      <c r="AF400" s="64" t="str">
        <f>IF($B400="","",(COUNTIFS(Rships!$C$2:$C$9990,$A400,Rships!$D$2:$D$9990,5)))</f>
        <v/>
      </c>
      <c r="AG400" s="64" t="str">
        <f>IF($B400="","",(COUNTIFS(Rships!$C$2:$C$9990,$A400,Rships!$D$2:$D$9990,6)))</f>
        <v/>
      </c>
      <c r="AH400" s="64" t="str">
        <f>IF($B400="","",(COUNTIFS(Rships!$C$2:$C$9990,$A400,Rships!$D$2:$D$9990,7)))</f>
        <v/>
      </c>
    </row>
    <row r="401" spans="1:34">
      <c r="A401" s="1" t="s">
        <v>653</v>
      </c>
      <c r="C401" s="11" t="s">
        <v>19</v>
      </c>
      <c r="D401" s="11" t="s">
        <v>21</v>
      </c>
      <c r="F401" s="15"/>
      <c r="G401" s="15"/>
      <c r="I401" s="17"/>
      <c r="O401" s="11" t="s">
        <v>27</v>
      </c>
      <c r="Y401" s="64">
        <f t="shared" si="12"/>
        <v>0</v>
      </c>
      <c r="AA401" s="64">
        <f t="shared" si="13"/>
        <v>0</v>
      </c>
      <c r="AB401" s="64" t="str">
        <f>IF($B401="","",(COUNTIFS(Rships!$C$2:$C$9990,$A401,Rships!$D$2:$D$9990,1)))</f>
        <v/>
      </c>
      <c r="AC401" s="64" t="str">
        <f>IF($B401="","",(COUNTIFS(Rships!$C$2:$C$9990,$A401,Rships!$D$2:$D$9990,2)))</f>
        <v/>
      </c>
      <c r="AD401" s="64" t="str">
        <f>IF($B401="","",(COUNTIFS(Rships!$C$2:$C$9990,$A401,Rships!$D$2:$D$9990,3)))</f>
        <v/>
      </c>
      <c r="AE401" s="64" t="str">
        <f>IF($B401="","",(COUNTIFS(Rships!$C$2:$C$9990,$A401,Rships!$D$2:$D$9990,4)))</f>
        <v/>
      </c>
      <c r="AF401" s="64" t="str">
        <f>IF($B401="","",(COUNTIFS(Rships!$C$2:$C$9990,$A401,Rships!$D$2:$D$9990,5)))</f>
        <v/>
      </c>
      <c r="AG401" s="64" t="str">
        <f>IF($B401="","",(COUNTIFS(Rships!$C$2:$C$9990,$A401,Rships!$D$2:$D$9990,6)))</f>
        <v/>
      </c>
      <c r="AH401" s="64" t="str">
        <f>IF($B401="","",(COUNTIFS(Rships!$C$2:$C$9990,$A401,Rships!$D$2:$D$9990,7)))</f>
        <v/>
      </c>
    </row>
    <row r="402" spans="1:34">
      <c r="A402" s="1" t="s">
        <v>654</v>
      </c>
      <c r="C402" s="11" t="s">
        <v>19</v>
      </c>
      <c r="D402" s="11" t="s">
        <v>21</v>
      </c>
      <c r="F402" s="15"/>
      <c r="G402" s="15"/>
      <c r="I402" s="17"/>
      <c r="O402" s="11" t="s">
        <v>27</v>
      </c>
      <c r="Y402" s="64">
        <f t="shared" si="12"/>
        <v>0</v>
      </c>
      <c r="AA402" s="64">
        <f t="shared" si="13"/>
        <v>0</v>
      </c>
      <c r="AB402" s="64" t="str">
        <f>IF($B402="","",(COUNTIFS(Rships!$C$2:$C$9990,$A402,Rships!$D$2:$D$9990,1)))</f>
        <v/>
      </c>
      <c r="AC402" s="64" t="str">
        <f>IF($B402="","",(COUNTIFS(Rships!$C$2:$C$9990,$A402,Rships!$D$2:$D$9990,2)))</f>
        <v/>
      </c>
      <c r="AD402" s="64" t="str">
        <f>IF($B402="","",(COUNTIFS(Rships!$C$2:$C$9990,$A402,Rships!$D$2:$D$9990,3)))</f>
        <v/>
      </c>
      <c r="AE402" s="64" t="str">
        <f>IF($B402="","",(COUNTIFS(Rships!$C$2:$C$9990,$A402,Rships!$D$2:$D$9990,4)))</f>
        <v/>
      </c>
      <c r="AF402" s="64" t="str">
        <f>IF($B402="","",(COUNTIFS(Rships!$C$2:$C$9990,$A402,Rships!$D$2:$D$9990,5)))</f>
        <v/>
      </c>
      <c r="AG402" s="64" t="str">
        <f>IF($B402="","",(COUNTIFS(Rships!$C$2:$C$9990,$A402,Rships!$D$2:$D$9990,6)))</f>
        <v/>
      </c>
      <c r="AH402" s="64" t="str">
        <f>IF($B402="","",(COUNTIFS(Rships!$C$2:$C$9990,$A402,Rships!$D$2:$D$9990,7)))</f>
        <v/>
      </c>
    </row>
    <row r="403" spans="1:34">
      <c r="A403" s="1" t="s">
        <v>655</v>
      </c>
      <c r="C403" s="11" t="s">
        <v>19</v>
      </c>
      <c r="D403" s="11" t="s">
        <v>21</v>
      </c>
      <c r="F403" s="15"/>
      <c r="G403" s="15"/>
      <c r="I403" s="17"/>
      <c r="O403" s="11" t="s">
        <v>27</v>
      </c>
      <c r="Y403" s="64">
        <f t="shared" si="12"/>
        <v>0</v>
      </c>
      <c r="AA403" s="64">
        <f t="shared" si="13"/>
        <v>0</v>
      </c>
      <c r="AB403" s="64" t="str">
        <f>IF($B403="","",(COUNTIFS(Rships!$C$2:$C$9990,$A403,Rships!$D$2:$D$9990,1)))</f>
        <v/>
      </c>
      <c r="AC403" s="64" t="str">
        <f>IF($B403="","",(COUNTIFS(Rships!$C$2:$C$9990,$A403,Rships!$D$2:$D$9990,2)))</f>
        <v/>
      </c>
      <c r="AD403" s="64" t="str">
        <f>IF($B403="","",(COUNTIFS(Rships!$C$2:$C$9990,$A403,Rships!$D$2:$D$9990,3)))</f>
        <v/>
      </c>
      <c r="AE403" s="64" t="str">
        <f>IF($B403="","",(COUNTIFS(Rships!$C$2:$C$9990,$A403,Rships!$D$2:$D$9990,4)))</f>
        <v/>
      </c>
      <c r="AF403" s="64" t="str">
        <f>IF($B403="","",(COUNTIFS(Rships!$C$2:$C$9990,$A403,Rships!$D$2:$D$9990,5)))</f>
        <v/>
      </c>
      <c r="AG403" s="64" t="str">
        <f>IF($B403="","",(COUNTIFS(Rships!$C$2:$C$9990,$A403,Rships!$D$2:$D$9990,6)))</f>
        <v/>
      </c>
      <c r="AH403" s="64" t="str">
        <f>IF($B403="","",(COUNTIFS(Rships!$C$2:$C$9990,$A403,Rships!$D$2:$D$9990,7)))</f>
        <v/>
      </c>
    </row>
    <row r="404" spans="1:34">
      <c r="A404" s="1" t="s">
        <v>656</v>
      </c>
      <c r="C404" s="11" t="s">
        <v>19</v>
      </c>
      <c r="D404" s="11" t="s">
        <v>21</v>
      </c>
      <c r="F404" s="15"/>
      <c r="G404" s="15"/>
      <c r="I404" s="17"/>
      <c r="O404" s="11" t="s">
        <v>27</v>
      </c>
      <c r="Y404" s="64">
        <f t="shared" si="12"/>
        <v>0</v>
      </c>
      <c r="AA404" s="64">
        <f t="shared" si="13"/>
        <v>0</v>
      </c>
      <c r="AB404" s="64" t="str">
        <f>IF($B404="","",(COUNTIFS(Rships!$C$2:$C$9990,$A404,Rships!$D$2:$D$9990,1)))</f>
        <v/>
      </c>
      <c r="AC404" s="64" t="str">
        <f>IF($B404="","",(COUNTIFS(Rships!$C$2:$C$9990,$A404,Rships!$D$2:$D$9990,2)))</f>
        <v/>
      </c>
      <c r="AD404" s="64" t="str">
        <f>IF($B404="","",(COUNTIFS(Rships!$C$2:$C$9990,$A404,Rships!$D$2:$D$9990,3)))</f>
        <v/>
      </c>
      <c r="AE404" s="64" t="str">
        <f>IF($B404="","",(COUNTIFS(Rships!$C$2:$C$9990,$A404,Rships!$D$2:$D$9990,4)))</f>
        <v/>
      </c>
      <c r="AF404" s="64" t="str">
        <f>IF($B404="","",(COUNTIFS(Rships!$C$2:$C$9990,$A404,Rships!$D$2:$D$9990,5)))</f>
        <v/>
      </c>
      <c r="AG404" s="64" t="str">
        <f>IF($B404="","",(COUNTIFS(Rships!$C$2:$C$9990,$A404,Rships!$D$2:$D$9990,6)))</f>
        <v/>
      </c>
      <c r="AH404" s="64" t="str">
        <f>IF($B404="","",(COUNTIFS(Rships!$C$2:$C$9990,$A404,Rships!$D$2:$D$9990,7)))</f>
        <v/>
      </c>
    </row>
    <row r="405" spans="1:34">
      <c r="A405" s="1" t="s">
        <v>657</v>
      </c>
      <c r="C405" s="11" t="s">
        <v>19</v>
      </c>
      <c r="D405" s="11" t="s">
        <v>21</v>
      </c>
      <c r="F405" s="15"/>
      <c r="G405" s="15"/>
      <c r="I405" s="17"/>
      <c r="O405" s="11" t="s">
        <v>27</v>
      </c>
      <c r="Y405" s="64">
        <f t="shared" si="12"/>
        <v>0</v>
      </c>
      <c r="AA405" s="64">
        <f t="shared" si="13"/>
        <v>0</v>
      </c>
      <c r="AB405" s="64" t="str">
        <f>IF($B405="","",(COUNTIFS(Rships!$C$2:$C$9990,$A405,Rships!$D$2:$D$9990,1)))</f>
        <v/>
      </c>
      <c r="AC405" s="64" t="str">
        <f>IF($B405="","",(COUNTIFS(Rships!$C$2:$C$9990,$A405,Rships!$D$2:$D$9990,2)))</f>
        <v/>
      </c>
      <c r="AD405" s="64" t="str">
        <f>IF($B405="","",(COUNTIFS(Rships!$C$2:$C$9990,$A405,Rships!$D$2:$D$9990,3)))</f>
        <v/>
      </c>
      <c r="AE405" s="64" t="str">
        <f>IF($B405="","",(COUNTIFS(Rships!$C$2:$C$9990,$A405,Rships!$D$2:$D$9990,4)))</f>
        <v/>
      </c>
      <c r="AF405" s="64" t="str">
        <f>IF($B405="","",(COUNTIFS(Rships!$C$2:$C$9990,$A405,Rships!$D$2:$D$9990,5)))</f>
        <v/>
      </c>
      <c r="AG405" s="64" t="str">
        <f>IF($B405="","",(COUNTIFS(Rships!$C$2:$C$9990,$A405,Rships!$D$2:$D$9990,6)))</f>
        <v/>
      </c>
      <c r="AH405" s="64" t="str">
        <f>IF($B405="","",(COUNTIFS(Rships!$C$2:$C$9990,$A405,Rships!$D$2:$D$9990,7)))</f>
        <v/>
      </c>
    </row>
    <row r="406" spans="1:34">
      <c r="A406" s="1" t="s">
        <v>658</v>
      </c>
      <c r="C406" s="11" t="s">
        <v>19</v>
      </c>
      <c r="D406" s="11" t="s">
        <v>21</v>
      </c>
      <c r="F406" s="15"/>
      <c r="G406" s="15"/>
      <c r="I406" s="17"/>
      <c r="O406" s="11" t="s">
        <v>27</v>
      </c>
      <c r="Y406" s="64">
        <f t="shared" si="12"/>
        <v>0</v>
      </c>
      <c r="AA406" s="64">
        <f t="shared" si="13"/>
        <v>0</v>
      </c>
      <c r="AB406" s="64" t="str">
        <f>IF($B406="","",(COUNTIFS(Rships!$C$2:$C$9990,$A406,Rships!$D$2:$D$9990,1)))</f>
        <v/>
      </c>
      <c r="AC406" s="64" t="str">
        <f>IF($B406="","",(COUNTIFS(Rships!$C$2:$C$9990,$A406,Rships!$D$2:$D$9990,2)))</f>
        <v/>
      </c>
      <c r="AD406" s="64" t="str">
        <f>IF($B406="","",(COUNTIFS(Rships!$C$2:$C$9990,$A406,Rships!$D$2:$D$9990,3)))</f>
        <v/>
      </c>
      <c r="AE406" s="64" t="str">
        <f>IF($B406="","",(COUNTIFS(Rships!$C$2:$C$9990,$A406,Rships!$D$2:$D$9990,4)))</f>
        <v/>
      </c>
      <c r="AF406" s="64" t="str">
        <f>IF($B406="","",(COUNTIFS(Rships!$C$2:$C$9990,$A406,Rships!$D$2:$D$9990,5)))</f>
        <v/>
      </c>
      <c r="AG406" s="64" t="str">
        <f>IF($B406="","",(COUNTIFS(Rships!$C$2:$C$9990,$A406,Rships!$D$2:$D$9990,6)))</f>
        <v/>
      </c>
      <c r="AH406" s="64" t="str">
        <f>IF($B406="","",(COUNTIFS(Rships!$C$2:$C$9990,$A406,Rships!$D$2:$D$9990,7)))</f>
        <v/>
      </c>
    </row>
    <row r="407" spans="1:34">
      <c r="A407" s="1" t="s">
        <v>659</v>
      </c>
      <c r="C407" s="11" t="s">
        <v>19</v>
      </c>
      <c r="D407" s="11" t="s">
        <v>21</v>
      </c>
      <c r="F407" s="15"/>
      <c r="G407" s="15"/>
      <c r="I407" s="17"/>
      <c r="O407" s="11" t="s">
        <v>27</v>
      </c>
      <c r="Y407" s="64">
        <f t="shared" si="12"/>
        <v>0</v>
      </c>
      <c r="AA407" s="64">
        <f t="shared" si="13"/>
        <v>0</v>
      </c>
      <c r="AB407" s="64" t="str">
        <f>IF($B407="","",(COUNTIFS(Rships!$C$2:$C$9990,$A407,Rships!$D$2:$D$9990,1)))</f>
        <v/>
      </c>
      <c r="AC407" s="64" t="str">
        <f>IF($B407="","",(COUNTIFS(Rships!$C$2:$C$9990,$A407,Rships!$D$2:$D$9990,2)))</f>
        <v/>
      </c>
      <c r="AD407" s="64" t="str">
        <f>IF($B407="","",(COUNTIFS(Rships!$C$2:$C$9990,$A407,Rships!$D$2:$D$9990,3)))</f>
        <v/>
      </c>
      <c r="AE407" s="64" t="str">
        <f>IF($B407="","",(COUNTIFS(Rships!$C$2:$C$9990,$A407,Rships!$D$2:$D$9990,4)))</f>
        <v/>
      </c>
      <c r="AF407" s="64" t="str">
        <f>IF($B407="","",(COUNTIFS(Rships!$C$2:$C$9990,$A407,Rships!$D$2:$D$9990,5)))</f>
        <v/>
      </c>
      <c r="AG407" s="64" t="str">
        <f>IF($B407="","",(COUNTIFS(Rships!$C$2:$C$9990,$A407,Rships!$D$2:$D$9990,6)))</f>
        <v/>
      </c>
      <c r="AH407" s="64" t="str">
        <f>IF($B407="","",(COUNTIFS(Rships!$C$2:$C$9990,$A407,Rships!$D$2:$D$9990,7)))</f>
        <v/>
      </c>
    </row>
    <row r="408" spans="1:34">
      <c r="A408" s="1" t="s">
        <v>660</v>
      </c>
      <c r="C408" s="11" t="s">
        <v>19</v>
      </c>
      <c r="D408" s="11" t="s">
        <v>21</v>
      </c>
      <c r="F408" s="15"/>
      <c r="G408" s="15"/>
      <c r="I408" s="17"/>
      <c r="O408" s="11" t="s">
        <v>27</v>
      </c>
      <c r="Y408" s="64">
        <f t="shared" si="12"/>
        <v>0</v>
      </c>
      <c r="AA408" s="64">
        <f t="shared" si="13"/>
        <v>0</v>
      </c>
      <c r="AB408" s="64" t="str">
        <f>IF($B408="","",(COUNTIFS(Rships!$C$2:$C$9990,$A408,Rships!$D$2:$D$9990,1)))</f>
        <v/>
      </c>
      <c r="AC408" s="64" t="str">
        <f>IF($B408="","",(COUNTIFS(Rships!$C$2:$C$9990,$A408,Rships!$D$2:$D$9990,2)))</f>
        <v/>
      </c>
      <c r="AD408" s="64" t="str">
        <f>IF($B408="","",(COUNTIFS(Rships!$C$2:$C$9990,$A408,Rships!$D$2:$D$9990,3)))</f>
        <v/>
      </c>
      <c r="AE408" s="64" t="str">
        <f>IF($B408="","",(COUNTIFS(Rships!$C$2:$C$9990,$A408,Rships!$D$2:$D$9990,4)))</f>
        <v/>
      </c>
      <c r="AF408" s="64" t="str">
        <f>IF($B408="","",(COUNTIFS(Rships!$C$2:$C$9990,$A408,Rships!$D$2:$D$9990,5)))</f>
        <v/>
      </c>
      <c r="AG408" s="64" t="str">
        <f>IF($B408="","",(COUNTIFS(Rships!$C$2:$C$9990,$A408,Rships!$D$2:$D$9990,6)))</f>
        <v/>
      </c>
      <c r="AH408" s="64" t="str">
        <f>IF($B408="","",(COUNTIFS(Rships!$C$2:$C$9990,$A408,Rships!$D$2:$D$9990,7)))</f>
        <v/>
      </c>
    </row>
    <row r="409" spans="1:34">
      <c r="A409" s="1" t="s">
        <v>661</v>
      </c>
      <c r="C409" s="11" t="s">
        <v>19</v>
      </c>
      <c r="D409" s="11" t="s">
        <v>21</v>
      </c>
      <c r="F409" s="15"/>
      <c r="G409" s="15"/>
      <c r="I409" s="17"/>
      <c r="O409" s="11" t="s">
        <v>27</v>
      </c>
      <c r="Y409" s="64">
        <f t="shared" si="12"/>
        <v>0</v>
      </c>
      <c r="AA409" s="64">
        <f t="shared" si="13"/>
        <v>0</v>
      </c>
      <c r="AB409" s="64" t="str">
        <f>IF($B409="","",(COUNTIFS(Rships!$C$2:$C$9990,$A409,Rships!$D$2:$D$9990,1)))</f>
        <v/>
      </c>
      <c r="AC409" s="64" t="str">
        <f>IF($B409="","",(COUNTIFS(Rships!$C$2:$C$9990,$A409,Rships!$D$2:$D$9990,2)))</f>
        <v/>
      </c>
      <c r="AD409" s="64" t="str">
        <f>IF($B409="","",(COUNTIFS(Rships!$C$2:$C$9990,$A409,Rships!$D$2:$D$9990,3)))</f>
        <v/>
      </c>
      <c r="AE409" s="64" t="str">
        <f>IF($B409="","",(COUNTIFS(Rships!$C$2:$C$9990,$A409,Rships!$D$2:$D$9990,4)))</f>
        <v/>
      </c>
      <c r="AF409" s="64" t="str">
        <f>IF($B409="","",(COUNTIFS(Rships!$C$2:$C$9990,$A409,Rships!$D$2:$D$9990,5)))</f>
        <v/>
      </c>
      <c r="AG409" s="64" t="str">
        <f>IF($B409="","",(COUNTIFS(Rships!$C$2:$C$9990,$A409,Rships!$D$2:$D$9990,6)))</f>
        <v/>
      </c>
      <c r="AH409" s="64" t="str">
        <f>IF($B409="","",(COUNTIFS(Rships!$C$2:$C$9990,$A409,Rships!$D$2:$D$9990,7)))</f>
        <v/>
      </c>
    </row>
    <row r="410" spans="1:34">
      <c r="A410" s="1" t="s">
        <v>662</v>
      </c>
      <c r="C410" s="11" t="s">
        <v>19</v>
      </c>
      <c r="D410" s="11" t="s">
        <v>21</v>
      </c>
      <c r="F410" s="15"/>
      <c r="G410" s="15"/>
      <c r="I410" s="17"/>
      <c r="O410" s="11" t="s">
        <v>27</v>
      </c>
      <c r="Y410" s="64">
        <f t="shared" si="12"/>
        <v>0</v>
      </c>
      <c r="AA410" s="64">
        <f t="shared" si="13"/>
        <v>0</v>
      </c>
      <c r="AB410" s="64" t="str">
        <f>IF($B410="","",(COUNTIFS(Rships!$C$2:$C$9990,$A410,Rships!$D$2:$D$9990,1)))</f>
        <v/>
      </c>
      <c r="AC410" s="64" t="str">
        <f>IF($B410="","",(COUNTIFS(Rships!$C$2:$C$9990,$A410,Rships!$D$2:$D$9990,2)))</f>
        <v/>
      </c>
      <c r="AD410" s="64" t="str">
        <f>IF($B410="","",(COUNTIFS(Rships!$C$2:$C$9990,$A410,Rships!$D$2:$D$9990,3)))</f>
        <v/>
      </c>
      <c r="AE410" s="64" t="str">
        <f>IF($B410="","",(COUNTIFS(Rships!$C$2:$C$9990,$A410,Rships!$D$2:$D$9990,4)))</f>
        <v/>
      </c>
      <c r="AF410" s="64" t="str">
        <f>IF($B410="","",(COUNTIFS(Rships!$C$2:$C$9990,$A410,Rships!$D$2:$D$9990,5)))</f>
        <v/>
      </c>
      <c r="AG410" s="64" t="str">
        <f>IF($B410="","",(COUNTIFS(Rships!$C$2:$C$9990,$A410,Rships!$D$2:$D$9990,6)))</f>
        <v/>
      </c>
      <c r="AH410" s="64" t="str">
        <f>IF($B410="","",(COUNTIFS(Rships!$C$2:$C$9990,$A410,Rships!$D$2:$D$9990,7)))</f>
        <v/>
      </c>
    </row>
    <row r="411" spans="1:34">
      <c r="A411" s="1" t="s">
        <v>663</v>
      </c>
      <c r="C411" s="11" t="s">
        <v>19</v>
      </c>
      <c r="D411" s="11" t="s">
        <v>21</v>
      </c>
      <c r="F411" s="15"/>
      <c r="G411" s="15"/>
      <c r="I411" s="17"/>
      <c r="O411" s="11" t="s">
        <v>27</v>
      </c>
      <c r="Y411" s="64">
        <f t="shared" si="12"/>
        <v>0</v>
      </c>
      <c r="AA411" s="64">
        <f t="shared" si="13"/>
        <v>0</v>
      </c>
      <c r="AB411" s="64" t="str">
        <f>IF($B411="","",(COUNTIFS(Rships!$C$2:$C$9990,$A411,Rships!$D$2:$D$9990,1)))</f>
        <v/>
      </c>
      <c r="AC411" s="64" t="str">
        <f>IF($B411="","",(COUNTIFS(Rships!$C$2:$C$9990,$A411,Rships!$D$2:$D$9990,2)))</f>
        <v/>
      </c>
      <c r="AD411" s="64" t="str">
        <f>IF($B411="","",(COUNTIFS(Rships!$C$2:$C$9990,$A411,Rships!$D$2:$D$9990,3)))</f>
        <v/>
      </c>
      <c r="AE411" s="64" t="str">
        <f>IF($B411="","",(COUNTIFS(Rships!$C$2:$C$9990,$A411,Rships!$D$2:$D$9990,4)))</f>
        <v/>
      </c>
      <c r="AF411" s="64" t="str">
        <f>IF($B411="","",(COUNTIFS(Rships!$C$2:$C$9990,$A411,Rships!$D$2:$D$9990,5)))</f>
        <v/>
      </c>
      <c r="AG411" s="64" t="str">
        <f>IF($B411="","",(COUNTIFS(Rships!$C$2:$C$9990,$A411,Rships!$D$2:$D$9990,6)))</f>
        <v/>
      </c>
      <c r="AH411" s="64" t="str">
        <f>IF($B411="","",(COUNTIFS(Rships!$C$2:$C$9990,$A411,Rships!$D$2:$D$9990,7)))</f>
        <v/>
      </c>
    </row>
    <row r="412" spans="1:34">
      <c r="A412" s="1" t="s">
        <v>664</v>
      </c>
      <c r="C412" s="11" t="s">
        <v>19</v>
      </c>
      <c r="D412" s="11" t="s">
        <v>21</v>
      </c>
      <c r="F412" s="15"/>
      <c r="G412" s="15"/>
      <c r="I412" s="17"/>
      <c r="O412" s="11" t="s">
        <v>27</v>
      </c>
      <c r="Y412" s="64">
        <f t="shared" si="12"/>
        <v>0</v>
      </c>
      <c r="AA412" s="64">
        <f t="shared" si="13"/>
        <v>0</v>
      </c>
      <c r="AB412" s="64" t="str">
        <f>IF($B412="","",(COUNTIFS(Rships!$C$2:$C$9990,$A412,Rships!$D$2:$D$9990,1)))</f>
        <v/>
      </c>
      <c r="AC412" s="64" t="str">
        <f>IF($B412="","",(COUNTIFS(Rships!$C$2:$C$9990,$A412,Rships!$D$2:$D$9990,2)))</f>
        <v/>
      </c>
      <c r="AD412" s="64" t="str">
        <f>IF($B412="","",(COUNTIFS(Rships!$C$2:$C$9990,$A412,Rships!$D$2:$D$9990,3)))</f>
        <v/>
      </c>
      <c r="AE412" s="64" t="str">
        <f>IF($B412="","",(COUNTIFS(Rships!$C$2:$C$9990,$A412,Rships!$D$2:$D$9990,4)))</f>
        <v/>
      </c>
      <c r="AF412" s="64" t="str">
        <f>IF($B412="","",(COUNTIFS(Rships!$C$2:$C$9990,$A412,Rships!$D$2:$D$9990,5)))</f>
        <v/>
      </c>
      <c r="AG412" s="64" t="str">
        <f>IF($B412="","",(COUNTIFS(Rships!$C$2:$C$9990,$A412,Rships!$D$2:$D$9990,6)))</f>
        <v/>
      </c>
      <c r="AH412" s="64" t="str">
        <f>IF($B412="","",(COUNTIFS(Rships!$C$2:$C$9990,$A412,Rships!$D$2:$D$9990,7)))</f>
        <v/>
      </c>
    </row>
    <row r="413" spans="1:34">
      <c r="A413" s="1" t="s">
        <v>665</v>
      </c>
      <c r="C413" s="11" t="s">
        <v>19</v>
      </c>
      <c r="D413" s="11" t="s">
        <v>21</v>
      </c>
      <c r="F413" s="15"/>
      <c r="G413" s="15"/>
      <c r="I413" s="17"/>
      <c r="O413" s="11" t="s">
        <v>27</v>
      </c>
      <c r="Y413" s="64">
        <f t="shared" si="12"/>
        <v>0</v>
      </c>
      <c r="AA413" s="64">
        <f t="shared" si="13"/>
        <v>0</v>
      </c>
      <c r="AB413" s="64" t="str">
        <f>IF($B413="","",(COUNTIFS(Rships!$C$2:$C$9990,$A413,Rships!$D$2:$D$9990,1)))</f>
        <v/>
      </c>
      <c r="AC413" s="64" t="str">
        <f>IF($B413="","",(COUNTIFS(Rships!$C$2:$C$9990,$A413,Rships!$D$2:$D$9990,2)))</f>
        <v/>
      </c>
      <c r="AD413" s="64" t="str">
        <f>IF($B413="","",(COUNTIFS(Rships!$C$2:$C$9990,$A413,Rships!$D$2:$D$9990,3)))</f>
        <v/>
      </c>
      <c r="AE413" s="64" t="str">
        <f>IF($B413="","",(COUNTIFS(Rships!$C$2:$C$9990,$A413,Rships!$D$2:$D$9990,4)))</f>
        <v/>
      </c>
      <c r="AF413" s="64" t="str">
        <f>IF($B413="","",(COUNTIFS(Rships!$C$2:$C$9990,$A413,Rships!$D$2:$D$9990,5)))</f>
        <v/>
      </c>
      <c r="AG413" s="64" t="str">
        <f>IF($B413="","",(COUNTIFS(Rships!$C$2:$C$9990,$A413,Rships!$D$2:$D$9990,6)))</f>
        <v/>
      </c>
      <c r="AH413" s="64" t="str">
        <f>IF($B413="","",(COUNTIFS(Rships!$C$2:$C$9990,$A413,Rships!$D$2:$D$9990,7)))</f>
        <v/>
      </c>
    </row>
    <row r="414" spans="1:34">
      <c r="A414" s="1" t="s">
        <v>666</v>
      </c>
      <c r="C414" s="11" t="s">
        <v>19</v>
      </c>
      <c r="D414" s="11" t="s">
        <v>21</v>
      </c>
      <c r="F414" s="15"/>
      <c r="G414" s="15"/>
      <c r="I414" s="17"/>
      <c r="O414" s="11" t="s">
        <v>27</v>
      </c>
      <c r="Y414" s="64">
        <f t="shared" si="12"/>
        <v>0</v>
      </c>
      <c r="AA414" s="64">
        <f t="shared" si="13"/>
        <v>0</v>
      </c>
      <c r="AB414" s="64" t="str">
        <f>IF($B414="","",(COUNTIFS(Rships!$C$2:$C$9990,$A414,Rships!$D$2:$D$9990,1)))</f>
        <v/>
      </c>
      <c r="AC414" s="64" t="str">
        <f>IF($B414="","",(COUNTIFS(Rships!$C$2:$C$9990,$A414,Rships!$D$2:$D$9990,2)))</f>
        <v/>
      </c>
      <c r="AD414" s="64" t="str">
        <f>IF($B414="","",(COUNTIFS(Rships!$C$2:$C$9990,$A414,Rships!$D$2:$D$9990,3)))</f>
        <v/>
      </c>
      <c r="AE414" s="64" t="str">
        <f>IF($B414="","",(COUNTIFS(Rships!$C$2:$C$9990,$A414,Rships!$D$2:$D$9990,4)))</f>
        <v/>
      </c>
      <c r="AF414" s="64" t="str">
        <f>IF($B414="","",(COUNTIFS(Rships!$C$2:$C$9990,$A414,Rships!$D$2:$D$9990,5)))</f>
        <v/>
      </c>
      <c r="AG414" s="64" t="str">
        <f>IF($B414="","",(COUNTIFS(Rships!$C$2:$C$9990,$A414,Rships!$D$2:$D$9990,6)))</f>
        <v/>
      </c>
      <c r="AH414" s="64" t="str">
        <f>IF($B414="","",(COUNTIFS(Rships!$C$2:$C$9990,$A414,Rships!$D$2:$D$9990,7)))</f>
        <v/>
      </c>
    </row>
    <row r="415" spans="1:34">
      <c r="A415" s="1" t="s">
        <v>667</v>
      </c>
      <c r="C415" s="11" t="s">
        <v>19</v>
      </c>
      <c r="D415" s="11" t="s">
        <v>21</v>
      </c>
      <c r="F415" s="15"/>
      <c r="G415" s="15"/>
      <c r="I415" s="17"/>
      <c r="O415" s="11" t="s">
        <v>27</v>
      </c>
      <c r="Y415" s="64">
        <f t="shared" si="12"/>
        <v>0</v>
      </c>
      <c r="AA415" s="64">
        <f t="shared" si="13"/>
        <v>0</v>
      </c>
      <c r="AB415" s="64" t="str">
        <f>IF($B415="","",(COUNTIFS(Rships!$C$2:$C$9990,$A415,Rships!$D$2:$D$9990,1)))</f>
        <v/>
      </c>
      <c r="AC415" s="64" t="str">
        <f>IF($B415="","",(COUNTIFS(Rships!$C$2:$C$9990,$A415,Rships!$D$2:$D$9990,2)))</f>
        <v/>
      </c>
      <c r="AD415" s="64" t="str">
        <f>IF($B415="","",(COUNTIFS(Rships!$C$2:$C$9990,$A415,Rships!$D$2:$D$9990,3)))</f>
        <v/>
      </c>
      <c r="AE415" s="64" t="str">
        <f>IF($B415="","",(COUNTIFS(Rships!$C$2:$C$9990,$A415,Rships!$D$2:$D$9990,4)))</f>
        <v/>
      </c>
      <c r="AF415" s="64" t="str">
        <f>IF($B415="","",(COUNTIFS(Rships!$C$2:$C$9990,$A415,Rships!$D$2:$D$9990,5)))</f>
        <v/>
      </c>
      <c r="AG415" s="64" t="str">
        <f>IF($B415="","",(COUNTIFS(Rships!$C$2:$C$9990,$A415,Rships!$D$2:$D$9990,6)))</f>
        <v/>
      </c>
      <c r="AH415" s="64" t="str">
        <f>IF($B415="","",(COUNTIFS(Rships!$C$2:$C$9990,$A415,Rships!$D$2:$D$9990,7)))</f>
        <v/>
      </c>
    </row>
    <row r="416" spans="1:34">
      <c r="A416" s="1" t="s">
        <v>668</v>
      </c>
      <c r="C416" s="11" t="s">
        <v>19</v>
      </c>
      <c r="D416" s="11" t="s">
        <v>21</v>
      </c>
      <c r="F416" s="15"/>
      <c r="G416" s="15"/>
      <c r="I416" s="17"/>
      <c r="O416" s="11" t="s">
        <v>27</v>
      </c>
      <c r="Y416" s="64">
        <f t="shared" si="12"/>
        <v>0</v>
      </c>
      <c r="AA416" s="64">
        <f t="shared" si="13"/>
        <v>0</v>
      </c>
      <c r="AB416" s="64" t="str">
        <f>IF($B416="","",(COUNTIFS(Rships!$C$2:$C$9990,$A416,Rships!$D$2:$D$9990,1)))</f>
        <v/>
      </c>
      <c r="AC416" s="64" t="str">
        <f>IF($B416="","",(COUNTIFS(Rships!$C$2:$C$9990,$A416,Rships!$D$2:$D$9990,2)))</f>
        <v/>
      </c>
      <c r="AD416" s="64" t="str">
        <f>IF($B416="","",(COUNTIFS(Rships!$C$2:$C$9990,$A416,Rships!$D$2:$D$9990,3)))</f>
        <v/>
      </c>
      <c r="AE416" s="64" t="str">
        <f>IF($B416="","",(COUNTIFS(Rships!$C$2:$C$9990,$A416,Rships!$D$2:$D$9990,4)))</f>
        <v/>
      </c>
      <c r="AF416" s="64" t="str">
        <f>IF($B416="","",(COUNTIFS(Rships!$C$2:$C$9990,$A416,Rships!$D$2:$D$9990,5)))</f>
        <v/>
      </c>
      <c r="AG416" s="64" t="str">
        <f>IF($B416="","",(COUNTIFS(Rships!$C$2:$C$9990,$A416,Rships!$D$2:$D$9990,6)))</f>
        <v/>
      </c>
      <c r="AH416" s="64" t="str">
        <f>IF($B416="","",(COUNTIFS(Rships!$C$2:$C$9990,$A416,Rships!$D$2:$D$9990,7)))</f>
        <v/>
      </c>
    </row>
    <row r="417" spans="1:34">
      <c r="A417" s="1" t="s">
        <v>669</v>
      </c>
      <c r="C417" s="11" t="s">
        <v>19</v>
      </c>
      <c r="D417" s="11" t="s">
        <v>21</v>
      </c>
      <c r="F417" s="15"/>
      <c r="G417" s="15"/>
      <c r="I417" s="17"/>
      <c r="O417" s="11" t="s">
        <v>27</v>
      </c>
      <c r="Y417" s="64">
        <f t="shared" si="12"/>
        <v>0</v>
      </c>
      <c r="AA417" s="64">
        <f t="shared" si="13"/>
        <v>0</v>
      </c>
      <c r="AB417" s="64" t="str">
        <f>IF($B417="","",(COUNTIFS(Rships!$C$2:$C$9990,$A417,Rships!$D$2:$D$9990,1)))</f>
        <v/>
      </c>
      <c r="AC417" s="64" t="str">
        <f>IF($B417="","",(COUNTIFS(Rships!$C$2:$C$9990,$A417,Rships!$D$2:$D$9990,2)))</f>
        <v/>
      </c>
      <c r="AD417" s="64" t="str">
        <f>IF($B417="","",(COUNTIFS(Rships!$C$2:$C$9990,$A417,Rships!$D$2:$D$9990,3)))</f>
        <v/>
      </c>
      <c r="AE417" s="64" t="str">
        <f>IF($B417="","",(COUNTIFS(Rships!$C$2:$C$9990,$A417,Rships!$D$2:$D$9990,4)))</f>
        <v/>
      </c>
      <c r="AF417" s="64" t="str">
        <f>IF($B417="","",(COUNTIFS(Rships!$C$2:$C$9990,$A417,Rships!$D$2:$D$9990,5)))</f>
        <v/>
      </c>
      <c r="AG417" s="64" t="str">
        <f>IF($B417="","",(COUNTIFS(Rships!$C$2:$C$9990,$A417,Rships!$D$2:$D$9990,6)))</f>
        <v/>
      </c>
      <c r="AH417" s="64" t="str">
        <f>IF($B417="","",(COUNTIFS(Rships!$C$2:$C$9990,$A417,Rships!$D$2:$D$9990,7)))</f>
        <v/>
      </c>
    </row>
    <row r="418" spans="1:34">
      <c r="A418" s="1" t="s">
        <v>670</v>
      </c>
      <c r="C418" s="11" t="s">
        <v>19</v>
      </c>
      <c r="D418" s="11" t="s">
        <v>21</v>
      </c>
      <c r="F418" s="15"/>
      <c r="G418" s="15"/>
      <c r="I418" s="17"/>
      <c r="O418" s="11" t="s">
        <v>27</v>
      </c>
      <c r="Y418" s="64">
        <f t="shared" si="12"/>
        <v>0</v>
      </c>
      <c r="AA418" s="64">
        <f t="shared" si="13"/>
        <v>0</v>
      </c>
      <c r="AB418" s="64" t="str">
        <f>IF($B418="","",(COUNTIFS(Rships!$C$2:$C$9990,$A418,Rships!$D$2:$D$9990,1)))</f>
        <v/>
      </c>
      <c r="AC418" s="64" t="str">
        <f>IF($B418="","",(COUNTIFS(Rships!$C$2:$C$9990,$A418,Rships!$D$2:$D$9990,2)))</f>
        <v/>
      </c>
      <c r="AD418" s="64" t="str">
        <f>IF($B418="","",(COUNTIFS(Rships!$C$2:$C$9990,$A418,Rships!$D$2:$D$9990,3)))</f>
        <v/>
      </c>
      <c r="AE418" s="64" t="str">
        <f>IF($B418="","",(COUNTIFS(Rships!$C$2:$C$9990,$A418,Rships!$D$2:$D$9990,4)))</f>
        <v/>
      </c>
      <c r="AF418" s="64" t="str">
        <f>IF($B418="","",(COUNTIFS(Rships!$C$2:$C$9990,$A418,Rships!$D$2:$D$9990,5)))</f>
        <v/>
      </c>
      <c r="AG418" s="64" t="str">
        <f>IF($B418="","",(COUNTIFS(Rships!$C$2:$C$9990,$A418,Rships!$D$2:$D$9990,6)))</f>
        <v/>
      </c>
      <c r="AH418" s="64" t="str">
        <f>IF($B418="","",(COUNTIFS(Rships!$C$2:$C$9990,$A418,Rships!$D$2:$D$9990,7)))</f>
        <v/>
      </c>
    </row>
    <row r="419" spans="1:34">
      <c r="A419" s="1" t="s">
        <v>671</v>
      </c>
      <c r="C419" s="11" t="s">
        <v>19</v>
      </c>
      <c r="D419" s="11" t="s">
        <v>21</v>
      </c>
      <c r="F419" s="15"/>
      <c r="G419" s="15"/>
      <c r="I419" s="17"/>
      <c r="O419" s="11" t="s">
        <v>27</v>
      </c>
      <c r="Y419" s="64">
        <f t="shared" si="12"/>
        <v>0</v>
      </c>
      <c r="AA419" s="64">
        <f t="shared" si="13"/>
        <v>0</v>
      </c>
      <c r="AB419" s="64" t="str">
        <f>IF($B419="","",(COUNTIFS(Rships!$C$2:$C$9990,$A419,Rships!$D$2:$D$9990,1)))</f>
        <v/>
      </c>
      <c r="AC419" s="64" t="str">
        <f>IF($B419="","",(COUNTIFS(Rships!$C$2:$C$9990,$A419,Rships!$D$2:$D$9990,2)))</f>
        <v/>
      </c>
      <c r="AD419" s="64" t="str">
        <f>IF($B419="","",(COUNTIFS(Rships!$C$2:$C$9990,$A419,Rships!$D$2:$D$9990,3)))</f>
        <v/>
      </c>
      <c r="AE419" s="64" t="str">
        <f>IF($B419="","",(COUNTIFS(Rships!$C$2:$C$9990,$A419,Rships!$D$2:$D$9990,4)))</f>
        <v/>
      </c>
      <c r="AF419" s="64" t="str">
        <f>IF($B419="","",(COUNTIFS(Rships!$C$2:$C$9990,$A419,Rships!$D$2:$D$9990,5)))</f>
        <v/>
      </c>
      <c r="AG419" s="64" t="str">
        <f>IF($B419="","",(COUNTIFS(Rships!$C$2:$C$9990,$A419,Rships!$D$2:$D$9990,6)))</f>
        <v/>
      </c>
      <c r="AH419" s="64" t="str">
        <f>IF($B419="","",(COUNTIFS(Rships!$C$2:$C$9990,$A419,Rships!$D$2:$D$9990,7)))</f>
        <v/>
      </c>
    </row>
    <row r="420" spans="1:34">
      <c r="A420" s="1" t="s">
        <v>672</v>
      </c>
      <c r="C420" s="11" t="s">
        <v>19</v>
      </c>
      <c r="D420" s="11" t="s">
        <v>21</v>
      </c>
      <c r="F420" s="15"/>
      <c r="G420" s="15"/>
      <c r="I420" s="17"/>
      <c r="O420" s="11" t="s">
        <v>27</v>
      </c>
      <c r="Y420" s="64">
        <f t="shared" si="12"/>
        <v>0</v>
      </c>
      <c r="AA420" s="64">
        <f t="shared" si="13"/>
        <v>0</v>
      </c>
      <c r="AB420" s="64" t="str">
        <f>IF($B420="","",(COUNTIFS(Rships!$C$2:$C$9990,$A420,Rships!$D$2:$D$9990,1)))</f>
        <v/>
      </c>
      <c r="AC420" s="64" t="str">
        <f>IF($B420="","",(COUNTIFS(Rships!$C$2:$C$9990,$A420,Rships!$D$2:$D$9990,2)))</f>
        <v/>
      </c>
      <c r="AD420" s="64" t="str">
        <f>IF($B420="","",(COUNTIFS(Rships!$C$2:$C$9990,$A420,Rships!$D$2:$D$9990,3)))</f>
        <v/>
      </c>
      <c r="AE420" s="64" t="str">
        <f>IF($B420="","",(COUNTIFS(Rships!$C$2:$C$9990,$A420,Rships!$D$2:$D$9990,4)))</f>
        <v/>
      </c>
      <c r="AF420" s="64" t="str">
        <f>IF($B420="","",(COUNTIFS(Rships!$C$2:$C$9990,$A420,Rships!$D$2:$D$9990,5)))</f>
        <v/>
      </c>
      <c r="AG420" s="64" t="str">
        <f>IF($B420="","",(COUNTIFS(Rships!$C$2:$C$9990,$A420,Rships!$D$2:$D$9990,6)))</f>
        <v/>
      </c>
      <c r="AH420" s="64" t="str">
        <f>IF($B420="","",(COUNTIFS(Rships!$C$2:$C$9990,$A420,Rships!$D$2:$D$9990,7)))</f>
        <v/>
      </c>
    </row>
    <row r="421" spans="1:34">
      <c r="A421" s="1" t="s">
        <v>673</v>
      </c>
      <c r="C421" s="11" t="s">
        <v>19</v>
      </c>
      <c r="D421" s="11" t="s">
        <v>21</v>
      </c>
      <c r="F421" s="15"/>
      <c r="G421" s="15"/>
      <c r="I421" s="17"/>
      <c r="O421" s="11" t="s">
        <v>27</v>
      </c>
      <c r="Y421" s="64">
        <f t="shared" si="12"/>
        <v>0</v>
      </c>
      <c r="AA421" s="64">
        <f t="shared" si="13"/>
        <v>0</v>
      </c>
      <c r="AB421" s="64" t="str">
        <f>IF($B421="","",(COUNTIFS(Rships!$C$2:$C$9990,$A421,Rships!$D$2:$D$9990,1)))</f>
        <v/>
      </c>
      <c r="AC421" s="64" t="str">
        <f>IF($B421="","",(COUNTIFS(Rships!$C$2:$C$9990,$A421,Rships!$D$2:$D$9990,2)))</f>
        <v/>
      </c>
      <c r="AD421" s="64" t="str">
        <f>IF($B421="","",(COUNTIFS(Rships!$C$2:$C$9990,$A421,Rships!$D$2:$D$9990,3)))</f>
        <v/>
      </c>
      <c r="AE421" s="64" t="str">
        <f>IF($B421="","",(COUNTIFS(Rships!$C$2:$C$9990,$A421,Rships!$D$2:$D$9990,4)))</f>
        <v/>
      </c>
      <c r="AF421" s="64" t="str">
        <f>IF($B421="","",(COUNTIFS(Rships!$C$2:$C$9990,$A421,Rships!$D$2:$D$9990,5)))</f>
        <v/>
      </c>
      <c r="AG421" s="64" t="str">
        <f>IF($B421="","",(COUNTIFS(Rships!$C$2:$C$9990,$A421,Rships!$D$2:$D$9990,6)))</f>
        <v/>
      </c>
      <c r="AH421" s="64" t="str">
        <f>IF($B421="","",(COUNTIFS(Rships!$C$2:$C$9990,$A421,Rships!$D$2:$D$9990,7)))</f>
        <v/>
      </c>
    </row>
    <row r="422" spans="1:34">
      <c r="A422" s="1" t="s">
        <v>674</v>
      </c>
      <c r="C422" s="11" t="s">
        <v>19</v>
      </c>
      <c r="D422" s="11" t="s">
        <v>21</v>
      </c>
      <c r="F422" s="15"/>
      <c r="G422" s="15"/>
      <c r="I422" s="17"/>
      <c r="O422" s="11" t="s">
        <v>27</v>
      </c>
      <c r="Y422" s="64">
        <f t="shared" si="12"/>
        <v>0</v>
      </c>
      <c r="AA422" s="64">
        <f t="shared" si="13"/>
        <v>0</v>
      </c>
      <c r="AB422" s="64" t="str">
        <f>IF($B422="","",(COUNTIFS(Rships!$C$2:$C$9990,$A422,Rships!$D$2:$D$9990,1)))</f>
        <v/>
      </c>
      <c r="AC422" s="64" t="str">
        <f>IF($B422="","",(COUNTIFS(Rships!$C$2:$C$9990,$A422,Rships!$D$2:$D$9990,2)))</f>
        <v/>
      </c>
      <c r="AD422" s="64" t="str">
        <f>IF($B422="","",(COUNTIFS(Rships!$C$2:$C$9990,$A422,Rships!$D$2:$D$9990,3)))</f>
        <v/>
      </c>
      <c r="AE422" s="64" t="str">
        <f>IF($B422="","",(COUNTIFS(Rships!$C$2:$C$9990,$A422,Rships!$D$2:$D$9990,4)))</f>
        <v/>
      </c>
      <c r="AF422" s="64" t="str">
        <f>IF($B422="","",(COUNTIFS(Rships!$C$2:$C$9990,$A422,Rships!$D$2:$D$9990,5)))</f>
        <v/>
      </c>
      <c r="AG422" s="64" t="str">
        <f>IF($B422="","",(COUNTIFS(Rships!$C$2:$C$9990,$A422,Rships!$D$2:$D$9990,6)))</f>
        <v/>
      </c>
      <c r="AH422" s="64" t="str">
        <f>IF($B422="","",(COUNTIFS(Rships!$C$2:$C$9990,$A422,Rships!$D$2:$D$9990,7)))</f>
        <v/>
      </c>
    </row>
    <row r="423" spans="1:34">
      <c r="A423" s="1" t="s">
        <v>675</v>
      </c>
      <c r="C423" s="11" t="s">
        <v>19</v>
      </c>
      <c r="D423" s="11" t="s">
        <v>21</v>
      </c>
      <c r="F423" s="15"/>
      <c r="G423" s="15"/>
      <c r="I423" s="17"/>
      <c r="O423" s="11" t="s">
        <v>27</v>
      </c>
      <c r="Y423" s="64">
        <f t="shared" si="12"/>
        <v>0</v>
      </c>
      <c r="AA423" s="64">
        <f t="shared" si="13"/>
        <v>0</v>
      </c>
      <c r="AB423" s="64" t="str">
        <f>IF($B423="","",(COUNTIFS(Rships!$C$2:$C$9990,$A423,Rships!$D$2:$D$9990,1)))</f>
        <v/>
      </c>
      <c r="AC423" s="64" t="str">
        <f>IF($B423="","",(COUNTIFS(Rships!$C$2:$C$9990,$A423,Rships!$D$2:$D$9990,2)))</f>
        <v/>
      </c>
      <c r="AD423" s="64" t="str">
        <f>IF($B423="","",(COUNTIFS(Rships!$C$2:$C$9990,$A423,Rships!$D$2:$D$9990,3)))</f>
        <v/>
      </c>
      <c r="AE423" s="64" t="str">
        <f>IF($B423="","",(COUNTIFS(Rships!$C$2:$C$9990,$A423,Rships!$D$2:$D$9990,4)))</f>
        <v/>
      </c>
      <c r="AF423" s="64" t="str">
        <f>IF($B423="","",(COUNTIFS(Rships!$C$2:$C$9990,$A423,Rships!$D$2:$D$9990,5)))</f>
        <v/>
      </c>
      <c r="AG423" s="64" t="str">
        <f>IF($B423="","",(COUNTIFS(Rships!$C$2:$C$9990,$A423,Rships!$D$2:$D$9990,6)))</f>
        <v/>
      </c>
      <c r="AH423" s="64" t="str">
        <f>IF($B423="","",(COUNTIFS(Rships!$C$2:$C$9990,$A423,Rships!$D$2:$D$9990,7)))</f>
        <v/>
      </c>
    </row>
    <row r="424" spans="1:34">
      <c r="A424" s="1" t="s">
        <v>676</v>
      </c>
      <c r="C424" s="11" t="s">
        <v>19</v>
      </c>
      <c r="D424" s="11" t="s">
        <v>21</v>
      </c>
      <c r="F424" s="15"/>
      <c r="G424" s="15"/>
      <c r="I424" s="17"/>
      <c r="O424" s="11" t="s">
        <v>27</v>
      </c>
      <c r="Y424" s="64">
        <f t="shared" si="12"/>
        <v>0</v>
      </c>
      <c r="AA424" s="64">
        <f t="shared" si="13"/>
        <v>0</v>
      </c>
      <c r="AB424" s="64" t="str">
        <f>IF($B424="","",(COUNTIFS(Rships!$C$2:$C$9990,$A424,Rships!$D$2:$D$9990,1)))</f>
        <v/>
      </c>
      <c r="AC424" s="64" t="str">
        <f>IF($B424="","",(COUNTIFS(Rships!$C$2:$C$9990,$A424,Rships!$D$2:$D$9990,2)))</f>
        <v/>
      </c>
      <c r="AD424" s="64" t="str">
        <f>IF($B424="","",(COUNTIFS(Rships!$C$2:$C$9990,$A424,Rships!$D$2:$D$9990,3)))</f>
        <v/>
      </c>
      <c r="AE424" s="64" t="str">
        <f>IF($B424="","",(COUNTIFS(Rships!$C$2:$C$9990,$A424,Rships!$D$2:$D$9990,4)))</f>
        <v/>
      </c>
      <c r="AF424" s="64" t="str">
        <f>IF($B424="","",(COUNTIFS(Rships!$C$2:$C$9990,$A424,Rships!$D$2:$D$9990,5)))</f>
        <v/>
      </c>
      <c r="AG424" s="64" t="str">
        <f>IF($B424="","",(COUNTIFS(Rships!$C$2:$C$9990,$A424,Rships!$D$2:$D$9990,6)))</f>
        <v/>
      </c>
      <c r="AH424" s="64" t="str">
        <f>IF($B424="","",(COUNTIFS(Rships!$C$2:$C$9990,$A424,Rships!$D$2:$D$9990,7)))</f>
        <v/>
      </c>
    </row>
    <row r="425" spans="1:34">
      <c r="A425" s="1" t="s">
        <v>677</v>
      </c>
      <c r="C425" s="11" t="s">
        <v>19</v>
      </c>
      <c r="D425" s="11" t="s">
        <v>21</v>
      </c>
      <c r="F425" s="15"/>
      <c r="G425" s="15"/>
      <c r="I425" s="17"/>
      <c r="O425" s="11" t="s">
        <v>27</v>
      </c>
      <c r="Y425" s="64">
        <f t="shared" si="12"/>
        <v>0</v>
      </c>
      <c r="AA425" s="64">
        <f t="shared" si="13"/>
        <v>0</v>
      </c>
      <c r="AB425" s="64" t="str">
        <f>IF($B425="","",(COUNTIFS(Rships!$C$2:$C$9990,$A425,Rships!$D$2:$D$9990,1)))</f>
        <v/>
      </c>
      <c r="AC425" s="64" t="str">
        <f>IF($B425="","",(COUNTIFS(Rships!$C$2:$C$9990,$A425,Rships!$D$2:$D$9990,2)))</f>
        <v/>
      </c>
      <c r="AD425" s="64" t="str">
        <f>IF($B425="","",(COUNTIFS(Rships!$C$2:$C$9990,$A425,Rships!$D$2:$D$9990,3)))</f>
        <v/>
      </c>
      <c r="AE425" s="64" t="str">
        <f>IF($B425="","",(COUNTIFS(Rships!$C$2:$C$9990,$A425,Rships!$D$2:$D$9990,4)))</f>
        <v/>
      </c>
      <c r="AF425" s="64" t="str">
        <f>IF($B425="","",(COUNTIFS(Rships!$C$2:$C$9990,$A425,Rships!$D$2:$D$9990,5)))</f>
        <v/>
      </c>
      <c r="AG425" s="64" t="str">
        <f>IF($B425="","",(COUNTIFS(Rships!$C$2:$C$9990,$A425,Rships!$D$2:$D$9990,6)))</f>
        <v/>
      </c>
      <c r="AH425" s="64" t="str">
        <f>IF($B425="","",(COUNTIFS(Rships!$C$2:$C$9990,$A425,Rships!$D$2:$D$9990,7)))</f>
        <v/>
      </c>
    </row>
    <row r="426" spans="1:34">
      <c r="A426" s="1" t="s">
        <v>678</v>
      </c>
      <c r="C426" s="11" t="s">
        <v>19</v>
      </c>
      <c r="D426" s="11" t="s">
        <v>21</v>
      </c>
      <c r="F426" s="15"/>
      <c r="G426" s="15"/>
      <c r="I426" s="17"/>
      <c r="O426" s="11" t="s">
        <v>27</v>
      </c>
      <c r="Y426" s="64">
        <f t="shared" si="12"/>
        <v>0</v>
      </c>
      <c r="AA426" s="64">
        <f t="shared" si="13"/>
        <v>0</v>
      </c>
      <c r="AB426" s="64" t="str">
        <f>IF($B426="","",(COUNTIFS(Rships!$C$2:$C$9990,$A426,Rships!$D$2:$D$9990,1)))</f>
        <v/>
      </c>
      <c r="AC426" s="64" t="str">
        <f>IF($B426="","",(COUNTIFS(Rships!$C$2:$C$9990,$A426,Rships!$D$2:$D$9990,2)))</f>
        <v/>
      </c>
      <c r="AD426" s="64" t="str">
        <f>IF($B426="","",(COUNTIFS(Rships!$C$2:$C$9990,$A426,Rships!$D$2:$D$9990,3)))</f>
        <v/>
      </c>
      <c r="AE426" s="64" t="str">
        <f>IF($B426="","",(COUNTIFS(Rships!$C$2:$C$9990,$A426,Rships!$D$2:$D$9990,4)))</f>
        <v/>
      </c>
      <c r="AF426" s="64" t="str">
        <f>IF($B426="","",(COUNTIFS(Rships!$C$2:$C$9990,$A426,Rships!$D$2:$D$9990,5)))</f>
        <v/>
      </c>
      <c r="AG426" s="64" t="str">
        <f>IF($B426="","",(COUNTIFS(Rships!$C$2:$C$9990,$A426,Rships!$D$2:$D$9990,6)))</f>
        <v/>
      </c>
      <c r="AH426" s="64" t="str">
        <f>IF($B426="","",(COUNTIFS(Rships!$C$2:$C$9990,$A426,Rships!$D$2:$D$9990,7)))</f>
        <v/>
      </c>
    </row>
    <row r="427" spans="1:34">
      <c r="A427" s="1" t="s">
        <v>679</v>
      </c>
      <c r="C427" s="11" t="s">
        <v>19</v>
      </c>
      <c r="D427" s="11" t="s">
        <v>21</v>
      </c>
      <c r="F427" s="15"/>
      <c r="G427" s="15"/>
      <c r="I427" s="17"/>
      <c r="O427" s="11" t="s">
        <v>27</v>
      </c>
      <c r="Y427" s="64">
        <f t="shared" si="12"/>
        <v>0</v>
      </c>
      <c r="AA427" s="64">
        <f t="shared" si="13"/>
        <v>0</v>
      </c>
      <c r="AB427" s="64" t="str">
        <f>IF($B427="","",(COUNTIFS(Rships!$C$2:$C$9990,$A427,Rships!$D$2:$D$9990,1)))</f>
        <v/>
      </c>
      <c r="AC427" s="64" t="str">
        <f>IF($B427="","",(COUNTIFS(Rships!$C$2:$C$9990,$A427,Rships!$D$2:$D$9990,2)))</f>
        <v/>
      </c>
      <c r="AD427" s="64" t="str">
        <f>IF($B427="","",(COUNTIFS(Rships!$C$2:$C$9990,$A427,Rships!$D$2:$D$9990,3)))</f>
        <v/>
      </c>
      <c r="AE427" s="64" t="str">
        <f>IF($B427="","",(COUNTIFS(Rships!$C$2:$C$9990,$A427,Rships!$D$2:$D$9990,4)))</f>
        <v/>
      </c>
      <c r="AF427" s="64" t="str">
        <f>IF($B427="","",(COUNTIFS(Rships!$C$2:$C$9990,$A427,Rships!$D$2:$D$9990,5)))</f>
        <v/>
      </c>
      <c r="AG427" s="64" t="str">
        <f>IF($B427="","",(COUNTIFS(Rships!$C$2:$C$9990,$A427,Rships!$D$2:$D$9990,6)))</f>
        <v/>
      </c>
      <c r="AH427" s="64" t="str">
        <f>IF($B427="","",(COUNTIFS(Rships!$C$2:$C$9990,$A427,Rships!$D$2:$D$9990,7)))</f>
        <v/>
      </c>
    </row>
    <row r="428" spans="1:34">
      <c r="A428" s="1" t="s">
        <v>680</v>
      </c>
      <c r="C428" s="11" t="s">
        <v>19</v>
      </c>
      <c r="D428" s="11" t="s">
        <v>21</v>
      </c>
      <c r="F428" s="15"/>
      <c r="G428" s="15"/>
      <c r="I428" s="17"/>
      <c r="O428" s="11" t="s">
        <v>27</v>
      </c>
      <c r="Y428" s="64">
        <f t="shared" si="12"/>
        <v>0</v>
      </c>
      <c r="AA428" s="64">
        <f t="shared" si="13"/>
        <v>0</v>
      </c>
      <c r="AB428" s="64" t="str">
        <f>IF($B428="","",(COUNTIFS(Rships!$C$2:$C$9990,$A428,Rships!$D$2:$D$9990,1)))</f>
        <v/>
      </c>
      <c r="AC428" s="64" t="str">
        <f>IF($B428="","",(COUNTIFS(Rships!$C$2:$C$9990,$A428,Rships!$D$2:$D$9990,2)))</f>
        <v/>
      </c>
      <c r="AD428" s="64" t="str">
        <f>IF($B428="","",(COUNTIFS(Rships!$C$2:$C$9990,$A428,Rships!$D$2:$D$9990,3)))</f>
        <v/>
      </c>
      <c r="AE428" s="64" t="str">
        <f>IF($B428="","",(COUNTIFS(Rships!$C$2:$C$9990,$A428,Rships!$D$2:$D$9990,4)))</f>
        <v/>
      </c>
      <c r="AF428" s="64" t="str">
        <f>IF($B428="","",(COUNTIFS(Rships!$C$2:$C$9990,$A428,Rships!$D$2:$D$9990,5)))</f>
        <v/>
      </c>
      <c r="AG428" s="64" t="str">
        <f>IF($B428="","",(COUNTIFS(Rships!$C$2:$C$9990,$A428,Rships!$D$2:$D$9990,6)))</f>
        <v/>
      </c>
      <c r="AH428" s="64" t="str">
        <f>IF($B428="","",(COUNTIFS(Rships!$C$2:$C$9990,$A428,Rships!$D$2:$D$9990,7)))</f>
        <v/>
      </c>
    </row>
    <row r="429" spans="1:34">
      <c r="A429" s="1" t="s">
        <v>681</v>
      </c>
      <c r="C429" s="11" t="s">
        <v>19</v>
      </c>
      <c r="D429" s="11" t="s">
        <v>21</v>
      </c>
      <c r="F429" s="15"/>
      <c r="G429" s="15"/>
      <c r="I429" s="17"/>
      <c r="O429" s="11" t="s">
        <v>27</v>
      </c>
      <c r="Y429" s="64">
        <f t="shared" si="12"/>
        <v>0</v>
      </c>
      <c r="AA429" s="64">
        <f t="shared" si="13"/>
        <v>0</v>
      </c>
      <c r="AB429" s="64" t="str">
        <f>IF($B429="","",(COUNTIFS(Rships!$C$2:$C$9990,$A429,Rships!$D$2:$D$9990,1)))</f>
        <v/>
      </c>
      <c r="AC429" s="64" t="str">
        <f>IF($B429="","",(COUNTIFS(Rships!$C$2:$C$9990,$A429,Rships!$D$2:$D$9990,2)))</f>
        <v/>
      </c>
      <c r="AD429" s="64" t="str">
        <f>IF($B429="","",(COUNTIFS(Rships!$C$2:$C$9990,$A429,Rships!$D$2:$D$9990,3)))</f>
        <v/>
      </c>
      <c r="AE429" s="64" t="str">
        <f>IF($B429="","",(COUNTIFS(Rships!$C$2:$C$9990,$A429,Rships!$D$2:$D$9990,4)))</f>
        <v/>
      </c>
      <c r="AF429" s="64" t="str">
        <f>IF($B429="","",(COUNTIFS(Rships!$C$2:$C$9990,$A429,Rships!$D$2:$D$9990,5)))</f>
        <v/>
      </c>
      <c r="AG429" s="64" t="str">
        <f>IF($B429="","",(COUNTIFS(Rships!$C$2:$C$9990,$A429,Rships!$D$2:$D$9990,6)))</f>
        <v/>
      </c>
      <c r="AH429" s="64" t="str">
        <f>IF($B429="","",(COUNTIFS(Rships!$C$2:$C$9990,$A429,Rships!$D$2:$D$9990,7)))</f>
        <v/>
      </c>
    </row>
    <row r="430" spans="1:34">
      <c r="A430" s="1" t="s">
        <v>682</v>
      </c>
      <c r="C430" s="11" t="s">
        <v>19</v>
      </c>
      <c r="D430" s="11" t="s">
        <v>21</v>
      </c>
      <c r="F430" s="15"/>
      <c r="G430" s="15"/>
      <c r="I430" s="17"/>
      <c r="O430" s="11" t="s">
        <v>27</v>
      </c>
      <c r="Y430" s="64">
        <f t="shared" si="12"/>
        <v>0</v>
      </c>
      <c r="AA430" s="64">
        <f t="shared" si="13"/>
        <v>0</v>
      </c>
      <c r="AB430" s="64" t="str">
        <f>IF($B430="","",(COUNTIFS(Rships!$C$2:$C$9990,$A430,Rships!$D$2:$D$9990,1)))</f>
        <v/>
      </c>
      <c r="AC430" s="64" t="str">
        <f>IF($B430="","",(COUNTIFS(Rships!$C$2:$C$9990,$A430,Rships!$D$2:$D$9990,2)))</f>
        <v/>
      </c>
      <c r="AD430" s="64" t="str">
        <f>IF($B430="","",(COUNTIFS(Rships!$C$2:$C$9990,$A430,Rships!$D$2:$D$9990,3)))</f>
        <v/>
      </c>
      <c r="AE430" s="64" t="str">
        <f>IF($B430="","",(COUNTIFS(Rships!$C$2:$C$9990,$A430,Rships!$D$2:$D$9990,4)))</f>
        <v/>
      </c>
      <c r="AF430" s="64" t="str">
        <f>IF($B430="","",(COUNTIFS(Rships!$C$2:$C$9990,$A430,Rships!$D$2:$D$9990,5)))</f>
        <v/>
      </c>
      <c r="AG430" s="64" t="str">
        <f>IF($B430="","",(COUNTIFS(Rships!$C$2:$C$9990,$A430,Rships!$D$2:$D$9990,6)))</f>
        <v/>
      </c>
      <c r="AH430" s="64" t="str">
        <f>IF($B430="","",(COUNTIFS(Rships!$C$2:$C$9990,$A430,Rships!$D$2:$D$9990,7)))</f>
        <v/>
      </c>
    </row>
    <row r="431" spans="1:34">
      <c r="A431" s="1" t="s">
        <v>683</v>
      </c>
      <c r="C431" s="11" t="s">
        <v>19</v>
      </c>
      <c r="D431" s="11" t="s">
        <v>21</v>
      </c>
      <c r="F431" s="15"/>
      <c r="G431" s="15"/>
      <c r="I431" s="17"/>
      <c r="O431" s="11" t="s">
        <v>27</v>
      </c>
      <c r="Y431" s="64">
        <f t="shared" si="12"/>
        <v>0</v>
      </c>
      <c r="AA431" s="64">
        <f t="shared" si="13"/>
        <v>0</v>
      </c>
      <c r="AB431" s="64" t="str">
        <f>IF($B431="","",(COUNTIFS(Rships!$C$2:$C$9990,$A431,Rships!$D$2:$D$9990,1)))</f>
        <v/>
      </c>
      <c r="AC431" s="64" t="str">
        <f>IF($B431="","",(COUNTIFS(Rships!$C$2:$C$9990,$A431,Rships!$D$2:$D$9990,2)))</f>
        <v/>
      </c>
      <c r="AD431" s="64" t="str">
        <f>IF($B431="","",(COUNTIFS(Rships!$C$2:$C$9990,$A431,Rships!$D$2:$D$9990,3)))</f>
        <v/>
      </c>
      <c r="AE431" s="64" t="str">
        <f>IF($B431="","",(COUNTIFS(Rships!$C$2:$C$9990,$A431,Rships!$D$2:$D$9990,4)))</f>
        <v/>
      </c>
      <c r="AF431" s="64" t="str">
        <f>IF($B431="","",(COUNTIFS(Rships!$C$2:$C$9990,$A431,Rships!$D$2:$D$9990,5)))</f>
        <v/>
      </c>
      <c r="AG431" s="64" t="str">
        <f>IF($B431="","",(COUNTIFS(Rships!$C$2:$C$9990,$A431,Rships!$D$2:$D$9990,6)))</f>
        <v/>
      </c>
      <c r="AH431" s="64" t="str">
        <f>IF($B431="","",(COUNTIFS(Rships!$C$2:$C$9990,$A431,Rships!$D$2:$D$9990,7)))</f>
        <v/>
      </c>
    </row>
    <row r="432" spans="1:34">
      <c r="A432" s="1" t="s">
        <v>684</v>
      </c>
      <c r="C432" s="11" t="s">
        <v>19</v>
      </c>
      <c r="D432" s="11" t="s">
        <v>21</v>
      </c>
      <c r="F432" s="15"/>
      <c r="G432" s="15"/>
      <c r="I432" s="17"/>
      <c r="O432" s="11" t="s">
        <v>27</v>
      </c>
      <c r="Y432" s="64">
        <f t="shared" si="12"/>
        <v>0</v>
      </c>
      <c r="AA432" s="64">
        <f t="shared" si="13"/>
        <v>0</v>
      </c>
      <c r="AB432" s="64" t="str">
        <f>IF($B432="","",(COUNTIFS(Rships!$C$2:$C$9990,$A432,Rships!$D$2:$D$9990,1)))</f>
        <v/>
      </c>
      <c r="AC432" s="64" t="str">
        <f>IF($B432="","",(COUNTIFS(Rships!$C$2:$C$9990,$A432,Rships!$D$2:$D$9990,2)))</f>
        <v/>
      </c>
      <c r="AD432" s="64" t="str">
        <f>IF($B432="","",(COUNTIFS(Rships!$C$2:$C$9990,$A432,Rships!$D$2:$D$9990,3)))</f>
        <v/>
      </c>
      <c r="AE432" s="64" t="str">
        <f>IF($B432="","",(COUNTIFS(Rships!$C$2:$C$9990,$A432,Rships!$D$2:$D$9990,4)))</f>
        <v/>
      </c>
      <c r="AF432" s="64" t="str">
        <f>IF($B432="","",(COUNTIFS(Rships!$C$2:$C$9990,$A432,Rships!$D$2:$D$9990,5)))</f>
        <v/>
      </c>
      <c r="AG432" s="64" t="str">
        <f>IF($B432="","",(COUNTIFS(Rships!$C$2:$C$9990,$A432,Rships!$D$2:$D$9990,6)))</f>
        <v/>
      </c>
      <c r="AH432" s="64" t="str">
        <f>IF($B432="","",(COUNTIFS(Rships!$C$2:$C$9990,$A432,Rships!$D$2:$D$9990,7)))</f>
        <v/>
      </c>
    </row>
    <row r="433" spans="1:34">
      <c r="A433" s="1" t="s">
        <v>685</v>
      </c>
      <c r="C433" s="11" t="s">
        <v>19</v>
      </c>
      <c r="D433" s="11" t="s">
        <v>21</v>
      </c>
      <c r="F433" s="15"/>
      <c r="G433" s="15"/>
      <c r="I433" s="17"/>
      <c r="O433" s="11" t="s">
        <v>27</v>
      </c>
      <c r="Y433" s="64">
        <f t="shared" si="12"/>
        <v>0</v>
      </c>
      <c r="AA433" s="64">
        <f t="shared" si="13"/>
        <v>0</v>
      </c>
      <c r="AB433" s="64" t="str">
        <f>IF($B433="","",(COUNTIFS(Rships!$C$2:$C$9990,$A433,Rships!$D$2:$D$9990,1)))</f>
        <v/>
      </c>
      <c r="AC433" s="64" t="str">
        <f>IF($B433="","",(COUNTIFS(Rships!$C$2:$C$9990,$A433,Rships!$D$2:$D$9990,2)))</f>
        <v/>
      </c>
      <c r="AD433" s="64" t="str">
        <f>IF($B433="","",(COUNTIFS(Rships!$C$2:$C$9990,$A433,Rships!$D$2:$D$9990,3)))</f>
        <v/>
      </c>
      <c r="AE433" s="64" t="str">
        <f>IF($B433="","",(COUNTIFS(Rships!$C$2:$C$9990,$A433,Rships!$D$2:$D$9990,4)))</f>
        <v/>
      </c>
      <c r="AF433" s="64" t="str">
        <f>IF($B433="","",(COUNTIFS(Rships!$C$2:$C$9990,$A433,Rships!$D$2:$D$9990,5)))</f>
        <v/>
      </c>
      <c r="AG433" s="64" t="str">
        <f>IF($B433="","",(COUNTIFS(Rships!$C$2:$C$9990,$A433,Rships!$D$2:$D$9990,6)))</f>
        <v/>
      </c>
      <c r="AH433" s="64" t="str">
        <f>IF($B433="","",(COUNTIFS(Rships!$C$2:$C$9990,$A433,Rships!$D$2:$D$9990,7)))</f>
        <v/>
      </c>
    </row>
    <row r="434" spans="1:34">
      <c r="A434" s="1" t="s">
        <v>686</v>
      </c>
      <c r="C434" s="11" t="s">
        <v>19</v>
      </c>
      <c r="D434" s="11" t="s">
        <v>21</v>
      </c>
      <c r="F434" s="15"/>
      <c r="G434" s="15"/>
      <c r="I434" s="17"/>
      <c r="O434" s="11" t="s">
        <v>27</v>
      </c>
      <c r="Y434" s="64">
        <f t="shared" si="12"/>
        <v>0</v>
      </c>
      <c r="AA434" s="64">
        <f t="shared" si="13"/>
        <v>0</v>
      </c>
      <c r="AB434" s="64" t="str">
        <f>IF($B434="","",(COUNTIFS(Rships!$C$2:$C$9990,$A434,Rships!$D$2:$D$9990,1)))</f>
        <v/>
      </c>
      <c r="AC434" s="64" t="str">
        <f>IF($B434="","",(COUNTIFS(Rships!$C$2:$C$9990,$A434,Rships!$D$2:$D$9990,2)))</f>
        <v/>
      </c>
      <c r="AD434" s="64" t="str">
        <f>IF($B434="","",(COUNTIFS(Rships!$C$2:$C$9990,$A434,Rships!$D$2:$D$9990,3)))</f>
        <v/>
      </c>
      <c r="AE434" s="64" t="str">
        <f>IF($B434="","",(COUNTIFS(Rships!$C$2:$C$9990,$A434,Rships!$D$2:$D$9990,4)))</f>
        <v/>
      </c>
      <c r="AF434" s="64" t="str">
        <f>IF($B434="","",(COUNTIFS(Rships!$C$2:$C$9990,$A434,Rships!$D$2:$D$9990,5)))</f>
        <v/>
      </c>
      <c r="AG434" s="64" t="str">
        <f>IF($B434="","",(COUNTIFS(Rships!$C$2:$C$9990,$A434,Rships!$D$2:$D$9990,6)))</f>
        <v/>
      </c>
      <c r="AH434" s="64" t="str">
        <f>IF($B434="","",(COUNTIFS(Rships!$C$2:$C$9990,$A434,Rships!$D$2:$D$9990,7)))</f>
        <v/>
      </c>
    </row>
    <row r="435" spans="1:34">
      <c r="A435" s="1" t="s">
        <v>687</v>
      </c>
      <c r="C435" s="11" t="s">
        <v>19</v>
      </c>
      <c r="D435" s="11" t="s">
        <v>21</v>
      </c>
      <c r="F435" s="15"/>
      <c r="G435" s="15"/>
      <c r="I435" s="17"/>
      <c r="O435" s="11" t="s">
        <v>27</v>
      </c>
      <c r="Y435" s="64">
        <f t="shared" ref="Y435:Y498" si="14">SUMIF($B$2:$B$100,$A435,$AA$2:$AA$100)</f>
        <v>0</v>
      </c>
      <c r="AA435" s="64">
        <f t="shared" si="13"/>
        <v>0</v>
      </c>
      <c r="AB435" s="64" t="str">
        <f>IF($B435="","",(COUNTIFS(Rships!$C$2:$C$9990,$A435,Rships!$D$2:$D$9990,1)))</f>
        <v/>
      </c>
      <c r="AC435" s="64" t="str">
        <f>IF($B435="","",(COUNTIFS(Rships!$C$2:$C$9990,$A435,Rships!$D$2:$D$9990,2)))</f>
        <v/>
      </c>
      <c r="AD435" s="64" t="str">
        <f>IF($B435="","",(COUNTIFS(Rships!$C$2:$C$9990,$A435,Rships!$D$2:$D$9990,3)))</f>
        <v/>
      </c>
      <c r="AE435" s="64" t="str">
        <f>IF($B435="","",(COUNTIFS(Rships!$C$2:$C$9990,$A435,Rships!$D$2:$D$9990,4)))</f>
        <v/>
      </c>
      <c r="AF435" s="64" t="str">
        <f>IF($B435="","",(COUNTIFS(Rships!$C$2:$C$9990,$A435,Rships!$D$2:$D$9990,5)))</f>
        <v/>
      </c>
      <c r="AG435" s="64" t="str">
        <f>IF($B435="","",(COUNTIFS(Rships!$C$2:$C$9990,$A435,Rships!$D$2:$D$9990,6)))</f>
        <v/>
      </c>
      <c r="AH435" s="64" t="str">
        <f>IF($B435="","",(COUNTIFS(Rships!$C$2:$C$9990,$A435,Rships!$D$2:$D$9990,7)))</f>
        <v/>
      </c>
    </row>
    <row r="436" spans="1:34">
      <c r="A436" s="1" t="s">
        <v>688</v>
      </c>
      <c r="C436" s="11" t="s">
        <v>19</v>
      </c>
      <c r="D436" s="11" t="s">
        <v>21</v>
      </c>
      <c r="F436" s="15"/>
      <c r="G436" s="15"/>
      <c r="I436" s="17"/>
      <c r="O436" s="11" t="s">
        <v>27</v>
      </c>
      <c r="Y436" s="64">
        <f t="shared" si="14"/>
        <v>0</v>
      </c>
      <c r="AA436" s="64">
        <f t="shared" si="13"/>
        <v>0</v>
      </c>
      <c r="AB436" s="64" t="str">
        <f>IF($B436="","",(COUNTIFS(Rships!$C$2:$C$9990,$A436,Rships!$D$2:$D$9990,1)))</f>
        <v/>
      </c>
      <c r="AC436" s="64" t="str">
        <f>IF($B436="","",(COUNTIFS(Rships!$C$2:$C$9990,$A436,Rships!$D$2:$D$9990,2)))</f>
        <v/>
      </c>
      <c r="AD436" s="64" t="str">
        <f>IF($B436="","",(COUNTIFS(Rships!$C$2:$C$9990,$A436,Rships!$D$2:$D$9990,3)))</f>
        <v/>
      </c>
      <c r="AE436" s="64" t="str">
        <f>IF($B436="","",(COUNTIFS(Rships!$C$2:$C$9990,$A436,Rships!$D$2:$D$9990,4)))</f>
        <v/>
      </c>
      <c r="AF436" s="64" t="str">
        <f>IF($B436="","",(COUNTIFS(Rships!$C$2:$C$9990,$A436,Rships!$D$2:$D$9990,5)))</f>
        <v/>
      </c>
      <c r="AG436" s="64" t="str">
        <f>IF($B436="","",(COUNTIFS(Rships!$C$2:$C$9990,$A436,Rships!$D$2:$D$9990,6)))</f>
        <v/>
      </c>
      <c r="AH436" s="64" t="str">
        <f>IF($B436="","",(COUNTIFS(Rships!$C$2:$C$9990,$A436,Rships!$D$2:$D$9990,7)))</f>
        <v/>
      </c>
    </row>
    <row r="437" spans="1:34">
      <c r="A437" s="1" t="s">
        <v>689</v>
      </c>
      <c r="C437" s="11" t="s">
        <v>19</v>
      </c>
      <c r="D437" s="11" t="s">
        <v>21</v>
      </c>
      <c r="F437" s="15"/>
      <c r="G437" s="15"/>
      <c r="I437" s="17"/>
      <c r="O437" s="11" t="s">
        <v>27</v>
      </c>
      <c r="Y437" s="64">
        <f t="shared" si="14"/>
        <v>0</v>
      </c>
      <c r="AA437" s="64">
        <f t="shared" si="13"/>
        <v>0</v>
      </c>
      <c r="AB437" s="64" t="str">
        <f>IF($B437="","",(COUNTIFS(Rships!$C$2:$C$9990,$A437,Rships!$D$2:$D$9990,1)))</f>
        <v/>
      </c>
      <c r="AC437" s="64" t="str">
        <f>IF($B437="","",(COUNTIFS(Rships!$C$2:$C$9990,$A437,Rships!$D$2:$D$9990,2)))</f>
        <v/>
      </c>
      <c r="AD437" s="64" t="str">
        <f>IF($B437="","",(COUNTIFS(Rships!$C$2:$C$9990,$A437,Rships!$D$2:$D$9990,3)))</f>
        <v/>
      </c>
      <c r="AE437" s="64" t="str">
        <f>IF($B437="","",(COUNTIFS(Rships!$C$2:$C$9990,$A437,Rships!$D$2:$D$9990,4)))</f>
        <v/>
      </c>
      <c r="AF437" s="64" t="str">
        <f>IF($B437="","",(COUNTIFS(Rships!$C$2:$C$9990,$A437,Rships!$D$2:$D$9990,5)))</f>
        <v/>
      </c>
      <c r="AG437" s="64" t="str">
        <f>IF($B437="","",(COUNTIFS(Rships!$C$2:$C$9990,$A437,Rships!$D$2:$D$9990,6)))</f>
        <v/>
      </c>
      <c r="AH437" s="64" t="str">
        <f>IF($B437="","",(COUNTIFS(Rships!$C$2:$C$9990,$A437,Rships!$D$2:$D$9990,7)))</f>
        <v/>
      </c>
    </row>
    <row r="438" spans="1:34">
      <c r="A438" s="1" t="s">
        <v>690</v>
      </c>
      <c r="C438" s="11" t="s">
        <v>19</v>
      </c>
      <c r="D438" s="11" t="s">
        <v>21</v>
      </c>
      <c r="F438" s="15"/>
      <c r="G438" s="15"/>
      <c r="I438" s="17"/>
      <c r="O438" s="11" t="s">
        <v>27</v>
      </c>
      <c r="Y438" s="64">
        <f t="shared" si="14"/>
        <v>0</v>
      </c>
      <c r="AA438" s="64">
        <f t="shared" si="13"/>
        <v>0</v>
      </c>
      <c r="AB438" s="64" t="str">
        <f>IF($B438="","",(COUNTIFS(Rships!$C$2:$C$9990,$A438,Rships!$D$2:$D$9990,1)))</f>
        <v/>
      </c>
      <c r="AC438" s="64" t="str">
        <f>IF($B438="","",(COUNTIFS(Rships!$C$2:$C$9990,$A438,Rships!$D$2:$D$9990,2)))</f>
        <v/>
      </c>
      <c r="AD438" s="64" t="str">
        <f>IF($B438="","",(COUNTIFS(Rships!$C$2:$C$9990,$A438,Rships!$D$2:$D$9990,3)))</f>
        <v/>
      </c>
      <c r="AE438" s="64" t="str">
        <f>IF($B438="","",(COUNTIFS(Rships!$C$2:$C$9990,$A438,Rships!$D$2:$D$9990,4)))</f>
        <v/>
      </c>
      <c r="AF438" s="64" t="str">
        <f>IF($B438="","",(COUNTIFS(Rships!$C$2:$C$9990,$A438,Rships!$D$2:$D$9990,5)))</f>
        <v/>
      </c>
      <c r="AG438" s="64" t="str">
        <f>IF($B438="","",(COUNTIFS(Rships!$C$2:$C$9990,$A438,Rships!$D$2:$D$9990,6)))</f>
        <v/>
      </c>
      <c r="AH438" s="64" t="str">
        <f>IF($B438="","",(COUNTIFS(Rships!$C$2:$C$9990,$A438,Rships!$D$2:$D$9990,7)))</f>
        <v/>
      </c>
    </row>
    <row r="439" spans="1:34">
      <c r="A439" s="1" t="s">
        <v>691</v>
      </c>
      <c r="C439" s="11" t="s">
        <v>19</v>
      </c>
      <c r="D439" s="11" t="s">
        <v>21</v>
      </c>
      <c r="F439" s="15"/>
      <c r="G439" s="15"/>
      <c r="I439" s="17"/>
      <c r="O439" s="11" t="s">
        <v>27</v>
      </c>
      <c r="Y439" s="64">
        <f t="shared" si="14"/>
        <v>0</v>
      </c>
      <c r="AA439" s="64">
        <f t="shared" si="13"/>
        <v>0</v>
      </c>
      <c r="AB439" s="64" t="str">
        <f>IF($B439="","",(COUNTIFS(Rships!$C$2:$C$9990,$A439,Rships!$D$2:$D$9990,1)))</f>
        <v/>
      </c>
      <c r="AC439" s="64" t="str">
        <f>IF($B439="","",(COUNTIFS(Rships!$C$2:$C$9990,$A439,Rships!$D$2:$D$9990,2)))</f>
        <v/>
      </c>
      <c r="AD439" s="64" t="str">
        <f>IF($B439="","",(COUNTIFS(Rships!$C$2:$C$9990,$A439,Rships!$D$2:$D$9990,3)))</f>
        <v/>
      </c>
      <c r="AE439" s="64" t="str">
        <f>IF($B439="","",(COUNTIFS(Rships!$C$2:$C$9990,$A439,Rships!$D$2:$D$9990,4)))</f>
        <v/>
      </c>
      <c r="AF439" s="64" t="str">
        <f>IF($B439="","",(COUNTIFS(Rships!$C$2:$C$9990,$A439,Rships!$D$2:$D$9990,5)))</f>
        <v/>
      </c>
      <c r="AG439" s="64" t="str">
        <f>IF($B439="","",(COUNTIFS(Rships!$C$2:$C$9990,$A439,Rships!$D$2:$D$9990,6)))</f>
        <v/>
      </c>
      <c r="AH439" s="64" t="str">
        <f>IF($B439="","",(COUNTIFS(Rships!$C$2:$C$9990,$A439,Rships!$D$2:$D$9990,7)))</f>
        <v/>
      </c>
    </row>
    <row r="440" spans="1:34">
      <c r="A440" s="1" t="s">
        <v>692</v>
      </c>
      <c r="C440" s="11" t="s">
        <v>19</v>
      </c>
      <c r="D440" s="11" t="s">
        <v>21</v>
      </c>
      <c r="F440" s="15"/>
      <c r="G440" s="15"/>
      <c r="I440" s="17"/>
      <c r="O440" s="11" t="s">
        <v>27</v>
      </c>
      <c r="Y440" s="64">
        <f t="shared" si="14"/>
        <v>0</v>
      </c>
      <c r="AA440" s="64">
        <f t="shared" si="13"/>
        <v>0</v>
      </c>
      <c r="AB440" s="64" t="str">
        <f>IF($B440="","",(COUNTIFS(Rships!$C$2:$C$9990,$A440,Rships!$D$2:$D$9990,1)))</f>
        <v/>
      </c>
      <c r="AC440" s="64" t="str">
        <f>IF($B440="","",(COUNTIFS(Rships!$C$2:$C$9990,$A440,Rships!$D$2:$D$9990,2)))</f>
        <v/>
      </c>
      <c r="AD440" s="64" t="str">
        <f>IF($B440="","",(COUNTIFS(Rships!$C$2:$C$9990,$A440,Rships!$D$2:$D$9990,3)))</f>
        <v/>
      </c>
      <c r="AE440" s="64" t="str">
        <f>IF($B440="","",(COUNTIFS(Rships!$C$2:$C$9990,$A440,Rships!$D$2:$D$9990,4)))</f>
        <v/>
      </c>
      <c r="AF440" s="64" t="str">
        <f>IF($B440="","",(COUNTIFS(Rships!$C$2:$C$9990,$A440,Rships!$D$2:$D$9990,5)))</f>
        <v/>
      </c>
      <c r="AG440" s="64" t="str">
        <f>IF($B440="","",(COUNTIFS(Rships!$C$2:$C$9990,$A440,Rships!$D$2:$D$9990,6)))</f>
        <v/>
      </c>
      <c r="AH440" s="64" t="str">
        <f>IF($B440="","",(COUNTIFS(Rships!$C$2:$C$9990,$A440,Rships!$D$2:$D$9990,7)))</f>
        <v/>
      </c>
    </row>
    <row r="441" spans="1:34">
      <c r="A441" s="1" t="s">
        <v>693</v>
      </c>
      <c r="C441" s="11" t="s">
        <v>19</v>
      </c>
      <c r="D441" s="11" t="s">
        <v>21</v>
      </c>
      <c r="F441" s="15"/>
      <c r="G441" s="15"/>
      <c r="I441" s="17"/>
      <c r="O441" s="11" t="s">
        <v>27</v>
      </c>
      <c r="Y441" s="64">
        <f t="shared" si="14"/>
        <v>0</v>
      </c>
      <c r="AA441" s="64">
        <f t="shared" si="13"/>
        <v>0</v>
      </c>
      <c r="AB441" s="64" t="str">
        <f>IF($B441="","",(COUNTIFS(Rships!$C$2:$C$9990,$A441,Rships!$D$2:$D$9990,1)))</f>
        <v/>
      </c>
      <c r="AC441" s="64" t="str">
        <f>IF($B441="","",(COUNTIFS(Rships!$C$2:$C$9990,$A441,Rships!$D$2:$D$9990,2)))</f>
        <v/>
      </c>
      <c r="AD441" s="64" t="str">
        <f>IF($B441="","",(COUNTIFS(Rships!$C$2:$C$9990,$A441,Rships!$D$2:$D$9990,3)))</f>
        <v/>
      </c>
      <c r="AE441" s="64" t="str">
        <f>IF($B441="","",(COUNTIFS(Rships!$C$2:$C$9990,$A441,Rships!$D$2:$D$9990,4)))</f>
        <v/>
      </c>
      <c r="AF441" s="64" t="str">
        <f>IF($B441="","",(COUNTIFS(Rships!$C$2:$C$9990,$A441,Rships!$D$2:$D$9990,5)))</f>
        <v/>
      </c>
      <c r="AG441" s="64" t="str">
        <f>IF($B441="","",(COUNTIFS(Rships!$C$2:$C$9990,$A441,Rships!$D$2:$D$9990,6)))</f>
        <v/>
      </c>
      <c r="AH441" s="64" t="str">
        <f>IF($B441="","",(COUNTIFS(Rships!$C$2:$C$9990,$A441,Rships!$D$2:$D$9990,7)))</f>
        <v/>
      </c>
    </row>
    <row r="442" spans="1:34">
      <c r="A442" s="1" t="s">
        <v>694</v>
      </c>
      <c r="C442" s="11" t="s">
        <v>19</v>
      </c>
      <c r="D442" s="11" t="s">
        <v>21</v>
      </c>
      <c r="F442" s="15"/>
      <c r="G442" s="15"/>
      <c r="I442" s="17"/>
      <c r="O442" s="11" t="s">
        <v>27</v>
      </c>
      <c r="Y442" s="64">
        <f t="shared" si="14"/>
        <v>0</v>
      </c>
      <c r="AA442" s="64">
        <f t="shared" si="13"/>
        <v>0</v>
      </c>
      <c r="AB442" s="64" t="str">
        <f>IF($B442="","",(COUNTIFS(Rships!$C$2:$C$9990,$A442,Rships!$D$2:$D$9990,1)))</f>
        <v/>
      </c>
      <c r="AC442" s="64" t="str">
        <f>IF($B442="","",(COUNTIFS(Rships!$C$2:$C$9990,$A442,Rships!$D$2:$D$9990,2)))</f>
        <v/>
      </c>
      <c r="AD442" s="64" t="str">
        <f>IF($B442="","",(COUNTIFS(Rships!$C$2:$C$9990,$A442,Rships!$D$2:$D$9990,3)))</f>
        <v/>
      </c>
      <c r="AE442" s="64" t="str">
        <f>IF($B442="","",(COUNTIFS(Rships!$C$2:$C$9990,$A442,Rships!$D$2:$D$9990,4)))</f>
        <v/>
      </c>
      <c r="AF442" s="64" t="str">
        <f>IF($B442="","",(COUNTIFS(Rships!$C$2:$C$9990,$A442,Rships!$D$2:$D$9990,5)))</f>
        <v/>
      </c>
      <c r="AG442" s="64" t="str">
        <f>IF($B442="","",(COUNTIFS(Rships!$C$2:$C$9990,$A442,Rships!$D$2:$D$9990,6)))</f>
        <v/>
      </c>
      <c r="AH442" s="64" t="str">
        <f>IF($B442="","",(COUNTIFS(Rships!$C$2:$C$9990,$A442,Rships!$D$2:$D$9990,7)))</f>
        <v/>
      </c>
    </row>
    <row r="443" spans="1:34">
      <c r="A443" s="1" t="s">
        <v>695</v>
      </c>
      <c r="C443" s="11" t="s">
        <v>19</v>
      </c>
      <c r="D443" s="11" t="s">
        <v>21</v>
      </c>
      <c r="F443" s="15"/>
      <c r="G443" s="15"/>
      <c r="I443" s="17"/>
      <c r="O443" s="11" t="s">
        <v>27</v>
      </c>
      <c r="Y443" s="64">
        <f t="shared" si="14"/>
        <v>0</v>
      </c>
      <c r="AA443" s="64">
        <f t="shared" si="13"/>
        <v>0</v>
      </c>
      <c r="AB443" s="64" t="str">
        <f>IF($B443="","",(COUNTIFS(Rships!$C$2:$C$9990,$A443,Rships!$D$2:$D$9990,1)))</f>
        <v/>
      </c>
      <c r="AC443" s="64" t="str">
        <f>IF($B443="","",(COUNTIFS(Rships!$C$2:$C$9990,$A443,Rships!$D$2:$D$9990,2)))</f>
        <v/>
      </c>
      <c r="AD443" s="64" t="str">
        <f>IF($B443="","",(COUNTIFS(Rships!$C$2:$C$9990,$A443,Rships!$D$2:$D$9990,3)))</f>
        <v/>
      </c>
      <c r="AE443" s="64" t="str">
        <f>IF($B443="","",(COUNTIFS(Rships!$C$2:$C$9990,$A443,Rships!$D$2:$D$9990,4)))</f>
        <v/>
      </c>
      <c r="AF443" s="64" t="str">
        <f>IF($B443="","",(COUNTIFS(Rships!$C$2:$C$9990,$A443,Rships!$D$2:$D$9990,5)))</f>
        <v/>
      </c>
      <c r="AG443" s="64" t="str">
        <f>IF($B443="","",(COUNTIFS(Rships!$C$2:$C$9990,$A443,Rships!$D$2:$D$9990,6)))</f>
        <v/>
      </c>
      <c r="AH443" s="64" t="str">
        <f>IF($B443="","",(COUNTIFS(Rships!$C$2:$C$9990,$A443,Rships!$D$2:$D$9990,7)))</f>
        <v/>
      </c>
    </row>
    <row r="444" spans="1:34">
      <c r="A444" s="1" t="s">
        <v>696</v>
      </c>
      <c r="C444" s="11" t="s">
        <v>19</v>
      </c>
      <c r="D444" s="11" t="s">
        <v>21</v>
      </c>
      <c r="F444" s="15"/>
      <c r="G444" s="15"/>
      <c r="I444" s="17"/>
      <c r="O444" s="11" t="s">
        <v>27</v>
      </c>
      <c r="Y444" s="64">
        <f t="shared" si="14"/>
        <v>0</v>
      </c>
      <c r="AA444" s="64">
        <f t="shared" si="13"/>
        <v>0</v>
      </c>
      <c r="AB444" s="64" t="str">
        <f>IF($B444="","",(COUNTIFS(Rships!$C$2:$C$9990,$A444,Rships!$D$2:$D$9990,1)))</f>
        <v/>
      </c>
      <c r="AC444" s="64" t="str">
        <f>IF($B444="","",(COUNTIFS(Rships!$C$2:$C$9990,$A444,Rships!$D$2:$D$9990,2)))</f>
        <v/>
      </c>
      <c r="AD444" s="64" t="str">
        <f>IF($B444="","",(COUNTIFS(Rships!$C$2:$C$9990,$A444,Rships!$D$2:$D$9990,3)))</f>
        <v/>
      </c>
      <c r="AE444" s="64" t="str">
        <f>IF($B444="","",(COUNTIFS(Rships!$C$2:$C$9990,$A444,Rships!$D$2:$D$9990,4)))</f>
        <v/>
      </c>
      <c r="AF444" s="64" t="str">
        <f>IF($B444="","",(COUNTIFS(Rships!$C$2:$C$9990,$A444,Rships!$D$2:$D$9990,5)))</f>
        <v/>
      </c>
      <c r="AG444" s="64" t="str">
        <f>IF($B444="","",(COUNTIFS(Rships!$C$2:$C$9990,$A444,Rships!$D$2:$D$9990,6)))</f>
        <v/>
      </c>
      <c r="AH444" s="64" t="str">
        <f>IF($B444="","",(COUNTIFS(Rships!$C$2:$C$9990,$A444,Rships!$D$2:$D$9990,7)))</f>
        <v/>
      </c>
    </row>
    <row r="445" spans="1:34">
      <c r="A445" s="1" t="s">
        <v>697</v>
      </c>
      <c r="C445" s="11" t="s">
        <v>19</v>
      </c>
      <c r="D445" s="11" t="s">
        <v>21</v>
      </c>
      <c r="F445" s="15"/>
      <c r="G445" s="15"/>
      <c r="I445" s="17"/>
      <c r="O445" s="11" t="s">
        <v>27</v>
      </c>
      <c r="Y445" s="64">
        <f t="shared" si="14"/>
        <v>0</v>
      </c>
      <c r="AA445" s="64">
        <f t="shared" si="13"/>
        <v>0</v>
      </c>
      <c r="AB445" s="64" t="str">
        <f>IF($B445="","",(COUNTIFS(Rships!$C$2:$C$9990,$A445,Rships!$D$2:$D$9990,1)))</f>
        <v/>
      </c>
      <c r="AC445" s="64" t="str">
        <f>IF($B445="","",(COUNTIFS(Rships!$C$2:$C$9990,$A445,Rships!$D$2:$D$9990,2)))</f>
        <v/>
      </c>
      <c r="AD445" s="64" t="str">
        <f>IF($B445="","",(COUNTIFS(Rships!$C$2:$C$9990,$A445,Rships!$D$2:$D$9990,3)))</f>
        <v/>
      </c>
      <c r="AE445" s="64" t="str">
        <f>IF($B445="","",(COUNTIFS(Rships!$C$2:$C$9990,$A445,Rships!$D$2:$D$9990,4)))</f>
        <v/>
      </c>
      <c r="AF445" s="64" t="str">
        <f>IF($B445="","",(COUNTIFS(Rships!$C$2:$C$9990,$A445,Rships!$D$2:$D$9990,5)))</f>
        <v/>
      </c>
      <c r="AG445" s="64" t="str">
        <f>IF($B445="","",(COUNTIFS(Rships!$C$2:$C$9990,$A445,Rships!$D$2:$D$9990,6)))</f>
        <v/>
      </c>
      <c r="AH445" s="64" t="str">
        <f>IF($B445="","",(COUNTIFS(Rships!$C$2:$C$9990,$A445,Rships!$D$2:$D$9990,7)))</f>
        <v/>
      </c>
    </row>
    <row r="446" spans="1:34">
      <c r="A446" s="1" t="s">
        <v>698</v>
      </c>
      <c r="C446" s="11" t="s">
        <v>19</v>
      </c>
      <c r="D446" s="11" t="s">
        <v>21</v>
      </c>
      <c r="F446" s="15"/>
      <c r="G446" s="15"/>
      <c r="I446" s="17"/>
      <c r="O446" s="11" t="s">
        <v>27</v>
      </c>
      <c r="Y446" s="64">
        <f t="shared" si="14"/>
        <v>0</v>
      </c>
      <c r="AA446" s="64">
        <f t="shared" si="13"/>
        <v>0</v>
      </c>
      <c r="AB446" s="64" t="str">
        <f>IF($B446="","",(COUNTIFS(Rships!$C$2:$C$9990,$A446,Rships!$D$2:$D$9990,1)))</f>
        <v/>
      </c>
      <c r="AC446" s="64" t="str">
        <f>IF($B446="","",(COUNTIFS(Rships!$C$2:$C$9990,$A446,Rships!$D$2:$D$9990,2)))</f>
        <v/>
      </c>
      <c r="AD446" s="64" t="str">
        <f>IF($B446="","",(COUNTIFS(Rships!$C$2:$C$9990,$A446,Rships!$D$2:$D$9990,3)))</f>
        <v/>
      </c>
      <c r="AE446" s="64" t="str">
        <f>IF($B446="","",(COUNTIFS(Rships!$C$2:$C$9990,$A446,Rships!$D$2:$D$9990,4)))</f>
        <v/>
      </c>
      <c r="AF446" s="64" t="str">
        <f>IF($B446="","",(COUNTIFS(Rships!$C$2:$C$9990,$A446,Rships!$D$2:$D$9990,5)))</f>
        <v/>
      </c>
      <c r="AG446" s="64" t="str">
        <f>IF($B446="","",(COUNTIFS(Rships!$C$2:$C$9990,$A446,Rships!$D$2:$D$9990,6)))</f>
        <v/>
      </c>
      <c r="AH446" s="64" t="str">
        <f>IF($B446="","",(COUNTIFS(Rships!$C$2:$C$9990,$A446,Rships!$D$2:$D$9990,7)))</f>
        <v/>
      </c>
    </row>
    <row r="447" spans="1:34">
      <c r="A447" s="1" t="s">
        <v>699</v>
      </c>
      <c r="C447" s="11" t="s">
        <v>19</v>
      </c>
      <c r="D447" s="11" t="s">
        <v>21</v>
      </c>
      <c r="F447" s="15"/>
      <c r="G447" s="15"/>
      <c r="I447" s="17"/>
      <c r="O447" s="11" t="s">
        <v>27</v>
      </c>
      <c r="Y447" s="64">
        <f t="shared" si="14"/>
        <v>0</v>
      </c>
      <c r="AA447" s="64">
        <f t="shared" si="13"/>
        <v>0</v>
      </c>
      <c r="AB447" s="64" t="str">
        <f>IF($B447="","",(COUNTIFS(Rships!$C$2:$C$9990,$A447,Rships!$D$2:$D$9990,1)))</f>
        <v/>
      </c>
      <c r="AC447" s="64" t="str">
        <f>IF($B447="","",(COUNTIFS(Rships!$C$2:$C$9990,$A447,Rships!$D$2:$D$9990,2)))</f>
        <v/>
      </c>
      <c r="AD447" s="64" t="str">
        <f>IF($B447="","",(COUNTIFS(Rships!$C$2:$C$9990,$A447,Rships!$D$2:$D$9990,3)))</f>
        <v/>
      </c>
      <c r="AE447" s="64" t="str">
        <f>IF($B447="","",(COUNTIFS(Rships!$C$2:$C$9990,$A447,Rships!$D$2:$D$9990,4)))</f>
        <v/>
      </c>
      <c r="AF447" s="64" t="str">
        <f>IF($B447="","",(COUNTIFS(Rships!$C$2:$C$9990,$A447,Rships!$D$2:$D$9990,5)))</f>
        <v/>
      </c>
      <c r="AG447" s="64" t="str">
        <f>IF($B447="","",(COUNTIFS(Rships!$C$2:$C$9990,$A447,Rships!$D$2:$D$9990,6)))</f>
        <v/>
      </c>
      <c r="AH447" s="64" t="str">
        <f>IF($B447="","",(COUNTIFS(Rships!$C$2:$C$9990,$A447,Rships!$D$2:$D$9990,7)))</f>
        <v/>
      </c>
    </row>
    <row r="448" spans="1:34">
      <c r="A448" s="1" t="s">
        <v>700</v>
      </c>
      <c r="C448" s="11" t="s">
        <v>19</v>
      </c>
      <c r="D448" s="11" t="s">
        <v>21</v>
      </c>
      <c r="F448" s="15"/>
      <c r="G448" s="15"/>
      <c r="I448" s="17"/>
      <c r="O448" s="11" t="s">
        <v>27</v>
      </c>
      <c r="Y448" s="64">
        <f t="shared" si="14"/>
        <v>0</v>
      </c>
      <c r="AA448" s="64">
        <f t="shared" si="13"/>
        <v>0</v>
      </c>
      <c r="AB448" s="64" t="str">
        <f>IF($B448="","",(COUNTIFS(Rships!$C$2:$C$9990,$A448,Rships!$D$2:$D$9990,1)))</f>
        <v/>
      </c>
      <c r="AC448" s="64" t="str">
        <f>IF($B448="","",(COUNTIFS(Rships!$C$2:$C$9990,$A448,Rships!$D$2:$D$9990,2)))</f>
        <v/>
      </c>
      <c r="AD448" s="64" t="str">
        <f>IF($B448="","",(COUNTIFS(Rships!$C$2:$C$9990,$A448,Rships!$D$2:$D$9990,3)))</f>
        <v/>
      </c>
      <c r="AE448" s="64" t="str">
        <f>IF($B448="","",(COUNTIFS(Rships!$C$2:$C$9990,$A448,Rships!$D$2:$D$9990,4)))</f>
        <v/>
      </c>
      <c r="AF448" s="64" t="str">
        <f>IF($B448="","",(COUNTIFS(Rships!$C$2:$C$9990,$A448,Rships!$D$2:$D$9990,5)))</f>
        <v/>
      </c>
      <c r="AG448" s="64" t="str">
        <f>IF($B448="","",(COUNTIFS(Rships!$C$2:$C$9990,$A448,Rships!$D$2:$D$9990,6)))</f>
        <v/>
      </c>
      <c r="AH448" s="64" t="str">
        <f>IF($B448="","",(COUNTIFS(Rships!$C$2:$C$9990,$A448,Rships!$D$2:$D$9990,7)))</f>
        <v/>
      </c>
    </row>
    <row r="449" spans="1:34">
      <c r="A449" s="1" t="s">
        <v>701</v>
      </c>
      <c r="C449" s="11" t="s">
        <v>19</v>
      </c>
      <c r="D449" s="11" t="s">
        <v>21</v>
      </c>
      <c r="F449" s="15"/>
      <c r="G449" s="15"/>
      <c r="I449" s="17"/>
      <c r="O449" s="11" t="s">
        <v>27</v>
      </c>
      <c r="Y449" s="64">
        <f t="shared" si="14"/>
        <v>0</v>
      </c>
      <c r="AA449" s="64">
        <f t="shared" si="13"/>
        <v>0</v>
      </c>
      <c r="AB449" s="64" t="str">
        <f>IF($B449="","",(COUNTIFS(Rships!$C$2:$C$9990,$A449,Rships!$D$2:$D$9990,1)))</f>
        <v/>
      </c>
      <c r="AC449" s="64" t="str">
        <f>IF($B449="","",(COUNTIFS(Rships!$C$2:$C$9990,$A449,Rships!$D$2:$D$9990,2)))</f>
        <v/>
      </c>
      <c r="AD449" s="64" t="str">
        <f>IF($B449="","",(COUNTIFS(Rships!$C$2:$C$9990,$A449,Rships!$D$2:$D$9990,3)))</f>
        <v/>
      </c>
      <c r="AE449" s="64" t="str">
        <f>IF($B449="","",(COUNTIFS(Rships!$C$2:$C$9990,$A449,Rships!$D$2:$D$9990,4)))</f>
        <v/>
      </c>
      <c r="AF449" s="64" t="str">
        <f>IF($B449="","",(COUNTIFS(Rships!$C$2:$C$9990,$A449,Rships!$D$2:$D$9990,5)))</f>
        <v/>
      </c>
      <c r="AG449" s="64" t="str">
        <f>IF($B449="","",(COUNTIFS(Rships!$C$2:$C$9990,$A449,Rships!$D$2:$D$9990,6)))</f>
        <v/>
      </c>
      <c r="AH449" s="64" t="str">
        <f>IF($B449="","",(COUNTIFS(Rships!$C$2:$C$9990,$A449,Rships!$D$2:$D$9990,7)))</f>
        <v/>
      </c>
    </row>
    <row r="450" spans="1:34">
      <c r="A450" s="1" t="s">
        <v>702</v>
      </c>
      <c r="C450" s="11" t="s">
        <v>19</v>
      </c>
      <c r="D450" s="11" t="s">
        <v>21</v>
      </c>
      <c r="F450" s="15"/>
      <c r="G450" s="15"/>
      <c r="I450" s="17"/>
      <c r="O450" s="11" t="s">
        <v>27</v>
      </c>
      <c r="Y450" s="64">
        <f t="shared" si="14"/>
        <v>0</v>
      </c>
      <c r="AA450" s="64">
        <f t="shared" si="13"/>
        <v>0</v>
      </c>
      <c r="AB450" s="64" t="str">
        <f>IF($B450="","",(COUNTIFS(Rships!$C$2:$C$9990,$A450,Rships!$D$2:$D$9990,1)))</f>
        <v/>
      </c>
      <c r="AC450" s="64" t="str">
        <f>IF($B450="","",(COUNTIFS(Rships!$C$2:$C$9990,$A450,Rships!$D$2:$D$9990,2)))</f>
        <v/>
      </c>
      <c r="AD450" s="64" t="str">
        <f>IF($B450="","",(COUNTIFS(Rships!$C$2:$C$9990,$A450,Rships!$D$2:$D$9990,3)))</f>
        <v/>
      </c>
      <c r="AE450" s="64" t="str">
        <f>IF($B450="","",(COUNTIFS(Rships!$C$2:$C$9990,$A450,Rships!$D$2:$D$9990,4)))</f>
        <v/>
      </c>
      <c r="AF450" s="64" t="str">
        <f>IF($B450="","",(COUNTIFS(Rships!$C$2:$C$9990,$A450,Rships!$D$2:$D$9990,5)))</f>
        <v/>
      </c>
      <c r="AG450" s="64" t="str">
        <f>IF($B450="","",(COUNTIFS(Rships!$C$2:$C$9990,$A450,Rships!$D$2:$D$9990,6)))</f>
        <v/>
      </c>
      <c r="AH450" s="64" t="str">
        <f>IF($B450="","",(COUNTIFS(Rships!$C$2:$C$9990,$A450,Rships!$D$2:$D$9990,7)))</f>
        <v/>
      </c>
    </row>
    <row r="451" spans="1:34">
      <c r="A451" s="1" t="s">
        <v>703</v>
      </c>
      <c r="C451" s="11" t="s">
        <v>19</v>
      </c>
      <c r="D451" s="11" t="s">
        <v>21</v>
      </c>
      <c r="F451" s="15"/>
      <c r="G451" s="15"/>
      <c r="I451" s="17"/>
      <c r="O451" s="11" t="s">
        <v>27</v>
      </c>
      <c r="Y451" s="64">
        <f t="shared" si="14"/>
        <v>0</v>
      </c>
      <c r="AA451" s="64">
        <f t="shared" ref="AA451:AA514" si="15">SUM($AB451:$AH451)</f>
        <v>0</v>
      </c>
      <c r="AB451" s="64" t="str">
        <f>IF($B451="","",(COUNTIFS(Rships!$C$2:$C$9990,$A451,Rships!$D$2:$D$9990,1)))</f>
        <v/>
      </c>
      <c r="AC451" s="64" t="str">
        <f>IF($B451="","",(COUNTIFS(Rships!$C$2:$C$9990,$A451,Rships!$D$2:$D$9990,2)))</f>
        <v/>
      </c>
      <c r="AD451" s="64" t="str">
        <f>IF($B451="","",(COUNTIFS(Rships!$C$2:$C$9990,$A451,Rships!$D$2:$D$9990,3)))</f>
        <v/>
      </c>
      <c r="AE451" s="64" t="str">
        <f>IF($B451="","",(COUNTIFS(Rships!$C$2:$C$9990,$A451,Rships!$D$2:$D$9990,4)))</f>
        <v/>
      </c>
      <c r="AF451" s="64" t="str">
        <f>IF($B451="","",(COUNTIFS(Rships!$C$2:$C$9990,$A451,Rships!$D$2:$D$9990,5)))</f>
        <v/>
      </c>
      <c r="AG451" s="64" t="str">
        <f>IF($B451="","",(COUNTIFS(Rships!$C$2:$C$9990,$A451,Rships!$D$2:$D$9990,6)))</f>
        <v/>
      </c>
      <c r="AH451" s="64" t="str">
        <f>IF($B451="","",(COUNTIFS(Rships!$C$2:$C$9990,$A451,Rships!$D$2:$D$9990,7)))</f>
        <v/>
      </c>
    </row>
    <row r="452" spans="1:34">
      <c r="A452" s="1" t="s">
        <v>704</v>
      </c>
      <c r="C452" s="11" t="s">
        <v>19</v>
      </c>
      <c r="D452" s="11" t="s">
        <v>21</v>
      </c>
      <c r="F452" s="15"/>
      <c r="G452" s="15"/>
      <c r="I452" s="17"/>
      <c r="O452" s="11" t="s">
        <v>27</v>
      </c>
      <c r="Y452" s="64">
        <f t="shared" si="14"/>
        <v>0</v>
      </c>
      <c r="AA452" s="64">
        <f t="shared" si="15"/>
        <v>0</v>
      </c>
      <c r="AB452" s="64" t="str">
        <f>IF($B452="","",(COUNTIFS(Rships!$C$2:$C$9990,$A452,Rships!$D$2:$D$9990,1)))</f>
        <v/>
      </c>
      <c r="AC452" s="64" t="str">
        <f>IF($B452="","",(COUNTIFS(Rships!$C$2:$C$9990,$A452,Rships!$D$2:$D$9990,2)))</f>
        <v/>
      </c>
      <c r="AD452" s="64" t="str">
        <f>IF($B452="","",(COUNTIFS(Rships!$C$2:$C$9990,$A452,Rships!$D$2:$D$9990,3)))</f>
        <v/>
      </c>
      <c r="AE452" s="64" t="str">
        <f>IF($B452="","",(COUNTIFS(Rships!$C$2:$C$9990,$A452,Rships!$D$2:$D$9990,4)))</f>
        <v/>
      </c>
      <c r="AF452" s="64" t="str">
        <f>IF($B452="","",(COUNTIFS(Rships!$C$2:$C$9990,$A452,Rships!$D$2:$D$9990,5)))</f>
        <v/>
      </c>
      <c r="AG452" s="64" t="str">
        <f>IF($B452="","",(COUNTIFS(Rships!$C$2:$C$9990,$A452,Rships!$D$2:$D$9990,6)))</f>
        <v/>
      </c>
      <c r="AH452" s="64" t="str">
        <f>IF($B452="","",(COUNTIFS(Rships!$C$2:$C$9990,$A452,Rships!$D$2:$D$9990,7)))</f>
        <v/>
      </c>
    </row>
    <row r="453" spans="1:34">
      <c r="A453" s="1" t="s">
        <v>705</v>
      </c>
      <c r="C453" s="11" t="s">
        <v>19</v>
      </c>
      <c r="D453" s="11" t="s">
        <v>21</v>
      </c>
      <c r="F453" s="15"/>
      <c r="G453" s="15"/>
      <c r="I453" s="17"/>
      <c r="O453" s="11" t="s">
        <v>27</v>
      </c>
      <c r="Y453" s="64">
        <f t="shared" si="14"/>
        <v>0</v>
      </c>
      <c r="AA453" s="64">
        <f t="shared" si="15"/>
        <v>0</v>
      </c>
      <c r="AB453" s="64" t="str">
        <f>IF($B453="","",(COUNTIFS(Rships!$C$2:$C$9990,$A453,Rships!$D$2:$D$9990,1)))</f>
        <v/>
      </c>
      <c r="AC453" s="64" t="str">
        <f>IF($B453="","",(COUNTIFS(Rships!$C$2:$C$9990,$A453,Rships!$D$2:$D$9990,2)))</f>
        <v/>
      </c>
      <c r="AD453" s="64" t="str">
        <f>IF($B453="","",(COUNTIFS(Rships!$C$2:$C$9990,$A453,Rships!$D$2:$D$9990,3)))</f>
        <v/>
      </c>
      <c r="AE453" s="64" t="str">
        <f>IF($B453="","",(COUNTIFS(Rships!$C$2:$C$9990,$A453,Rships!$D$2:$D$9990,4)))</f>
        <v/>
      </c>
      <c r="AF453" s="64" t="str">
        <f>IF($B453="","",(COUNTIFS(Rships!$C$2:$C$9990,$A453,Rships!$D$2:$D$9990,5)))</f>
        <v/>
      </c>
      <c r="AG453" s="64" t="str">
        <f>IF($B453="","",(COUNTIFS(Rships!$C$2:$C$9990,$A453,Rships!$D$2:$D$9990,6)))</f>
        <v/>
      </c>
      <c r="AH453" s="64" t="str">
        <f>IF($B453="","",(COUNTIFS(Rships!$C$2:$C$9990,$A453,Rships!$D$2:$D$9990,7)))</f>
        <v/>
      </c>
    </row>
    <row r="454" spans="1:34">
      <c r="A454" s="1" t="s">
        <v>706</v>
      </c>
      <c r="C454" s="11" t="s">
        <v>19</v>
      </c>
      <c r="D454" s="11" t="s">
        <v>21</v>
      </c>
      <c r="F454" s="15"/>
      <c r="G454" s="15"/>
      <c r="I454" s="17"/>
      <c r="O454" s="11" t="s">
        <v>27</v>
      </c>
      <c r="Y454" s="64">
        <f t="shared" si="14"/>
        <v>0</v>
      </c>
      <c r="AA454" s="64">
        <f t="shared" si="15"/>
        <v>0</v>
      </c>
      <c r="AB454" s="64" t="str">
        <f>IF($B454="","",(COUNTIFS(Rships!$C$2:$C$9990,$A454,Rships!$D$2:$D$9990,1)))</f>
        <v/>
      </c>
      <c r="AC454" s="64" t="str">
        <f>IF($B454="","",(COUNTIFS(Rships!$C$2:$C$9990,$A454,Rships!$D$2:$D$9990,2)))</f>
        <v/>
      </c>
      <c r="AD454" s="64" t="str">
        <f>IF($B454="","",(COUNTIFS(Rships!$C$2:$C$9990,$A454,Rships!$D$2:$D$9990,3)))</f>
        <v/>
      </c>
      <c r="AE454" s="64" t="str">
        <f>IF($B454="","",(COUNTIFS(Rships!$C$2:$C$9990,$A454,Rships!$D$2:$D$9990,4)))</f>
        <v/>
      </c>
      <c r="AF454" s="64" t="str">
        <f>IF($B454="","",(COUNTIFS(Rships!$C$2:$C$9990,$A454,Rships!$D$2:$D$9990,5)))</f>
        <v/>
      </c>
      <c r="AG454" s="64" t="str">
        <f>IF($B454="","",(COUNTIFS(Rships!$C$2:$C$9990,$A454,Rships!$D$2:$D$9990,6)))</f>
        <v/>
      </c>
      <c r="AH454" s="64" t="str">
        <f>IF($B454="","",(COUNTIFS(Rships!$C$2:$C$9990,$A454,Rships!$D$2:$D$9990,7)))</f>
        <v/>
      </c>
    </row>
    <row r="455" spans="1:34">
      <c r="A455" s="1" t="s">
        <v>707</v>
      </c>
      <c r="C455" s="11" t="s">
        <v>19</v>
      </c>
      <c r="D455" s="11" t="s">
        <v>21</v>
      </c>
      <c r="F455" s="15"/>
      <c r="G455" s="15"/>
      <c r="I455" s="17"/>
      <c r="O455" s="11" t="s">
        <v>27</v>
      </c>
      <c r="Y455" s="64">
        <f t="shared" si="14"/>
        <v>0</v>
      </c>
      <c r="AA455" s="64">
        <f t="shared" si="15"/>
        <v>0</v>
      </c>
      <c r="AB455" s="64" t="str">
        <f>IF($B455="","",(COUNTIFS(Rships!$C$2:$C$9990,$A455,Rships!$D$2:$D$9990,1)))</f>
        <v/>
      </c>
      <c r="AC455" s="64" t="str">
        <f>IF($B455="","",(COUNTIFS(Rships!$C$2:$C$9990,$A455,Rships!$D$2:$D$9990,2)))</f>
        <v/>
      </c>
      <c r="AD455" s="64" t="str">
        <f>IF($B455="","",(COUNTIFS(Rships!$C$2:$C$9990,$A455,Rships!$D$2:$D$9990,3)))</f>
        <v/>
      </c>
      <c r="AE455" s="64" t="str">
        <f>IF($B455="","",(COUNTIFS(Rships!$C$2:$C$9990,$A455,Rships!$D$2:$D$9990,4)))</f>
        <v/>
      </c>
      <c r="AF455" s="64" t="str">
        <f>IF($B455="","",(COUNTIFS(Rships!$C$2:$C$9990,$A455,Rships!$D$2:$D$9990,5)))</f>
        <v/>
      </c>
      <c r="AG455" s="64" t="str">
        <f>IF($B455="","",(COUNTIFS(Rships!$C$2:$C$9990,$A455,Rships!$D$2:$D$9990,6)))</f>
        <v/>
      </c>
      <c r="AH455" s="64" t="str">
        <f>IF($B455="","",(COUNTIFS(Rships!$C$2:$C$9990,$A455,Rships!$D$2:$D$9990,7)))</f>
        <v/>
      </c>
    </row>
    <row r="456" spans="1:34">
      <c r="A456" s="1" t="s">
        <v>708</v>
      </c>
      <c r="C456" s="11" t="s">
        <v>19</v>
      </c>
      <c r="D456" s="11" t="s">
        <v>21</v>
      </c>
      <c r="F456" s="15"/>
      <c r="G456" s="15"/>
      <c r="I456" s="17"/>
      <c r="O456" s="11" t="s">
        <v>27</v>
      </c>
      <c r="Y456" s="64">
        <f t="shared" si="14"/>
        <v>0</v>
      </c>
      <c r="AA456" s="64">
        <f t="shared" si="15"/>
        <v>0</v>
      </c>
      <c r="AB456" s="64" t="str">
        <f>IF($B456="","",(COUNTIFS(Rships!$C$2:$C$9990,$A456,Rships!$D$2:$D$9990,1)))</f>
        <v/>
      </c>
      <c r="AC456" s="64" t="str">
        <f>IF($B456="","",(COUNTIFS(Rships!$C$2:$C$9990,$A456,Rships!$D$2:$D$9990,2)))</f>
        <v/>
      </c>
      <c r="AD456" s="64" t="str">
        <f>IF($B456="","",(COUNTIFS(Rships!$C$2:$C$9990,$A456,Rships!$D$2:$D$9990,3)))</f>
        <v/>
      </c>
      <c r="AE456" s="64" t="str">
        <f>IF($B456="","",(COUNTIFS(Rships!$C$2:$C$9990,$A456,Rships!$D$2:$D$9990,4)))</f>
        <v/>
      </c>
      <c r="AF456" s="64" t="str">
        <f>IF($B456="","",(COUNTIFS(Rships!$C$2:$C$9990,$A456,Rships!$D$2:$D$9990,5)))</f>
        <v/>
      </c>
      <c r="AG456" s="64" t="str">
        <f>IF($B456="","",(COUNTIFS(Rships!$C$2:$C$9990,$A456,Rships!$D$2:$D$9990,6)))</f>
        <v/>
      </c>
      <c r="AH456" s="64" t="str">
        <f>IF($B456="","",(COUNTIFS(Rships!$C$2:$C$9990,$A456,Rships!$D$2:$D$9990,7)))</f>
        <v/>
      </c>
    </row>
    <row r="457" spans="1:34">
      <c r="A457" s="1" t="s">
        <v>709</v>
      </c>
      <c r="C457" s="11" t="s">
        <v>19</v>
      </c>
      <c r="D457" s="11" t="s">
        <v>21</v>
      </c>
      <c r="F457" s="15"/>
      <c r="G457" s="15"/>
      <c r="I457" s="17"/>
      <c r="O457" s="11" t="s">
        <v>27</v>
      </c>
      <c r="Y457" s="64">
        <f t="shared" si="14"/>
        <v>0</v>
      </c>
      <c r="AA457" s="64">
        <f t="shared" si="15"/>
        <v>0</v>
      </c>
      <c r="AB457" s="64" t="str">
        <f>IF($B457="","",(COUNTIFS(Rships!$C$2:$C$9990,$A457,Rships!$D$2:$D$9990,1)))</f>
        <v/>
      </c>
      <c r="AC457" s="64" t="str">
        <f>IF($B457="","",(COUNTIFS(Rships!$C$2:$C$9990,$A457,Rships!$D$2:$D$9990,2)))</f>
        <v/>
      </c>
      <c r="AD457" s="64" t="str">
        <f>IF($B457="","",(COUNTIFS(Rships!$C$2:$C$9990,$A457,Rships!$D$2:$D$9990,3)))</f>
        <v/>
      </c>
      <c r="AE457" s="64" t="str">
        <f>IF($B457="","",(COUNTIFS(Rships!$C$2:$C$9990,$A457,Rships!$D$2:$D$9990,4)))</f>
        <v/>
      </c>
      <c r="AF457" s="64" t="str">
        <f>IF($B457="","",(COUNTIFS(Rships!$C$2:$C$9990,$A457,Rships!$D$2:$D$9990,5)))</f>
        <v/>
      </c>
      <c r="AG457" s="64" t="str">
        <f>IF($B457="","",(COUNTIFS(Rships!$C$2:$C$9990,$A457,Rships!$D$2:$D$9990,6)))</f>
        <v/>
      </c>
      <c r="AH457" s="64" t="str">
        <f>IF($B457="","",(COUNTIFS(Rships!$C$2:$C$9990,$A457,Rships!$D$2:$D$9990,7)))</f>
        <v/>
      </c>
    </row>
    <row r="458" spans="1:34">
      <c r="A458" s="1" t="s">
        <v>710</v>
      </c>
      <c r="C458" s="11" t="s">
        <v>19</v>
      </c>
      <c r="D458" s="11" t="s">
        <v>21</v>
      </c>
      <c r="F458" s="15"/>
      <c r="G458" s="15"/>
      <c r="I458" s="17"/>
      <c r="O458" s="11" t="s">
        <v>27</v>
      </c>
      <c r="Y458" s="64">
        <f t="shared" si="14"/>
        <v>0</v>
      </c>
      <c r="AA458" s="64">
        <f t="shared" si="15"/>
        <v>0</v>
      </c>
      <c r="AB458" s="64" t="str">
        <f>IF($B458="","",(COUNTIFS(Rships!$C$2:$C$9990,$A458,Rships!$D$2:$D$9990,1)))</f>
        <v/>
      </c>
      <c r="AC458" s="64" t="str">
        <f>IF($B458="","",(COUNTIFS(Rships!$C$2:$C$9990,$A458,Rships!$D$2:$D$9990,2)))</f>
        <v/>
      </c>
      <c r="AD458" s="64" t="str">
        <f>IF($B458="","",(COUNTIFS(Rships!$C$2:$C$9990,$A458,Rships!$D$2:$D$9990,3)))</f>
        <v/>
      </c>
      <c r="AE458" s="64" t="str">
        <f>IF($B458="","",(COUNTIFS(Rships!$C$2:$C$9990,$A458,Rships!$D$2:$D$9990,4)))</f>
        <v/>
      </c>
      <c r="AF458" s="64" t="str">
        <f>IF($B458="","",(COUNTIFS(Rships!$C$2:$C$9990,$A458,Rships!$D$2:$D$9990,5)))</f>
        <v/>
      </c>
      <c r="AG458" s="64" t="str">
        <f>IF($B458="","",(COUNTIFS(Rships!$C$2:$C$9990,$A458,Rships!$D$2:$D$9990,6)))</f>
        <v/>
      </c>
      <c r="AH458" s="64" t="str">
        <f>IF($B458="","",(COUNTIFS(Rships!$C$2:$C$9990,$A458,Rships!$D$2:$D$9990,7)))</f>
        <v/>
      </c>
    </row>
    <row r="459" spans="1:34">
      <c r="A459" s="1" t="s">
        <v>711</v>
      </c>
      <c r="C459" s="11" t="s">
        <v>19</v>
      </c>
      <c r="D459" s="11" t="s">
        <v>21</v>
      </c>
      <c r="F459" s="15"/>
      <c r="G459" s="15"/>
      <c r="I459" s="17"/>
      <c r="O459" s="11" t="s">
        <v>27</v>
      </c>
      <c r="Y459" s="64">
        <f t="shared" si="14"/>
        <v>0</v>
      </c>
      <c r="AA459" s="64">
        <f t="shared" si="15"/>
        <v>0</v>
      </c>
      <c r="AB459" s="64" t="str">
        <f>IF($B459="","",(COUNTIFS(Rships!$C$2:$C$9990,$A459,Rships!$D$2:$D$9990,1)))</f>
        <v/>
      </c>
      <c r="AC459" s="64" t="str">
        <f>IF($B459="","",(COUNTIFS(Rships!$C$2:$C$9990,$A459,Rships!$D$2:$D$9990,2)))</f>
        <v/>
      </c>
      <c r="AD459" s="64" t="str">
        <f>IF($B459="","",(COUNTIFS(Rships!$C$2:$C$9990,$A459,Rships!$D$2:$D$9990,3)))</f>
        <v/>
      </c>
      <c r="AE459" s="64" t="str">
        <f>IF($B459="","",(COUNTIFS(Rships!$C$2:$C$9990,$A459,Rships!$D$2:$D$9990,4)))</f>
        <v/>
      </c>
      <c r="AF459" s="64" t="str">
        <f>IF($B459="","",(COUNTIFS(Rships!$C$2:$C$9990,$A459,Rships!$D$2:$D$9990,5)))</f>
        <v/>
      </c>
      <c r="AG459" s="64" t="str">
        <f>IF($B459="","",(COUNTIFS(Rships!$C$2:$C$9990,$A459,Rships!$D$2:$D$9990,6)))</f>
        <v/>
      </c>
      <c r="AH459" s="64" t="str">
        <f>IF($B459="","",(COUNTIFS(Rships!$C$2:$C$9990,$A459,Rships!$D$2:$D$9990,7)))</f>
        <v/>
      </c>
    </row>
    <row r="460" spans="1:34">
      <c r="A460" s="1" t="s">
        <v>712</v>
      </c>
      <c r="C460" s="11" t="s">
        <v>19</v>
      </c>
      <c r="D460" s="11" t="s">
        <v>21</v>
      </c>
      <c r="F460" s="15"/>
      <c r="G460" s="15"/>
      <c r="I460" s="17"/>
      <c r="O460" s="11" t="s">
        <v>27</v>
      </c>
      <c r="Y460" s="64">
        <f t="shared" si="14"/>
        <v>0</v>
      </c>
      <c r="AA460" s="64">
        <f t="shared" si="15"/>
        <v>0</v>
      </c>
      <c r="AB460" s="64" t="str">
        <f>IF($B460="","",(COUNTIFS(Rships!$C$2:$C$9990,$A460,Rships!$D$2:$D$9990,1)))</f>
        <v/>
      </c>
      <c r="AC460" s="64" t="str">
        <f>IF($B460="","",(COUNTIFS(Rships!$C$2:$C$9990,$A460,Rships!$D$2:$D$9990,2)))</f>
        <v/>
      </c>
      <c r="AD460" s="64" t="str">
        <f>IF($B460="","",(COUNTIFS(Rships!$C$2:$C$9990,$A460,Rships!$D$2:$D$9990,3)))</f>
        <v/>
      </c>
      <c r="AE460" s="64" t="str">
        <f>IF($B460="","",(COUNTIFS(Rships!$C$2:$C$9990,$A460,Rships!$D$2:$D$9990,4)))</f>
        <v/>
      </c>
      <c r="AF460" s="64" t="str">
        <f>IF($B460="","",(COUNTIFS(Rships!$C$2:$C$9990,$A460,Rships!$D$2:$D$9990,5)))</f>
        <v/>
      </c>
      <c r="AG460" s="64" t="str">
        <f>IF($B460="","",(COUNTIFS(Rships!$C$2:$C$9990,$A460,Rships!$D$2:$D$9990,6)))</f>
        <v/>
      </c>
      <c r="AH460" s="64" t="str">
        <f>IF($B460="","",(COUNTIFS(Rships!$C$2:$C$9990,$A460,Rships!$D$2:$D$9990,7)))</f>
        <v/>
      </c>
    </row>
    <row r="461" spans="1:34">
      <c r="A461" s="1" t="s">
        <v>713</v>
      </c>
      <c r="C461" s="11" t="s">
        <v>19</v>
      </c>
      <c r="D461" s="11" t="s">
        <v>21</v>
      </c>
      <c r="F461" s="15"/>
      <c r="G461" s="15"/>
      <c r="I461" s="17"/>
      <c r="O461" s="11" t="s">
        <v>27</v>
      </c>
      <c r="Y461" s="64">
        <f t="shared" si="14"/>
        <v>0</v>
      </c>
      <c r="AA461" s="64">
        <f t="shared" si="15"/>
        <v>0</v>
      </c>
      <c r="AB461" s="64" t="str">
        <f>IF($B461="","",(COUNTIFS(Rships!$C$2:$C$9990,$A461,Rships!$D$2:$D$9990,1)))</f>
        <v/>
      </c>
      <c r="AC461" s="64" t="str">
        <f>IF($B461="","",(COUNTIFS(Rships!$C$2:$C$9990,$A461,Rships!$D$2:$D$9990,2)))</f>
        <v/>
      </c>
      <c r="AD461" s="64" t="str">
        <f>IF($B461="","",(COUNTIFS(Rships!$C$2:$C$9990,$A461,Rships!$D$2:$D$9990,3)))</f>
        <v/>
      </c>
      <c r="AE461" s="64" t="str">
        <f>IF($B461="","",(COUNTIFS(Rships!$C$2:$C$9990,$A461,Rships!$D$2:$D$9990,4)))</f>
        <v/>
      </c>
      <c r="AF461" s="64" t="str">
        <f>IF($B461="","",(COUNTIFS(Rships!$C$2:$C$9990,$A461,Rships!$D$2:$D$9990,5)))</f>
        <v/>
      </c>
      <c r="AG461" s="64" t="str">
        <f>IF($B461="","",(COUNTIFS(Rships!$C$2:$C$9990,$A461,Rships!$D$2:$D$9990,6)))</f>
        <v/>
      </c>
      <c r="AH461" s="64" t="str">
        <f>IF($B461="","",(COUNTIFS(Rships!$C$2:$C$9990,$A461,Rships!$D$2:$D$9990,7)))</f>
        <v/>
      </c>
    </row>
    <row r="462" spans="1:34">
      <c r="A462" s="1" t="s">
        <v>714</v>
      </c>
      <c r="C462" s="11" t="s">
        <v>19</v>
      </c>
      <c r="D462" s="11" t="s">
        <v>21</v>
      </c>
      <c r="F462" s="15"/>
      <c r="G462" s="15"/>
      <c r="I462" s="17"/>
      <c r="O462" s="11" t="s">
        <v>27</v>
      </c>
      <c r="Y462" s="64">
        <f t="shared" si="14"/>
        <v>0</v>
      </c>
      <c r="AA462" s="64">
        <f t="shared" si="15"/>
        <v>0</v>
      </c>
      <c r="AB462" s="64" t="str">
        <f>IF($B462="","",(COUNTIFS(Rships!$C$2:$C$9990,$A462,Rships!$D$2:$D$9990,1)))</f>
        <v/>
      </c>
      <c r="AC462" s="64" t="str">
        <f>IF($B462="","",(COUNTIFS(Rships!$C$2:$C$9990,$A462,Rships!$D$2:$D$9990,2)))</f>
        <v/>
      </c>
      <c r="AD462" s="64" t="str">
        <f>IF($B462="","",(COUNTIFS(Rships!$C$2:$C$9990,$A462,Rships!$D$2:$D$9990,3)))</f>
        <v/>
      </c>
      <c r="AE462" s="64" t="str">
        <f>IF($B462="","",(COUNTIFS(Rships!$C$2:$C$9990,$A462,Rships!$D$2:$D$9990,4)))</f>
        <v/>
      </c>
      <c r="AF462" s="64" t="str">
        <f>IF($B462="","",(COUNTIFS(Rships!$C$2:$C$9990,$A462,Rships!$D$2:$D$9990,5)))</f>
        <v/>
      </c>
      <c r="AG462" s="64" t="str">
        <f>IF($B462="","",(COUNTIFS(Rships!$C$2:$C$9990,$A462,Rships!$D$2:$D$9990,6)))</f>
        <v/>
      </c>
      <c r="AH462" s="64" t="str">
        <f>IF($B462="","",(COUNTIFS(Rships!$C$2:$C$9990,$A462,Rships!$D$2:$D$9990,7)))</f>
        <v/>
      </c>
    </row>
    <row r="463" spans="1:34">
      <c r="A463" s="1" t="s">
        <v>715</v>
      </c>
      <c r="C463" s="11" t="s">
        <v>19</v>
      </c>
      <c r="D463" s="11" t="s">
        <v>21</v>
      </c>
      <c r="F463" s="15"/>
      <c r="G463" s="15"/>
      <c r="I463" s="17"/>
      <c r="O463" s="11" t="s">
        <v>27</v>
      </c>
      <c r="Y463" s="64">
        <f t="shared" si="14"/>
        <v>0</v>
      </c>
      <c r="AA463" s="64">
        <f t="shared" si="15"/>
        <v>0</v>
      </c>
      <c r="AB463" s="64" t="str">
        <f>IF($B463="","",(COUNTIFS(Rships!$C$2:$C$9990,$A463,Rships!$D$2:$D$9990,1)))</f>
        <v/>
      </c>
      <c r="AC463" s="64" t="str">
        <f>IF($B463="","",(COUNTIFS(Rships!$C$2:$C$9990,$A463,Rships!$D$2:$D$9990,2)))</f>
        <v/>
      </c>
      <c r="AD463" s="64" t="str">
        <f>IF($B463="","",(COUNTIFS(Rships!$C$2:$C$9990,$A463,Rships!$D$2:$D$9990,3)))</f>
        <v/>
      </c>
      <c r="AE463" s="64" t="str">
        <f>IF($B463="","",(COUNTIFS(Rships!$C$2:$C$9990,$A463,Rships!$D$2:$D$9990,4)))</f>
        <v/>
      </c>
      <c r="AF463" s="64" t="str">
        <f>IF($B463="","",(COUNTIFS(Rships!$C$2:$C$9990,$A463,Rships!$D$2:$D$9990,5)))</f>
        <v/>
      </c>
      <c r="AG463" s="64" t="str">
        <f>IF($B463="","",(COUNTIFS(Rships!$C$2:$C$9990,$A463,Rships!$D$2:$D$9990,6)))</f>
        <v/>
      </c>
      <c r="AH463" s="64" t="str">
        <f>IF($B463="","",(COUNTIFS(Rships!$C$2:$C$9990,$A463,Rships!$D$2:$D$9990,7)))</f>
        <v/>
      </c>
    </row>
    <row r="464" spans="1:34">
      <c r="A464" s="1" t="s">
        <v>716</v>
      </c>
      <c r="C464" s="11" t="s">
        <v>19</v>
      </c>
      <c r="D464" s="11" t="s">
        <v>21</v>
      </c>
      <c r="F464" s="15"/>
      <c r="G464" s="15"/>
      <c r="I464" s="17"/>
      <c r="O464" s="11" t="s">
        <v>27</v>
      </c>
      <c r="Y464" s="64">
        <f t="shared" si="14"/>
        <v>0</v>
      </c>
      <c r="AA464" s="64">
        <f t="shared" si="15"/>
        <v>0</v>
      </c>
      <c r="AB464" s="64" t="str">
        <f>IF($B464="","",(COUNTIFS(Rships!$C$2:$C$9990,$A464,Rships!$D$2:$D$9990,1)))</f>
        <v/>
      </c>
      <c r="AC464" s="64" t="str">
        <f>IF($B464="","",(COUNTIFS(Rships!$C$2:$C$9990,$A464,Rships!$D$2:$D$9990,2)))</f>
        <v/>
      </c>
      <c r="AD464" s="64" t="str">
        <f>IF($B464="","",(COUNTIFS(Rships!$C$2:$C$9990,$A464,Rships!$D$2:$D$9990,3)))</f>
        <v/>
      </c>
      <c r="AE464" s="64" t="str">
        <f>IF($B464="","",(COUNTIFS(Rships!$C$2:$C$9990,$A464,Rships!$D$2:$D$9990,4)))</f>
        <v/>
      </c>
      <c r="AF464" s="64" t="str">
        <f>IF($B464="","",(COUNTIFS(Rships!$C$2:$C$9990,$A464,Rships!$D$2:$D$9990,5)))</f>
        <v/>
      </c>
      <c r="AG464" s="64" t="str">
        <f>IF($B464="","",(COUNTIFS(Rships!$C$2:$C$9990,$A464,Rships!$D$2:$D$9990,6)))</f>
        <v/>
      </c>
      <c r="AH464" s="64" t="str">
        <f>IF($B464="","",(COUNTIFS(Rships!$C$2:$C$9990,$A464,Rships!$D$2:$D$9990,7)))</f>
        <v/>
      </c>
    </row>
    <row r="465" spans="1:34">
      <c r="A465" s="1" t="s">
        <v>717</v>
      </c>
      <c r="C465" s="11" t="s">
        <v>19</v>
      </c>
      <c r="D465" s="11" t="s">
        <v>21</v>
      </c>
      <c r="F465" s="15"/>
      <c r="G465" s="15"/>
      <c r="I465" s="17"/>
      <c r="O465" s="11" t="s">
        <v>27</v>
      </c>
      <c r="Y465" s="64">
        <f t="shared" si="14"/>
        <v>0</v>
      </c>
      <c r="AA465" s="64">
        <f t="shared" si="15"/>
        <v>0</v>
      </c>
      <c r="AB465" s="64" t="str">
        <f>IF($B465="","",(COUNTIFS(Rships!$C$2:$C$9990,$A465,Rships!$D$2:$D$9990,1)))</f>
        <v/>
      </c>
      <c r="AC465" s="64" t="str">
        <f>IF($B465="","",(COUNTIFS(Rships!$C$2:$C$9990,$A465,Rships!$D$2:$D$9990,2)))</f>
        <v/>
      </c>
      <c r="AD465" s="64" t="str">
        <f>IF($B465="","",(COUNTIFS(Rships!$C$2:$C$9990,$A465,Rships!$D$2:$D$9990,3)))</f>
        <v/>
      </c>
      <c r="AE465" s="64" t="str">
        <f>IF($B465="","",(COUNTIFS(Rships!$C$2:$C$9990,$A465,Rships!$D$2:$D$9990,4)))</f>
        <v/>
      </c>
      <c r="AF465" s="64" t="str">
        <f>IF($B465="","",(COUNTIFS(Rships!$C$2:$C$9990,$A465,Rships!$D$2:$D$9990,5)))</f>
        <v/>
      </c>
      <c r="AG465" s="64" t="str">
        <f>IF($B465="","",(COUNTIFS(Rships!$C$2:$C$9990,$A465,Rships!$D$2:$D$9990,6)))</f>
        <v/>
      </c>
      <c r="AH465" s="64" t="str">
        <f>IF($B465="","",(COUNTIFS(Rships!$C$2:$C$9990,$A465,Rships!$D$2:$D$9990,7)))</f>
        <v/>
      </c>
    </row>
    <row r="466" spans="1:34">
      <c r="A466" s="1" t="s">
        <v>718</v>
      </c>
      <c r="C466" s="11" t="s">
        <v>19</v>
      </c>
      <c r="D466" s="11" t="s">
        <v>21</v>
      </c>
      <c r="F466" s="15"/>
      <c r="G466" s="15"/>
      <c r="I466" s="17"/>
      <c r="O466" s="11" t="s">
        <v>27</v>
      </c>
      <c r="Y466" s="64">
        <f t="shared" si="14"/>
        <v>0</v>
      </c>
      <c r="AA466" s="64">
        <f t="shared" si="15"/>
        <v>0</v>
      </c>
      <c r="AB466" s="64" t="str">
        <f>IF($B466="","",(COUNTIFS(Rships!$C$2:$C$9990,$A466,Rships!$D$2:$D$9990,1)))</f>
        <v/>
      </c>
      <c r="AC466" s="64" t="str">
        <f>IF($B466="","",(COUNTIFS(Rships!$C$2:$C$9990,$A466,Rships!$D$2:$D$9990,2)))</f>
        <v/>
      </c>
      <c r="AD466" s="64" t="str">
        <f>IF($B466="","",(COUNTIFS(Rships!$C$2:$C$9990,$A466,Rships!$D$2:$D$9990,3)))</f>
        <v/>
      </c>
      <c r="AE466" s="64" t="str">
        <f>IF($B466="","",(COUNTIFS(Rships!$C$2:$C$9990,$A466,Rships!$D$2:$D$9990,4)))</f>
        <v/>
      </c>
      <c r="AF466" s="64" t="str">
        <f>IF($B466="","",(COUNTIFS(Rships!$C$2:$C$9990,$A466,Rships!$D$2:$D$9990,5)))</f>
        <v/>
      </c>
      <c r="AG466" s="64" t="str">
        <f>IF($B466="","",(COUNTIFS(Rships!$C$2:$C$9990,$A466,Rships!$D$2:$D$9990,6)))</f>
        <v/>
      </c>
      <c r="AH466" s="64" t="str">
        <f>IF($B466="","",(COUNTIFS(Rships!$C$2:$C$9990,$A466,Rships!$D$2:$D$9990,7)))</f>
        <v/>
      </c>
    </row>
    <row r="467" spans="1:34">
      <c r="A467" s="1" t="s">
        <v>719</v>
      </c>
      <c r="C467" s="11" t="s">
        <v>19</v>
      </c>
      <c r="D467" s="11" t="s">
        <v>21</v>
      </c>
      <c r="F467" s="15"/>
      <c r="G467" s="15"/>
      <c r="I467" s="17"/>
      <c r="O467" s="11" t="s">
        <v>27</v>
      </c>
      <c r="Y467" s="64">
        <f t="shared" si="14"/>
        <v>0</v>
      </c>
      <c r="AA467" s="64">
        <f t="shared" si="15"/>
        <v>0</v>
      </c>
      <c r="AB467" s="64" t="str">
        <f>IF($B467="","",(COUNTIFS(Rships!$C$2:$C$9990,$A467,Rships!$D$2:$D$9990,1)))</f>
        <v/>
      </c>
      <c r="AC467" s="64" t="str">
        <f>IF($B467="","",(COUNTIFS(Rships!$C$2:$C$9990,$A467,Rships!$D$2:$D$9990,2)))</f>
        <v/>
      </c>
      <c r="AD467" s="64" t="str">
        <f>IF($B467="","",(COUNTIFS(Rships!$C$2:$C$9990,$A467,Rships!$D$2:$D$9990,3)))</f>
        <v/>
      </c>
      <c r="AE467" s="64" t="str">
        <f>IF($B467="","",(COUNTIFS(Rships!$C$2:$C$9990,$A467,Rships!$D$2:$D$9990,4)))</f>
        <v/>
      </c>
      <c r="AF467" s="64" t="str">
        <f>IF($B467="","",(COUNTIFS(Rships!$C$2:$C$9990,$A467,Rships!$D$2:$D$9990,5)))</f>
        <v/>
      </c>
      <c r="AG467" s="64" t="str">
        <f>IF($B467="","",(COUNTIFS(Rships!$C$2:$C$9990,$A467,Rships!$D$2:$D$9990,6)))</f>
        <v/>
      </c>
      <c r="AH467" s="64" t="str">
        <f>IF($B467="","",(COUNTIFS(Rships!$C$2:$C$9990,$A467,Rships!$D$2:$D$9990,7)))</f>
        <v/>
      </c>
    </row>
    <row r="468" spans="1:34">
      <c r="A468" s="1" t="s">
        <v>720</v>
      </c>
      <c r="C468" s="11" t="s">
        <v>19</v>
      </c>
      <c r="D468" s="11" t="s">
        <v>21</v>
      </c>
      <c r="F468" s="15"/>
      <c r="G468" s="15"/>
      <c r="I468" s="17"/>
      <c r="O468" s="11" t="s">
        <v>27</v>
      </c>
      <c r="Y468" s="64">
        <f t="shared" si="14"/>
        <v>0</v>
      </c>
      <c r="AA468" s="64">
        <f t="shared" si="15"/>
        <v>0</v>
      </c>
      <c r="AB468" s="64" t="str">
        <f>IF($B468="","",(COUNTIFS(Rships!$C$2:$C$9990,$A468,Rships!$D$2:$D$9990,1)))</f>
        <v/>
      </c>
      <c r="AC468" s="64" t="str">
        <f>IF($B468="","",(COUNTIFS(Rships!$C$2:$C$9990,$A468,Rships!$D$2:$D$9990,2)))</f>
        <v/>
      </c>
      <c r="AD468" s="64" t="str">
        <f>IF($B468="","",(COUNTIFS(Rships!$C$2:$C$9990,$A468,Rships!$D$2:$D$9990,3)))</f>
        <v/>
      </c>
      <c r="AE468" s="64" t="str">
        <f>IF($B468="","",(COUNTIFS(Rships!$C$2:$C$9990,$A468,Rships!$D$2:$D$9990,4)))</f>
        <v/>
      </c>
      <c r="AF468" s="64" t="str">
        <f>IF($B468="","",(COUNTIFS(Rships!$C$2:$C$9990,$A468,Rships!$D$2:$D$9990,5)))</f>
        <v/>
      </c>
      <c r="AG468" s="64" t="str">
        <f>IF($B468="","",(COUNTIFS(Rships!$C$2:$C$9990,$A468,Rships!$D$2:$D$9990,6)))</f>
        <v/>
      </c>
      <c r="AH468" s="64" t="str">
        <f>IF($B468="","",(COUNTIFS(Rships!$C$2:$C$9990,$A468,Rships!$D$2:$D$9990,7)))</f>
        <v/>
      </c>
    </row>
    <row r="469" spans="1:34">
      <c r="A469" s="1" t="s">
        <v>721</v>
      </c>
      <c r="C469" s="11" t="s">
        <v>19</v>
      </c>
      <c r="D469" s="11" t="s">
        <v>21</v>
      </c>
      <c r="F469" s="15"/>
      <c r="G469" s="15"/>
      <c r="I469" s="17"/>
      <c r="O469" s="11" t="s">
        <v>27</v>
      </c>
      <c r="Y469" s="64">
        <f t="shared" si="14"/>
        <v>0</v>
      </c>
      <c r="AA469" s="64">
        <f t="shared" si="15"/>
        <v>0</v>
      </c>
      <c r="AB469" s="64" t="str">
        <f>IF($B469="","",(COUNTIFS(Rships!$C$2:$C$9990,$A469,Rships!$D$2:$D$9990,1)))</f>
        <v/>
      </c>
      <c r="AC469" s="64" t="str">
        <f>IF($B469="","",(COUNTIFS(Rships!$C$2:$C$9990,$A469,Rships!$D$2:$D$9990,2)))</f>
        <v/>
      </c>
      <c r="AD469" s="64" t="str">
        <f>IF($B469="","",(COUNTIFS(Rships!$C$2:$C$9990,$A469,Rships!$D$2:$D$9990,3)))</f>
        <v/>
      </c>
      <c r="AE469" s="64" t="str">
        <f>IF($B469="","",(COUNTIFS(Rships!$C$2:$C$9990,$A469,Rships!$D$2:$D$9990,4)))</f>
        <v/>
      </c>
      <c r="AF469" s="64" t="str">
        <f>IF($B469="","",(COUNTIFS(Rships!$C$2:$C$9990,$A469,Rships!$D$2:$D$9990,5)))</f>
        <v/>
      </c>
      <c r="AG469" s="64" t="str">
        <f>IF($B469="","",(COUNTIFS(Rships!$C$2:$C$9990,$A469,Rships!$D$2:$D$9990,6)))</f>
        <v/>
      </c>
      <c r="AH469" s="64" t="str">
        <f>IF($B469="","",(COUNTIFS(Rships!$C$2:$C$9990,$A469,Rships!$D$2:$D$9990,7)))</f>
        <v/>
      </c>
    </row>
    <row r="470" spans="1:34">
      <c r="A470" s="1" t="s">
        <v>722</v>
      </c>
      <c r="C470" s="11" t="s">
        <v>19</v>
      </c>
      <c r="D470" s="11" t="s">
        <v>21</v>
      </c>
      <c r="F470" s="15"/>
      <c r="G470" s="15"/>
      <c r="I470" s="17"/>
      <c r="O470" s="11" t="s">
        <v>27</v>
      </c>
      <c r="Y470" s="64">
        <f t="shared" si="14"/>
        <v>0</v>
      </c>
      <c r="AA470" s="64">
        <f t="shared" si="15"/>
        <v>0</v>
      </c>
      <c r="AB470" s="64" t="str">
        <f>IF($B470="","",(COUNTIFS(Rships!$C$2:$C$9990,$A470,Rships!$D$2:$D$9990,1)))</f>
        <v/>
      </c>
      <c r="AC470" s="64" t="str">
        <f>IF($B470="","",(COUNTIFS(Rships!$C$2:$C$9990,$A470,Rships!$D$2:$D$9990,2)))</f>
        <v/>
      </c>
      <c r="AD470" s="64" t="str">
        <f>IF($B470="","",(COUNTIFS(Rships!$C$2:$C$9990,$A470,Rships!$D$2:$D$9990,3)))</f>
        <v/>
      </c>
      <c r="AE470" s="64" t="str">
        <f>IF($B470="","",(COUNTIFS(Rships!$C$2:$C$9990,$A470,Rships!$D$2:$D$9990,4)))</f>
        <v/>
      </c>
      <c r="AF470" s="64" t="str">
        <f>IF($B470="","",(COUNTIFS(Rships!$C$2:$C$9990,$A470,Rships!$D$2:$D$9990,5)))</f>
        <v/>
      </c>
      <c r="AG470" s="64" t="str">
        <f>IF($B470="","",(COUNTIFS(Rships!$C$2:$C$9990,$A470,Rships!$D$2:$D$9990,6)))</f>
        <v/>
      </c>
      <c r="AH470" s="64" t="str">
        <f>IF($B470="","",(COUNTIFS(Rships!$C$2:$C$9990,$A470,Rships!$D$2:$D$9990,7)))</f>
        <v/>
      </c>
    </row>
    <row r="471" spans="1:34">
      <c r="A471" s="1" t="s">
        <v>723</v>
      </c>
      <c r="C471" s="11" t="s">
        <v>19</v>
      </c>
      <c r="D471" s="11" t="s">
        <v>21</v>
      </c>
      <c r="F471" s="15"/>
      <c r="G471" s="15"/>
      <c r="I471" s="17"/>
      <c r="O471" s="11" t="s">
        <v>27</v>
      </c>
      <c r="Y471" s="64">
        <f t="shared" si="14"/>
        <v>0</v>
      </c>
      <c r="AA471" s="64">
        <f t="shared" si="15"/>
        <v>0</v>
      </c>
      <c r="AB471" s="64" t="str">
        <f>IF($B471="","",(COUNTIFS(Rships!$C$2:$C$9990,$A471,Rships!$D$2:$D$9990,1)))</f>
        <v/>
      </c>
      <c r="AC471" s="64" t="str">
        <f>IF($B471="","",(COUNTIFS(Rships!$C$2:$C$9990,$A471,Rships!$D$2:$D$9990,2)))</f>
        <v/>
      </c>
      <c r="AD471" s="64" t="str">
        <f>IF($B471="","",(COUNTIFS(Rships!$C$2:$C$9990,$A471,Rships!$D$2:$D$9990,3)))</f>
        <v/>
      </c>
      <c r="AE471" s="64" t="str">
        <f>IF($B471="","",(COUNTIFS(Rships!$C$2:$C$9990,$A471,Rships!$D$2:$D$9990,4)))</f>
        <v/>
      </c>
      <c r="AF471" s="64" t="str">
        <f>IF($B471="","",(COUNTIFS(Rships!$C$2:$C$9990,$A471,Rships!$D$2:$D$9990,5)))</f>
        <v/>
      </c>
      <c r="AG471" s="64" t="str">
        <f>IF($B471="","",(COUNTIFS(Rships!$C$2:$C$9990,$A471,Rships!$D$2:$D$9990,6)))</f>
        <v/>
      </c>
      <c r="AH471" s="64" t="str">
        <f>IF($B471="","",(COUNTIFS(Rships!$C$2:$C$9990,$A471,Rships!$D$2:$D$9990,7)))</f>
        <v/>
      </c>
    </row>
    <row r="472" spans="1:34">
      <c r="A472" s="1" t="s">
        <v>724</v>
      </c>
      <c r="C472" s="11" t="s">
        <v>19</v>
      </c>
      <c r="D472" s="11" t="s">
        <v>21</v>
      </c>
      <c r="F472" s="15"/>
      <c r="G472" s="15"/>
      <c r="I472" s="17"/>
      <c r="O472" s="11" t="s">
        <v>27</v>
      </c>
      <c r="Y472" s="64">
        <f t="shared" si="14"/>
        <v>0</v>
      </c>
      <c r="AA472" s="64">
        <f t="shared" si="15"/>
        <v>0</v>
      </c>
      <c r="AB472" s="64" t="str">
        <f>IF($B472="","",(COUNTIFS(Rships!$C$2:$C$9990,$A472,Rships!$D$2:$D$9990,1)))</f>
        <v/>
      </c>
      <c r="AC472" s="64" t="str">
        <f>IF($B472="","",(COUNTIFS(Rships!$C$2:$C$9990,$A472,Rships!$D$2:$D$9990,2)))</f>
        <v/>
      </c>
      <c r="AD472" s="64" t="str">
        <f>IF($B472="","",(COUNTIFS(Rships!$C$2:$C$9990,$A472,Rships!$D$2:$D$9990,3)))</f>
        <v/>
      </c>
      <c r="AE472" s="64" t="str">
        <f>IF($B472="","",(COUNTIFS(Rships!$C$2:$C$9990,$A472,Rships!$D$2:$D$9990,4)))</f>
        <v/>
      </c>
      <c r="AF472" s="64" t="str">
        <f>IF($B472="","",(COUNTIFS(Rships!$C$2:$C$9990,$A472,Rships!$D$2:$D$9990,5)))</f>
        <v/>
      </c>
      <c r="AG472" s="64" t="str">
        <f>IF($B472="","",(COUNTIFS(Rships!$C$2:$C$9990,$A472,Rships!$D$2:$D$9990,6)))</f>
        <v/>
      </c>
      <c r="AH472" s="64" t="str">
        <f>IF($B472="","",(COUNTIFS(Rships!$C$2:$C$9990,$A472,Rships!$D$2:$D$9990,7)))</f>
        <v/>
      </c>
    </row>
    <row r="473" spans="1:34">
      <c r="A473" s="1" t="s">
        <v>725</v>
      </c>
      <c r="C473" s="11" t="s">
        <v>19</v>
      </c>
      <c r="D473" s="11" t="s">
        <v>21</v>
      </c>
      <c r="F473" s="15"/>
      <c r="G473" s="15"/>
      <c r="I473" s="17"/>
      <c r="O473" s="11" t="s">
        <v>27</v>
      </c>
      <c r="Y473" s="64">
        <f t="shared" si="14"/>
        <v>0</v>
      </c>
      <c r="AA473" s="64">
        <f t="shared" si="15"/>
        <v>0</v>
      </c>
      <c r="AB473" s="64" t="str">
        <f>IF($B473="","",(COUNTIFS(Rships!$C$2:$C$9990,$A473,Rships!$D$2:$D$9990,1)))</f>
        <v/>
      </c>
      <c r="AC473" s="64" t="str">
        <f>IF($B473="","",(COUNTIFS(Rships!$C$2:$C$9990,$A473,Rships!$D$2:$D$9990,2)))</f>
        <v/>
      </c>
      <c r="AD473" s="64" t="str">
        <f>IF($B473="","",(COUNTIFS(Rships!$C$2:$C$9990,$A473,Rships!$D$2:$D$9990,3)))</f>
        <v/>
      </c>
      <c r="AE473" s="64" t="str">
        <f>IF($B473="","",(COUNTIFS(Rships!$C$2:$C$9990,$A473,Rships!$D$2:$D$9990,4)))</f>
        <v/>
      </c>
      <c r="AF473" s="64" t="str">
        <f>IF($B473="","",(COUNTIFS(Rships!$C$2:$C$9990,$A473,Rships!$D$2:$D$9990,5)))</f>
        <v/>
      </c>
      <c r="AG473" s="64" t="str">
        <f>IF($B473="","",(COUNTIFS(Rships!$C$2:$C$9990,$A473,Rships!$D$2:$D$9990,6)))</f>
        <v/>
      </c>
      <c r="AH473" s="64" t="str">
        <f>IF($B473="","",(COUNTIFS(Rships!$C$2:$C$9990,$A473,Rships!$D$2:$D$9990,7)))</f>
        <v/>
      </c>
    </row>
    <row r="474" spans="1:34">
      <c r="A474" s="1" t="s">
        <v>726</v>
      </c>
      <c r="C474" s="11" t="s">
        <v>19</v>
      </c>
      <c r="D474" s="11" t="s">
        <v>21</v>
      </c>
      <c r="F474" s="15"/>
      <c r="G474" s="15"/>
      <c r="I474" s="17"/>
      <c r="O474" s="11" t="s">
        <v>27</v>
      </c>
      <c r="Y474" s="64">
        <f t="shared" si="14"/>
        <v>0</v>
      </c>
      <c r="AA474" s="64">
        <f t="shared" si="15"/>
        <v>0</v>
      </c>
      <c r="AB474" s="64" t="str">
        <f>IF($B474="","",(COUNTIFS(Rships!$C$2:$C$9990,$A474,Rships!$D$2:$D$9990,1)))</f>
        <v/>
      </c>
      <c r="AC474" s="64" t="str">
        <f>IF($B474="","",(COUNTIFS(Rships!$C$2:$C$9990,$A474,Rships!$D$2:$D$9990,2)))</f>
        <v/>
      </c>
      <c r="AD474" s="64" t="str">
        <f>IF($B474="","",(COUNTIFS(Rships!$C$2:$C$9990,$A474,Rships!$D$2:$D$9990,3)))</f>
        <v/>
      </c>
      <c r="AE474" s="64" t="str">
        <f>IF($B474="","",(COUNTIFS(Rships!$C$2:$C$9990,$A474,Rships!$D$2:$D$9990,4)))</f>
        <v/>
      </c>
      <c r="AF474" s="64" t="str">
        <f>IF($B474="","",(COUNTIFS(Rships!$C$2:$C$9990,$A474,Rships!$D$2:$D$9990,5)))</f>
        <v/>
      </c>
      <c r="AG474" s="64" t="str">
        <f>IF($B474="","",(COUNTIFS(Rships!$C$2:$C$9990,$A474,Rships!$D$2:$D$9990,6)))</f>
        <v/>
      </c>
      <c r="AH474" s="64" t="str">
        <f>IF($B474="","",(COUNTIFS(Rships!$C$2:$C$9990,$A474,Rships!$D$2:$D$9990,7)))</f>
        <v/>
      </c>
    </row>
    <row r="475" spans="1:34">
      <c r="A475" s="1" t="s">
        <v>727</v>
      </c>
      <c r="C475" s="11" t="s">
        <v>19</v>
      </c>
      <c r="D475" s="11" t="s">
        <v>21</v>
      </c>
      <c r="F475" s="15"/>
      <c r="G475" s="15"/>
      <c r="I475" s="17"/>
      <c r="O475" s="11" t="s">
        <v>27</v>
      </c>
      <c r="Y475" s="64">
        <f t="shared" si="14"/>
        <v>0</v>
      </c>
      <c r="AA475" s="64">
        <f t="shared" si="15"/>
        <v>0</v>
      </c>
      <c r="AB475" s="64" t="str">
        <f>IF($B475="","",(COUNTIFS(Rships!$C$2:$C$9990,$A475,Rships!$D$2:$D$9990,1)))</f>
        <v/>
      </c>
      <c r="AC475" s="64" t="str">
        <f>IF($B475="","",(COUNTIFS(Rships!$C$2:$C$9990,$A475,Rships!$D$2:$D$9990,2)))</f>
        <v/>
      </c>
      <c r="AD475" s="64" t="str">
        <f>IF($B475="","",(COUNTIFS(Rships!$C$2:$C$9990,$A475,Rships!$D$2:$D$9990,3)))</f>
        <v/>
      </c>
      <c r="AE475" s="64" t="str">
        <f>IF($B475="","",(COUNTIFS(Rships!$C$2:$C$9990,$A475,Rships!$D$2:$D$9990,4)))</f>
        <v/>
      </c>
      <c r="AF475" s="64" t="str">
        <f>IF($B475="","",(COUNTIFS(Rships!$C$2:$C$9990,$A475,Rships!$D$2:$D$9990,5)))</f>
        <v/>
      </c>
      <c r="AG475" s="64" t="str">
        <f>IF($B475="","",(COUNTIFS(Rships!$C$2:$C$9990,$A475,Rships!$D$2:$D$9990,6)))</f>
        <v/>
      </c>
      <c r="AH475" s="64" t="str">
        <f>IF($B475="","",(COUNTIFS(Rships!$C$2:$C$9990,$A475,Rships!$D$2:$D$9990,7)))</f>
        <v/>
      </c>
    </row>
    <row r="476" spans="1:34">
      <c r="A476" s="1" t="s">
        <v>728</v>
      </c>
      <c r="C476" s="11" t="s">
        <v>19</v>
      </c>
      <c r="D476" s="11" t="s">
        <v>21</v>
      </c>
      <c r="F476" s="15"/>
      <c r="G476" s="15"/>
      <c r="I476" s="17"/>
      <c r="O476" s="11" t="s">
        <v>27</v>
      </c>
      <c r="Y476" s="64">
        <f t="shared" si="14"/>
        <v>0</v>
      </c>
      <c r="AA476" s="64">
        <f t="shared" si="15"/>
        <v>0</v>
      </c>
      <c r="AB476" s="64" t="str">
        <f>IF($B476="","",(COUNTIFS(Rships!$C$2:$C$9990,$A476,Rships!$D$2:$D$9990,1)))</f>
        <v/>
      </c>
      <c r="AC476" s="64" t="str">
        <f>IF($B476="","",(COUNTIFS(Rships!$C$2:$C$9990,$A476,Rships!$D$2:$D$9990,2)))</f>
        <v/>
      </c>
      <c r="AD476" s="64" t="str">
        <f>IF($B476="","",(COUNTIFS(Rships!$C$2:$C$9990,$A476,Rships!$D$2:$D$9990,3)))</f>
        <v/>
      </c>
      <c r="AE476" s="64" t="str">
        <f>IF($B476="","",(COUNTIFS(Rships!$C$2:$C$9990,$A476,Rships!$D$2:$D$9990,4)))</f>
        <v/>
      </c>
      <c r="AF476" s="64" t="str">
        <f>IF($B476="","",(COUNTIFS(Rships!$C$2:$C$9990,$A476,Rships!$D$2:$D$9990,5)))</f>
        <v/>
      </c>
      <c r="AG476" s="64" t="str">
        <f>IF($B476="","",(COUNTIFS(Rships!$C$2:$C$9990,$A476,Rships!$D$2:$D$9990,6)))</f>
        <v/>
      </c>
      <c r="AH476" s="64" t="str">
        <f>IF($B476="","",(COUNTIFS(Rships!$C$2:$C$9990,$A476,Rships!$D$2:$D$9990,7)))</f>
        <v/>
      </c>
    </row>
    <row r="477" spans="1:34">
      <c r="A477" s="1" t="s">
        <v>729</v>
      </c>
      <c r="C477" s="11" t="s">
        <v>19</v>
      </c>
      <c r="D477" s="11" t="s">
        <v>21</v>
      </c>
      <c r="F477" s="15"/>
      <c r="G477" s="15"/>
      <c r="I477" s="17"/>
      <c r="O477" s="11" t="s">
        <v>27</v>
      </c>
      <c r="Y477" s="64">
        <f t="shared" si="14"/>
        <v>0</v>
      </c>
      <c r="AA477" s="64">
        <f t="shared" si="15"/>
        <v>0</v>
      </c>
      <c r="AB477" s="64" t="str">
        <f>IF($B477="","",(COUNTIFS(Rships!$C$2:$C$9990,$A477,Rships!$D$2:$D$9990,1)))</f>
        <v/>
      </c>
      <c r="AC477" s="64" t="str">
        <f>IF($B477="","",(COUNTIFS(Rships!$C$2:$C$9990,$A477,Rships!$D$2:$D$9990,2)))</f>
        <v/>
      </c>
      <c r="AD477" s="64" t="str">
        <f>IF($B477="","",(COUNTIFS(Rships!$C$2:$C$9990,$A477,Rships!$D$2:$D$9990,3)))</f>
        <v/>
      </c>
      <c r="AE477" s="64" t="str">
        <f>IF($B477="","",(COUNTIFS(Rships!$C$2:$C$9990,$A477,Rships!$D$2:$D$9990,4)))</f>
        <v/>
      </c>
      <c r="AF477" s="64" t="str">
        <f>IF($B477="","",(COUNTIFS(Rships!$C$2:$C$9990,$A477,Rships!$D$2:$D$9990,5)))</f>
        <v/>
      </c>
      <c r="AG477" s="64" t="str">
        <f>IF($B477="","",(COUNTIFS(Rships!$C$2:$C$9990,$A477,Rships!$D$2:$D$9990,6)))</f>
        <v/>
      </c>
      <c r="AH477" s="64" t="str">
        <f>IF($B477="","",(COUNTIFS(Rships!$C$2:$C$9990,$A477,Rships!$D$2:$D$9990,7)))</f>
        <v/>
      </c>
    </row>
    <row r="478" spans="1:34">
      <c r="A478" s="1" t="s">
        <v>730</v>
      </c>
      <c r="C478" s="11" t="s">
        <v>19</v>
      </c>
      <c r="D478" s="11" t="s">
        <v>21</v>
      </c>
      <c r="F478" s="15"/>
      <c r="G478" s="15"/>
      <c r="I478" s="17"/>
      <c r="O478" s="11" t="s">
        <v>27</v>
      </c>
      <c r="Y478" s="64">
        <f t="shared" si="14"/>
        <v>0</v>
      </c>
      <c r="AA478" s="64">
        <f t="shared" si="15"/>
        <v>0</v>
      </c>
      <c r="AB478" s="64" t="str">
        <f>IF($B478="","",(COUNTIFS(Rships!$C$2:$C$9990,$A478,Rships!$D$2:$D$9990,1)))</f>
        <v/>
      </c>
      <c r="AC478" s="64" t="str">
        <f>IF($B478="","",(COUNTIFS(Rships!$C$2:$C$9990,$A478,Rships!$D$2:$D$9990,2)))</f>
        <v/>
      </c>
      <c r="AD478" s="64" t="str">
        <f>IF($B478="","",(COUNTIFS(Rships!$C$2:$C$9990,$A478,Rships!$D$2:$D$9990,3)))</f>
        <v/>
      </c>
      <c r="AE478" s="64" t="str">
        <f>IF($B478="","",(COUNTIFS(Rships!$C$2:$C$9990,$A478,Rships!$D$2:$D$9990,4)))</f>
        <v/>
      </c>
      <c r="AF478" s="64" t="str">
        <f>IF($B478="","",(COUNTIFS(Rships!$C$2:$C$9990,$A478,Rships!$D$2:$D$9990,5)))</f>
        <v/>
      </c>
      <c r="AG478" s="64" t="str">
        <f>IF($B478="","",(COUNTIFS(Rships!$C$2:$C$9990,$A478,Rships!$D$2:$D$9990,6)))</f>
        <v/>
      </c>
      <c r="AH478" s="64" t="str">
        <f>IF($B478="","",(COUNTIFS(Rships!$C$2:$C$9990,$A478,Rships!$D$2:$D$9990,7)))</f>
        <v/>
      </c>
    </row>
    <row r="479" spans="1:34">
      <c r="A479" s="1" t="s">
        <v>731</v>
      </c>
      <c r="C479" s="11" t="s">
        <v>19</v>
      </c>
      <c r="D479" s="11" t="s">
        <v>21</v>
      </c>
      <c r="F479" s="15"/>
      <c r="G479" s="15"/>
      <c r="I479" s="17"/>
      <c r="O479" s="11" t="s">
        <v>27</v>
      </c>
      <c r="Y479" s="64">
        <f t="shared" si="14"/>
        <v>0</v>
      </c>
      <c r="AA479" s="64">
        <f t="shared" si="15"/>
        <v>0</v>
      </c>
      <c r="AB479" s="64" t="str">
        <f>IF($B479="","",(COUNTIFS(Rships!$C$2:$C$9990,$A479,Rships!$D$2:$D$9990,1)))</f>
        <v/>
      </c>
      <c r="AC479" s="64" t="str">
        <f>IF($B479="","",(COUNTIFS(Rships!$C$2:$C$9990,$A479,Rships!$D$2:$D$9990,2)))</f>
        <v/>
      </c>
      <c r="AD479" s="64" t="str">
        <f>IF($B479="","",(COUNTIFS(Rships!$C$2:$C$9990,$A479,Rships!$D$2:$D$9990,3)))</f>
        <v/>
      </c>
      <c r="AE479" s="64" t="str">
        <f>IF($B479="","",(COUNTIFS(Rships!$C$2:$C$9990,$A479,Rships!$D$2:$D$9990,4)))</f>
        <v/>
      </c>
      <c r="AF479" s="64" t="str">
        <f>IF($B479="","",(COUNTIFS(Rships!$C$2:$C$9990,$A479,Rships!$D$2:$D$9990,5)))</f>
        <v/>
      </c>
      <c r="AG479" s="64" t="str">
        <f>IF($B479="","",(COUNTIFS(Rships!$C$2:$C$9990,$A479,Rships!$D$2:$D$9990,6)))</f>
        <v/>
      </c>
      <c r="AH479" s="64" t="str">
        <f>IF($B479="","",(COUNTIFS(Rships!$C$2:$C$9990,$A479,Rships!$D$2:$D$9990,7)))</f>
        <v/>
      </c>
    </row>
    <row r="480" spans="1:34">
      <c r="A480" s="1" t="s">
        <v>732</v>
      </c>
      <c r="C480" s="11" t="s">
        <v>19</v>
      </c>
      <c r="D480" s="11" t="s">
        <v>21</v>
      </c>
      <c r="F480" s="15"/>
      <c r="G480" s="15"/>
      <c r="I480" s="17"/>
      <c r="O480" s="11" t="s">
        <v>27</v>
      </c>
      <c r="Y480" s="64">
        <f t="shared" si="14"/>
        <v>0</v>
      </c>
      <c r="AA480" s="64">
        <f t="shared" si="15"/>
        <v>0</v>
      </c>
      <c r="AB480" s="64" t="str">
        <f>IF($B480="","",(COUNTIFS(Rships!$C$2:$C$9990,$A480,Rships!$D$2:$D$9990,1)))</f>
        <v/>
      </c>
      <c r="AC480" s="64" t="str">
        <f>IF($B480="","",(COUNTIFS(Rships!$C$2:$C$9990,$A480,Rships!$D$2:$D$9990,2)))</f>
        <v/>
      </c>
      <c r="AD480" s="64" t="str">
        <f>IF($B480="","",(COUNTIFS(Rships!$C$2:$C$9990,$A480,Rships!$D$2:$D$9990,3)))</f>
        <v/>
      </c>
      <c r="AE480" s="64" t="str">
        <f>IF($B480="","",(COUNTIFS(Rships!$C$2:$C$9990,$A480,Rships!$D$2:$D$9990,4)))</f>
        <v/>
      </c>
      <c r="AF480" s="64" t="str">
        <f>IF($B480="","",(COUNTIFS(Rships!$C$2:$C$9990,$A480,Rships!$D$2:$D$9990,5)))</f>
        <v/>
      </c>
      <c r="AG480" s="64" t="str">
        <f>IF($B480="","",(COUNTIFS(Rships!$C$2:$C$9990,$A480,Rships!$D$2:$D$9990,6)))</f>
        <v/>
      </c>
      <c r="AH480" s="64" t="str">
        <f>IF($B480="","",(COUNTIFS(Rships!$C$2:$C$9990,$A480,Rships!$D$2:$D$9990,7)))</f>
        <v/>
      </c>
    </row>
    <row r="481" spans="1:34">
      <c r="A481" s="1" t="s">
        <v>733</v>
      </c>
      <c r="C481" s="11" t="s">
        <v>19</v>
      </c>
      <c r="D481" s="11" t="s">
        <v>21</v>
      </c>
      <c r="F481" s="15"/>
      <c r="G481" s="15"/>
      <c r="I481" s="17"/>
      <c r="O481" s="11" t="s">
        <v>27</v>
      </c>
      <c r="Y481" s="64">
        <f t="shared" si="14"/>
        <v>0</v>
      </c>
      <c r="AA481" s="64">
        <f t="shared" si="15"/>
        <v>0</v>
      </c>
      <c r="AB481" s="64" t="str">
        <f>IF($B481="","",(COUNTIFS(Rships!$C$2:$C$9990,$A481,Rships!$D$2:$D$9990,1)))</f>
        <v/>
      </c>
      <c r="AC481" s="64" t="str">
        <f>IF($B481="","",(COUNTIFS(Rships!$C$2:$C$9990,$A481,Rships!$D$2:$D$9990,2)))</f>
        <v/>
      </c>
      <c r="AD481" s="64" t="str">
        <f>IF($B481="","",(COUNTIFS(Rships!$C$2:$C$9990,$A481,Rships!$D$2:$D$9990,3)))</f>
        <v/>
      </c>
      <c r="AE481" s="64" t="str">
        <f>IF($B481="","",(COUNTIFS(Rships!$C$2:$C$9990,$A481,Rships!$D$2:$D$9990,4)))</f>
        <v/>
      </c>
      <c r="AF481" s="64" t="str">
        <f>IF($B481="","",(COUNTIFS(Rships!$C$2:$C$9990,$A481,Rships!$D$2:$D$9990,5)))</f>
        <v/>
      </c>
      <c r="AG481" s="64" t="str">
        <f>IF($B481="","",(COUNTIFS(Rships!$C$2:$C$9990,$A481,Rships!$D$2:$D$9990,6)))</f>
        <v/>
      </c>
      <c r="AH481" s="64" t="str">
        <f>IF($B481="","",(COUNTIFS(Rships!$C$2:$C$9990,$A481,Rships!$D$2:$D$9990,7)))</f>
        <v/>
      </c>
    </row>
    <row r="482" spans="1:34">
      <c r="A482" s="1" t="s">
        <v>734</v>
      </c>
      <c r="C482" s="11" t="s">
        <v>19</v>
      </c>
      <c r="D482" s="11" t="s">
        <v>21</v>
      </c>
      <c r="F482" s="15"/>
      <c r="G482" s="15"/>
      <c r="I482" s="17"/>
      <c r="O482" s="11" t="s">
        <v>27</v>
      </c>
      <c r="Y482" s="64">
        <f t="shared" si="14"/>
        <v>0</v>
      </c>
      <c r="AA482" s="64">
        <f t="shared" si="15"/>
        <v>0</v>
      </c>
      <c r="AB482" s="64" t="str">
        <f>IF($B482="","",(COUNTIFS(Rships!$C$2:$C$9990,$A482,Rships!$D$2:$D$9990,1)))</f>
        <v/>
      </c>
      <c r="AC482" s="64" t="str">
        <f>IF($B482="","",(COUNTIFS(Rships!$C$2:$C$9990,$A482,Rships!$D$2:$D$9990,2)))</f>
        <v/>
      </c>
      <c r="AD482" s="64" t="str">
        <f>IF($B482="","",(COUNTIFS(Rships!$C$2:$C$9990,$A482,Rships!$D$2:$D$9990,3)))</f>
        <v/>
      </c>
      <c r="AE482" s="64" t="str">
        <f>IF($B482="","",(COUNTIFS(Rships!$C$2:$C$9990,$A482,Rships!$D$2:$D$9990,4)))</f>
        <v/>
      </c>
      <c r="AF482" s="64" t="str">
        <f>IF($B482="","",(COUNTIFS(Rships!$C$2:$C$9990,$A482,Rships!$D$2:$D$9990,5)))</f>
        <v/>
      </c>
      <c r="AG482" s="64" t="str">
        <f>IF($B482="","",(COUNTIFS(Rships!$C$2:$C$9990,$A482,Rships!$D$2:$D$9990,6)))</f>
        <v/>
      </c>
      <c r="AH482" s="64" t="str">
        <f>IF($B482="","",(COUNTIFS(Rships!$C$2:$C$9990,$A482,Rships!$D$2:$D$9990,7)))</f>
        <v/>
      </c>
    </row>
    <row r="483" spans="1:34">
      <c r="A483" s="1" t="s">
        <v>735</v>
      </c>
      <c r="C483" s="11" t="s">
        <v>19</v>
      </c>
      <c r="D483" s="11" t="s">
        <v>21</v>
      </c>
      <c r="F483" s="15"/>
      <c r="G483" s="15"/>
      <c r="I483" s="17"/>
      <c r="O483" s="11" t="s">
        <v>27</v>
      </c>
      <c r="Y483" s="64">
        <f t="shared" si="14"/>
        <v>0</v>
      </c>
      <c r="AA483" s="64">
        <f t="shared" si="15"/>
        <v>0</v>
      </c>
      <c r="AB483" s="64" t="str">
        <f>IF($B483="","",(COUNTIFS(Rships!$C$2:$C$9990,$A483,Rships!$D$2:$D$9990,1)))</f>
        <v/>
      </c>
      <c r="AC483" s="64" t="str">
        <f>IF($B483="","",(COUNTIFS(Rships!$C$2:$C$9990,$A483,Rships!$D$2:$D$9990,2)))</f>
        <v/>
      </c>
      <c r="AD483" s="64" t="str">
        <f>IF($B483="","",(COUNTIFS(Rships!$C$2:$C$9990,$A483,Rships!$D$2:$D$9990,3)))</f>
        <v/>
      </c>
      <c r="AE483" s="64" t="str">
        <f>IF($B483="","",(COUNTIFS(Rships!$C$2:$C$9990,$A483,Rships!$D$2:$D$9990,4)))</f>
        <v/>
      </c>
      <c r="AF483" s="64" t="str">
        <f>IF($B483="","",(COUNTIFS(Rships!$C$2:$C$9990,$A483,Rships!$D$2:$D$9990,5)))</f>
        <v/>
      </c>
      <c r="AG483" s="64" t="str">
        <f>IF($B483="","",(COUNTIFS(Rships!$C$2:$C$9990,$A483,Rships!$D$2:$D$9990,6)))</f>
        <v/>
      </c>
      <c r="AH483" s="64" t="str">
        <f>IF($B483="","",(COUNTIFS(Rships!$C$2:$C$9990,$A483,Rships!$D$2:$D$9990,7)))</f>
        <v/>
      </c>
    </row>
    <row r="484" spans="1:34">
      <c r="A484" s="1" t="s">
        <v>736</v>
      </c>
      <c r="C484" s="11" t="s">
        <v>19</v>
      </c>
      <c r="D484" s="11" t="s">
        <v>21</v>
      </c>
      <c r="F484" s="15"/>
      <c r="G484" s="15"/>
      <c r="I484" s="17"/>
      <c r="O484" s="11" t="s">
        <v>27</v>
      </c>
      <c r="Y484" s="64">
        <f t="shared" si="14"/>
        <v>0</v>
      </c>
      <c r="AA484" s="64">
        <f t="shared" si="15"/>
        <v>0</v>
      </c>
      <c r="AB484" s="64" t="str">
        <f>IF($B484="","",(COUNTIFS(Rships!$C$2:$C$9990,$A484,Rships!$D$2:$D$9990,1)))</f>
        <v/>
      </c>
      <c r="AC484" s="64" t="str">
        <f>IF($B484="","",(COUNTIFS(Rships!$C$2:$C$9990,$A484,Rships!$D$2:$D$9990,2)))</f>
        <v/>
      </c>
      <c r="AD484" s="64" t="str">
        <f>IF($B484="","",(COUNTIFS(Rships!$C$2:$C$9990,$A484,Rships!$D$2:$D$9990,3)))</f>
        <v/>
      </c>
      <c r="AE484" s="64" t="str">
        <f>IF($B484="","",(COUNTIFS(Rships!$C$2:$C$9990,$A484,Rships!$D$2:$D$9990,4)))</f>
        <v/>
      </c>
      <c r="AF484" s="64" t="str">
        <f>IF($B484="","",(COUNTIFS(Rships!$C$2:$C$9990,$A484,Rships!$D$2:$D$9990,5)))</f>
        <v/>
      </c>
      <c r="AG484" s="64" t="str">
        <f>IF($B484="","",(COUNTIFS(Rships!$C$2:$C$9990,$A484,Rships!$D$2:$D$9990,6)))</f>
        <v/>
      </c>
      <c r="AH484" s="64" t="str">
        <f>IF($B484="","",(COUNTIFS(Rships!$C$2:$C$9990,$A484,Rships!$D$2:$D$9990,7)))</f>
        <v/>
      </c>
    </row>
    <row r="485" spans="1:34">
      <c r="A485" s="1" t="s">
        <v>737</v>
      </c>
      <c r="C485" s="11" t="s">
        <v>19</v>
      </c>
      <c r="D485" s="11" t="s">
        <v>21</v>
      </c>
      <c r="F485" s="15"/>
      <c r="G485" s="15"/>
      <c r="I485" s="17"/>
      <c r="O485" s="11" t="s">
        <v>27</v>
      </c>
      <c r="Y485" s="64">
        <f t="shared" si="14"/>
        <v>0</v>
      </c>
      <c r="AA485" s="64">
        <f t="shared" si="15"/>
        <v>0</v>
      </c>
      <c r="AB485" s="64" t="str">
        <f>IF($B485="","",(COUNTIFS(Rships!$C$2:$C$9990,$A485,Rships!$D$2:$D$9990,1)))</f>
        <v/>
      </c>
      <c r="AC485" s="64" t="str">
        <f>IF($B485="","",(COUNTIFS(Rships!$C$2:$C$9990,$A485,Rships!$D$2:$D$9990,2)))</f>
        <v/>
      </c>
      <c r="AD485" s="64" t="str">
        <f>IF($B485="","",(COUNTIFS(Rships!$C$2:$C$9990,$A485,Rships!$D$2:$D$9990,3)))</f>
        <v/>
      </c>
      <c r="AE485" s="64" t="str">
        <f>IF($B485="","",(COUNTIFS(Rships!$C$2:$C$9990,$A485,Rships!$D$2:$D$9990,4)))</f>
        <v/>
      </c>
      <c r="AF485" s="64" t="str">
        <f>IF($B485="","",(COUNTIFS(Rships!$C$2:$C$9990,$A485,Rships!$D$2:$D$9990,5)))</f>
        <v/>
      </c>
      <c r="AG485" s="64" t="str">
        <f>IF($B485="","",(COUNTIFS(Rships!$C$2:$C$9990,$A485,Rships!$D$2:$D$9990,6)))</f>
        <v/>
      </c>
      <c r="AH485" s="64" t="str">
        <f>IF($B485="","",(COUNTIFS(Rships!$C$2:$C$9990,$A485,Rships!$D$2:$D$9990,7)))</f>
        <v/>
      </c>
    </row>
    <row r="486" spans="1:34">
      <c r="A486" s="1" t="s">
        <v>738</v>
      </c>
      <c r="C486" s="11" t="s">
        <v>19</v>
      </c>
      <c r="D486" s="11" t="s">
        <v>21</v>
      </c>
      <c r="F486" s="15"/>
      <c r="G486" s="15"/>
      <c r="I486" s="17"/>
      <c r="O486" s="11" t="s">
        <v>27</v>
      </c>
      <c r="Y486" s="64">
        <f t="shared" si="14"/>
        <v>0</v>
      </c>
      <c r="AA486" s="64">
        <f t="shared" si="15"/>
        <v>0</v>
      </c>
      <c r="AB486" s="64" t="str">
        <f>IF($B486="","",(COUNTIFS(Rships!$C$2:$C$9990,$A486,Rships!$D$2:$D$9990,1)))</f>
        <v/>
      </c>
      <c r="AC486" s="64" t="str">
        <f>IF($B486="","",(COUNTIFS(Rships!$C$2:$C$9990,$A486,Rships!$D$2:$D$9990,2)))</f>
        <v/>
      </c>
      <c r="AD486" s="64" t="str">
        <f>IF($B486="","",(COUNTIFS(Rships!$C$2:$C$9990,$A486,Rships!$D$2:$D$9990,3)))</f>
        <v/>
      </c>
      <c r="AE486" s="64" t="str">
        <f>IF($B486="","",(COUNTIFS(Rships!$C$2:$C$9990,$A486,Rships!$D$2:$D$9990,4)))</f>
        <v/>
      </c>
      <c r="AF486" s="64" t="str">
        <f>IF($B486="","",(COUNTIFS(Rships!$C$2:$C$9990,$A486,Rships!$D$2:$D$9990,5)))</f>
        <v/>
      </c>
      <c r="AG486" s="64" t="str">
        <f>IF($B486="","",(COUNTIFS(Rships!$C$2:$C$9990,$A486,Rships!$D$2:$D$9990,6)))</f>
        <v/>
      </c>
      <c r="AH486" s="64" t="str">
        <f>IF($B486="","",(COUNTIFS(Rships!$C$2:$C$9990,$A486,Rships!$D$2:$D$9990,7)))</f>
        <v/>
      </c>
    </row>
    <row r="487" spans="1:34">
      <c r="A487" s="1" t="s">
        <v>739</v>
      </c>
      <c r="C487" s="11" t="s">
        <v>19</v>
      </c>
      <c r="D487" s="11" t="s">
        <v>21</v>
      </c>
      <c r="F487" s="15"/>
      <c r="G487" s="15"/>
      <c r="I487" s="17"/>
      <c r="O487" s="11" t="s">
        <v>27</v>
      </c>
      <c r="Y487" s="64">
        <f t="shared" si="14"/>
        <v>0</v>
      </c>
      <c r="AA487" s="64">
        <f t="shared" si="15"/>
        <v>0</v>
      </c>
      <c r="AB487" s="64" t="str">
        <f>IF($B487="","",(COUNTIFS(Rships!$C$2:$C$9990,$A487,Rships!$D$2:$D$9990,1)))</f>
        <v/>
      </c>
      <c r="AC487" s="64" t="str">
        <f>IF($B487="","",(COUNTIFS(Rships!$C$2:$C$9990,$A487,Rships!$D$2:$D$9990,2)))</f>
        <v/>
      </c>
      <c r="AD487" s="64" t="str">
        <f>IF($B487="","",(COUNTIFS(Rships!$C$2:$C$9990,$A487,Rships!$D$2:$D$9990,3)))</f>
        <v/>
      </c>
      <c r="AE487" s="64" t="str">
        <f>IF($B487="","",(COUNTIFS(Rships!$C$2:$C$9990,$A487,Rships!$D$2:$D$9990,4)))</f>
        <v/>
      </c>
      <c r="AF487" s="64" t="str">
        <f>IF($B487="","",(COUNTIFS(Rships!$C$2:$C$9990,$A487,Rships!$D$2:$D$9990,5)))</f>
        <v/>
      </c>
      <c r="AG487" s="64" t="str">
        <f>IF($B487="","",(COUNTIFS(Rships!$C$2:$C$9990,$A487,Rships!$D$2:$D$9990,6)))</f>
        <v/>
      </c>
      <c r="AH487" s="64" t="str">
        <f>IF($B487="","",(COUNTIFS(Rships!$C$2:$C$9990,$A487,Rships!$D$2:$D$9990,7)))</f>
        <v/>
      </c>
    </row>
    <row r="488" spans="1:34">
      <c r="A488" s="1" t="s">
        <v>740</v>
      </c>
      <c r="C488" s="11" t="s">
        <v>19</v>
      </c>
      <c r="D488" s="11" t="s">
        <v>21</v>
      </c>
      <c r="F488" s="15"/>
      <c r="G488" s="15"/>
      <c r="I488" s="17"/>
      <c r="O488" s="11" t="s">
        <v>27</v>
      </c>
      <c r="Y488" s="64">
        <f t="shared" si="14"/>
        <v>0</v>
      </c>
      <c r="AA488" s="64">
        <f t="shared" si="15"/>
        <v>0</v>
      </c>
      <c r="AB488" s="64" t="str">
        <f>IF($B488="","",(COUNTIFS(Rships!$C$2:$C$9990,$A488,Rships!$D$2:$D$9990,1)))</f>
        <v/>
      </c>
      <c r="AC488" s="64" t="str">
        <f>IF($B488="","",(COUNTIFS(Rships!$C$2:$C$9990,$A488,Rships!$D$2:$D$9990,2)))</f>
        <v/>
      </c>
      <c r="AD488" s="64" t="str">
        <f>IF($B488="","",(COUNTIFS(Rships!$C$2:$C$9990,$A488,Rships!$D$2:$D$9990,3)))</f>
        <v/>
      </c>
      <c r="AE488" s="64" t="str">
        <f>IF($B488="","",(COUNTIFS(Rships!$C$2:$C$9990,$A488,Rships!$D$2:$D$9990,4)))</f>
        <v/>
      </c>
      <c r="AF488" s="64" t="str">
        <f>IF($B488="","",(COUNTIFS(Rships!$C$2:$C$9990,$A488,Rships!$D$2:$D$9990,5)))</f>
        <v/>
      </c>
      <c r="AG488" s="64" t="str">
        <f>IF($B488="","",(COUNTIFS(Rships!$C$2:$C$9990,$A488,Rships!$D$2:$D$9990,6)))</f>
        <v/>
      </c>
      <c r="AH488" s="64" t="str">
        <f>IF($B488="","",(COUNTIFS(Rships!$C$2:$C$9990,$A488,Rships!$D$2:$D$9990,7)))</f>
        <v/>
      </c>
    </row>
    <row r="489" spans="1:34">
      <c r="A489" s="1" t="s">
        <v>741</v>
      </c>
      <c r="C489" s="11" t="s">
        <v>19</v>
      </c>
      <c r="D489" s="11" t="s">
        <v>21</v>
      </c>
      <c r="F489" s="15"/>
      <c r="G489" s="15"/>
      <c r="I489" s="17"/>
      <c r="O489" s="11" t="s">
        <v>27</v>
      </c>
      <c r="Y489" s="64">
        <f t="shared" si="14"/>
        <v>0</v>
      </c>
      <c r="AA489" s="64">
        <f t="shared" si="15"/>
        <v>0</v>
      </c>
      <c r="AB489" s="64" t="str">
        <f>IF($B489="","",(COUNTIFS(Rships!$C$2:$C$9990,$A489,Rships!$D$2:$D$9990,1)))</f>
        <v/>
      </c>
      <c r="AC489" s="64" t="str">
        <f>IF($B489="","",(COUNTIFS(Rships!$C$2:$C$9990,$A489,Rships!$D$2:$D$9990,2)))</f>
        <v/>
      </c>
      <c r="AD489" s="64" t="str">
        <f>IF($B489="","",(COUNTIFS(Rships!$C$2:$C$9990,$A489,Rships!$D$2:$D$9990,3)))</f>
        <v/>
      </c>
      <c r="AE489" s="64" t="str">
        <f>IF($B489="","",(COUNTIFS(Rships!$C$2:$C$9990,$A489,Rships!$D$2:$D$9990,4)))</f>
        <v/>
      </c>
      <c r="AF489" s="64" t="str">
        <f>IF($B489="","",(COUNTIFS(Rships!$C$2:$C$9990,$A489,Rships!$D$2:$D$9990,5)))</f>
        <v/>
      </c>
      <c r="AG489" s="64" t="str">
        <f>IF($B489="","",(COUNTIFS(Rships!$C$2:$C$9990,$A489,Rships!$D$2:$D$9990,6)))</f>
        <v/>
      </c>
      <c r="AH489" s="64" t="str">
        <f>IF($B489="","",(COUNTIFS(Rships!$C$2:$C$9990,$A489,Rships!$D$2:$D$9990,7)))</f>
        <v/>
      </c>
    </row>
    <row r="490" spans="1:34">
      <c r="A490" s="1" t="s">
        <v>742</v>
      </c>
      <c r="C490" s="11" t="s">
        <v>19</v>
      </c>
      <c r="D490" s="11" t="s">
        <v>21</v>
      </c>
      <c r="F490" s="15"/>
      <c r="G490" s="15"/>
      <c r="I490" s="17"/>
      <c r="O490" s="11" t="s">
        <v>27</v>
      </c>
      <c r="Y490" s="64">
        <f t="shared" si="14"/>
        <v>0</v>
      </c>
      <c r="AA490" s="64">
        <f t="shared" si="15"/>
        <v>0</v>
      </c>
      <c r="AB490" s="64" t="str">
        <f>IF($B490="","",(COUNTIFS(Rships!$C$2:$C$9990,$A490,Rships!$D$2:$D$9990,1)))</f>
        <v/>
      </c>
      <c r="AC490" s="64" t="str">
        <f>IF($B490="","",(COUNTIFS(Rships!$C$2:$C$9990,$A490,Rships!$D$2:$D$9990,2)))</f>
        <v/>
      </c>
      <c r="AD490" s="64" t="str">
        <f>IF($B490="","",(COUNTIFS(Rships!$C$2:$C$9990,$A490,Rships!$D$2:$D$9990,3)))</f>
        <v/>
      </c>
      <c r="AE490" s="64" t="str">
        <f>IF($B490="","",(COUNTIFS(Rships!$C$2:$C$9990,$A490,Rships!$D$2:$D$9990,4)))</f>
        <v/>
      </c>
      <c r="AF490" s="64" t="str">
        <f>IF($B490="","",(COUNTIFS(Rships!$C$2:$C$9990,$A490,Rships!$D$2:$D$9990,5)))</f>
        <v/>
      </c>
      <c r="AG490" s="64" t="str">
        <f>IF($B490="","",(COUNTIFS(Rships!$C$2:$C$9990,$A490,Rships!$D$2:$D$9990,6)))</f>
        <v/>
      </c>
      <c r="AH490" s="64" t="str">
        <f>IF($B490="","",(COUNTIFS(Rships!$C$2:$C$9990,$A490,Rships!$D$2:$D$9990,7)))</f>
        <v/>
      </c>
    </row>
    <row r="491" spans="1:34">
      <c r="A491" s="1" t="s">
        <v>743</v>
      </c>
      <c r="C491" s="11" t="s">
        <v>19</v>
      </c>
      <c r="D491" s="11" t="s">
        <v>21</v>
      </c>
      <c r="F491" s="15"/>
      <c r="G491" s="15"/>
      <c r="I491" s="17"/>
      <c r="O491" s="11" t="s">
        <v>27</v>
      </c>
      <c r="Y491" s="64">
        <f t="shared" si="14"/>
        <v>0</v>
      </c>
      <c r="AA491" s="64">
        <f t="shared" si="15"/>
        <v>0</v>
      </c>
      <c r="AB491" s="64" t="str">
        <f>IF($B491="","",(COUNTIFS(Rships!$C$2:$C$9990,$A491,Rships!$D$2:$D$9990,1)))</f>
        <v/>
      </c>
      <c r="AC491" s="64" t="str">
        <f>IF($B491="","",(COUNTIFS(Rships!$C$2:$C$9990,$A491,Rships!$D$2:$D$9990,2)))</f>
        <v/>
      </c>
      <c r="AD491" s="64" t="str">
        <f>IF($B491="","",(COUNTIFS(Rships!$C$2:$C$9990,$A491,Rships!$D$2:$D$9990,3)))</f>
        <v/>
      </c>
      <c r="AE491" s="64" t="str">
        <f>IF($B491="","",(COUNTIFS(Rships!$C$2:$C$9990,$A491,Rships!$D$2:$D$9990,4)))</f>
        <v/>
      </c>
      <c r="AF491" s="64" t="str">
        <f>IF($B491="","",(COUNTIFS(Rships!$C$2:$C$9990,$A491,Rships!$D$2:$D$9990,5)))</f>
        <v/>
      </c>
      <c r="AG491" s="64" t="str">
        <f>IF($B491="","",(COUNTIFS(Rships!$C$2:$C$9990,$A491,Rships!$D$2:$D$9990,6)))</f>
        <v/>
      </c>
      <c r="AH491" s="64" t="str">
        <f>IF($B491="","",(COUNTIFS(Rships!$C$2:$C$9990,$A491,Rships!$D$2:$D$9990,7)))</f>
        <v/>
      </c>
    </row>
    <row r="492" spans="1:34">
      <c r="A492" s="1" t="s">
        <v>744</v>
      </c>
      <c r="C492" s="11" t="s">
        <v>19</v>
      </c>
      <c r="D492" s="11" t="s">
        <v>21</v>
      </c>
      <c r="F492" s="15"/>
      <c r="G492" s="15"/>
      <c r="I492" s="17"/>
      <c r="O492" s="11" t="s">
        <v>27</v>
      </c>
      <c r="Y492" s="64">
        <f t="shared" si="14"/>
        <v>0</v>
      </c>
      <c r="AA492" s="64">
        <f t="shared" si="15"/>
        <v>0</v>
      </c>
      <c r="AB492" s="64" t="str">
        <f>IF($B492="","",(COUNTIFS(Rships!$C$2:$C$9990,$A492,Rships!$D$2:$D$9990,1)))</f>
        <v/>
      </c>
      <c r="AC492" s="64" t="str">
        <f>IF($B492="","",(COUNTIFS(Rships!$C$2:$C$9990,$A492,Rships!$D$2:$D$9990,2)))</f>
        <v/>
      </c>
      <c r="AD492" s="64" t="str">
        <f>IF($B492="","",(COUNTIFS(Rships!$C$2:$C$9990,$A492,Rships!$D$2:$D$9990,3)))</f>
        <v/>
      </c>
      <c r="AE492" s="64" t="str">
        <f>IF($B492="","",(COUNTIFS(Rships!$C$2:$C$9990,$A492,Rships!$D$2:$D$9990,4)))</f>
        <v/>
      </c>
      <c r="AF492" s="64" t="str">
        <f>IF($B492="","",(COUNTIFS(Rships!$C$2:$C$9990,$A492,Rships!$D$2:$D$9990,5)))</f>
        <v/>
      </c>
      <c r="AG492" s="64" t="str">
        <f>IF($B492="","",(COUNTIFS(Rships!$C$2:$C$9990,$A492,Rships!$D$2:$D$9990,6)))</f>
        <v/>
      </c>
      <c r="AH492" s="64" t="str">
        <f>IF($B492="","",(COUNTIFS(Rships!$C$2:$C$9990,$A492,Rships!$D$2:$D$9990,7)))</f>
        <v/>
      </c>
    </row>
    <row r="493" spans="1:34">
      <c r="A493" s="1" t="s">
        <v>745</v>
      </c>
      <c r="C493" s="11" t="s">
        <v>19</v>
      </c>
      <c r="D493" s="11" t="s">
        <v>21</v>
      </c>
      <c r="F493" s="15"/>
      <c r="G493" s="15"/>
      <c r="I493" s="17"/>
      <c r="O493" s="11" t="s">
        <v>27</v>
      </c>
      <c r="Y493" s="64">
        <f t="shared" si="14"/>
        <v>0</v>
      </c>
      <c r="AA493" s="64">
        <f t="shared" si="15"/>
        <v>0</v>
      </c>
      <c r="AB493" s="64" t="str">
        <f>IF($B493="","",(COUNTIFS(Rships!$C$2:$C$9990,$A493,Rships!$D$2:$D$9990,1)))</f>
        <v/>
      </c>
      <c r="AC493" s="64" t="str">
        <f>IF($B493="","",(COUNTIFS(Rships!$C$2:$C$9990,$A493,Rships!$D$2:$D$9990,2)))</f>
        <v/>
      </c>
      <c r="AD493" s="64" t="str">
        <f>IF($B493="","",(COUNTIFS(Rships!$C$2:$C$9990,$A493,Rships!$D$2:$D$9990,3)))</f>
        <v/>
      </c>
      <c r="AE493" s="64" t="str">
        <f>IF($B493="","",(COUNTIFS(Rships!$C$2:$C$9990,$A493,Rships!$D$2:$D$9990,4)))</f>
        <v/>
      </c>
      <c r="AF493" s="64" t="str">
        <f>IF($B493="","",(COUNTIFS(Rships!$C$2:$C$9990,$A493,Rships!$D$2:$D$9990,5)))</f>
        <v/>
      </c>
      <c r="AG493" s="64" t="str">
        <f>IF($B493="","",(COUNTIFS(Rships!$C$2:$C$9990,$A493,Rships!$D$2:$D$9990,6)))</f>
        <v/>
      </c>
      <c r="AH493" s="64" t="str">
        <f>IF($B493="","",(COUNTIFS(Rships!$C$2:$C$9990,$A493,Rships!$D$2:$D$9990,7)))</f>
        <v/>
      </c>
    </row>
    <row r="494" spans="1:34">
      <c r="A494" s="1" t="s">
        <v>746</v>
      </c>
      <c r="C494" s="11" t="s">
        <v>19</v>
      </c>
      <c r="D494" s="11" t="s">
        <v>21</v>
      </c>
      <c r="F494" s="15"/>
      <c r="G494" s="15"/>
      <c r="I494" s="17"/>
      <c r="O494" s="11" t="s">
        <v>27</v>
      </c>
      <c r="Y494" s="64">
        <f t="shared" si="14"/>
        <v>0</v>
      </c>
      <c r="AA494" s="64">
        <f t="shared" si="15"/>
        <v>0</v>
      </c>
      <c r="AB494" s="64" t="str">
        <f>IF($B494="","",(COUNTIFS(Rships!$C$2:$C$9990,$A494,Rships!$D$2:$D$9990,1)))</f>
        <v/>
      </c>
      <c r="AC494" s="64" t="str">
        <f>IF($B494="","",(COUNTIFS(Rships!$C$2:$C$9990,$A494,Rships!$D$2:$D$9990,2)))</f>
        <v/>
      </c>
      <c r="AD494" s="64" t="str">
        <f>IF($B494="","",(COUNTIFS(Rships!$C$2:$C$9990,$A494,Rships!$D$2:$D$9990,3)))</f>
        <v/>
      </c>
      <c r="AE494" s="64" t="str">
        <f>IF($B494="","",(COUNTIFS(Rships!$C$2:$C$9990,$A494,Rships!$D$2:$D$9990,4)))</f>
        <v/>
      </c>
      <c r="AF494" s="64" t="str">
        <f>IF($B494="","",(COUNTIFS(Rships!$C$2:$C$9990,$A494,Rships!$D$2:$D$9990,5)))</f>
        <v/>
      </c>
      <c r="AG494" s="64" t="str">
        <f>IF($B494="","",(COUNTIFS(Rships!$C$2:$C$9990,$A494,Rships!$D$2:$D$9990,6)))</f>
        <v/>
      </c>
      <c r="AH494" s="64" t="str">
        <f>IF($B494="","",(COUNTIFS(Rships!$C$2:$C$9990,$A494,Rships!$D$2:$D$9990,7)))</f>
        <v/>
      </c>
    </row>
    <row r="495" spans="1:34">
      <c r="A495" s="1" t="s">
        <v>747</v>
      </c>
      <c r="C495" s="11" t="s">
        <v>19</v>
      </c>
      <c r="D495" s="11" t="s">
        <v>21</v>
      </c>
      <c r="F495" s="15"/>
      <c r="G495" s="15"/>
      <c r="I495" s="17"/>
      <c r="O495" s="11" t="s">
        <v>27</v>
      </c>
      <c r="Y495" s="64">
        <f t="shared" si="14"/>
        <v>0</v>
      </c>
      <c r="AA495" s="64">
        <f t="shared" si="15"/>
        <v>0</v>
      </c>
      <c r="AB495" s="64" t="str">
        <f>IF($B495="","",(COUNTIFS(Rships!$C$2:$C$9990,$A495,Rships!$D$2:$D$9990,1)))</f>
        <v/>
      </c>
      <c r="AC495" s="64" t="str">
        <f>IF($B495="","",(COUNTIFS(Rships!$C$2:$C$9990,$A495,Rships!$D$2:$D$9990,2)))</f>
        <v/>
      </c>
      <c r="AD495" s="64" t="str">
        <f>IF($B495="","",(COUNTIFS(Rships!$C$2:$C$9990,$A495,Rships!$D$2:$D$9990,3)))</f>
        <v/>
      </c>
      <c r="AE495" s="64" t="str">
        <f>IF($B495="","",(COUNTIFS(Rships!$C$2:$C$9990,$A495,Rships!$D$2:$D$9990,4)))</f>
        <v/>
      </c>
      <c r="AF495" s="64" t="str">
        <f>IF($B495="","",(COUNTIFS(Rships!$C$2:$C$9990,$A495,Rships!$D$2:$D$9990,5)))</f>
        <v/>
      </c>
      <c r="AG495" s="64" t="str">
        <f>IF($B495="","",(COUNTIFS(Rships!$C$2:$C$9990,$A495,Rships!$D$2:$D$9990,6)))</f>
        <v/>
      </c>
      <c r="AH495" s="64" t="str">
        <f>IF($B495="","",(COUNTIFS(Rships!$C$2:$C$9990,$A495,Rships!$D$2:$D$9990,7)))</f>
        <v/>
      </c>
    </row>
    <row r="496" spans="1:34">
      <c r="A496" s="1" t="s">
        <v>748</v>
      </c>
      <c r="C496" s="11" t="s">
        <v>19</v>
      </c>
      <c r="D496" s="11" t="s">
        <v>21</v>
      </c>
      <c r="F496" s="15"/>
      <c r="G496" s="15"/>
      <c r="I496" s="17"/>
      <c r="O496" s="11" t="s">
        <v>27</v>
      </c>
      <c r="Y496" s="64">
        <f t="shared" si="14"/>
        <v>0</v>
      </c>
      <c r="AA496" s="64">
        <f t="shared" si="15"/>
        <v>0</v>
      </c>
      <c r="AB496" s="64" t="str">
        <f>IF($B496="","",(COUNTIFS(Rships!$C$2:$C$9990,$A496,Rships!$D$2:$D$9990,1)))</f>
        <v/>
      </c>
      <c r="AC496" s="64" t="str">
        <f>IF($B496="","",(COUNTIFS(Rships!$C$2:$C$9990,$A496,Rships!$D$2:$D$9990,2)))</f>
        <v/>
      </c>
      <c r="AD496" s="64" t="str">
        <f>IF($B496="","",(COUNTIFS(Rships!$C$2:$C$9990,$A496,Rships!$D$2:$D$9990,3)))</f>
        <v/>
      </c>
      <c r="AE496" s="64" t="str">
        <f>IF($B496="","",(COUNTIFS(Rships!$C$2:$C$9990,$A496,Rships!$D$2:$D$9990,4)))</f>
        <v/>
      </c>
      <c r="AF496" s="64" t="str">
        <f>IF($B496="","",(COUNTIFS(Rships!$C$2:$C$9990,$A496,Rships!$D$2:$D$9990,5)))</f>
        <v/>
      </c>
      <c r="AG496" s="64" t="str">
        <f>IF($B496="","",(COUNTIFS(Rships!$C$2:$C$9990,$A496,Rships!$D$2:$D$9990,6)))</f>
        <v/>
      </c>
      <c r="AH496" s="64" t="str">
        <f>IF($B496="","",(COUNTIFS(Rships!$C$2:$C$9990,$A496,Rships!$D$2:$D$9990,7)))</f>
        <v/>
      </c>
    </row>
    <row r="497" spans="1:34">
      <c r="A497" s="1" t="s">
        <v>749</v>
      </c>
      <c r="C497" s="11" t="s">
        <v>19</v>
      </c>
      <c r="D497" s="11" t="s">
        <v>21</v>
      </c>
      <c r="F497" s="15"/>
      <c r="G497" s="15"/>
      <c r="I497" s="17"/>
      <c r="O497" s="11" t="s">
        <v>27</v>
      </c>
      <c r="Y497" s="64">
        <f t="shared" si="14"/>
        <v>0</v>
      </c>
      <c r="AA497" s="64">
        <f t="shared" si="15"/>
        <v>0</v>
      </c>
      <c r="AB497" s="64" t="str">
        <f>IF($B497="","",(COUNTIFS(Rships!$C$2:$C$9990,$A497,Rships!$D$2:$D$9990,1)))</f>
        <v/>
      </c>
      <c r="AC497" s="64" t="str">
        <f>IF($B497="","",(COUNTIFS(Rships!$C$2:$C$9990,$A497,Rships!$D$2:$D$9990,2)))</f>
        <v/>
      </c>
      <c r="AD497" s="64" t="str">
        <f>IF($B497="","",(COUNTIFS(Rships!$C$2:$C$9990,$A497,Rships!$D$2:$D$9990,3)))</f>
        <v/>
      </c>
      <c r="AE497" s="64" t="str">
        <f>IF($B497="","",(COUNTIFS(Rships!$C$2:$C$9990,$A497,Rships!$D$2:$D$9990,4)))</f>
        <v/>
      </c>
      <c r="AF497" s="64" t="str">
        <f>IF($B497="","",(COUNTIFS(Rships!$C$2:$C$9990,$A497,Rships!$D$2:$D$9990,5)))</f>
        <v/>
      </c>
      <c r="AG497" s="64" t="str">
        <f>IF($B497="","",(COUNTIFS(Rships!$C$2:$C$9990,$A497,Rships!$D$2:$D$9990,6)))</f>
        <v/>
      </c>
      <c r="AH497" s="64" t="str">
        <f>IF($B497="","",(COUNTIFS(Rships!$C$2:$C$9990,$A497,Rships!$D$2:$D$9990,7)))</f>
        <v/>
      </c>
    </row>
    <row r="498" spans="1:34">
      <c r="A498" s="1" t="s">
        <v>750</v>
      </c>
      <c r="C498" s="11" t="s">
        <v>19</v>
      </c>
      <c r="D498" s="11" t="s">
        <v>21</v>
      </c>
      <c r="F498" s="15"/>
      <c r="G498" s="15"/>
      <c r="I498" s="17"/>
      <c r="O498" s="11" t="s">
        <v>27</v>
      </c>
      <c r="Y498" s="64">
        <f t="shared" si="14"/>
        <v>0</v>
      </c>
      <c r="AA498" s="64">
        <f t="shared" si="15"/>
        <v>0</v>
      </c>
      <c r="AB498" s="64" t="str">
        <f>IF($B498="","",(COUNTIFS(Rships!$C$2:$C$9990,$A498,Rships!$D$2:$D$9990,1)))</f>
        <v/>
      </c>
      <c r="AC498" s="64" t="str">
        <f>IF($B498="","",(COUNTIFS(Rships!$C$2:$C$9990,$A498,Rships!$D$2:$D$9990,2)))</f>
        <v/>
      </c>
      <c r="AD498" s="64" t="str">
        <f>IF($B498="","",(COUNTIFS(Rships!$C$2:$C$9990,$A498,Rships!$D$2:$D$9990,3)))</f>
        <v/>
      </c>
      <c r="AE498" s="64" t="str">
        <f>IF($B498="","",(COUNTIFS(Rships!$C$2:$C$9990,$A498,Rships!$D$2:$D$9990,4)))</f>
        <v/>
      </c>
      <c r="AF498" s="64" t="str">
        <f>IF($B498="","",(COUNTIFS(Rships!$C$2:$C$9990,$A498,Rships!$D$2:$D$9990,5)))</f>
        <v/>
      </c>
      <c r="AG498" s="64" t="str">
        <f>IF($B498="","",(COUNTIFS(Rships!$C$2:$C$9990,$A498,Rships!$D$2:$D$9990,6)))</f>
        <v/>
      </c>
      <c r="AH498" s="64" t="str">
        <f>IF($B498="","",(COUNTIFS(Rships!$C$2:$C$9990,$A498,Rships!$D$2:$D$9990,7)))</f>
        <v/>
      </c>
    </row>
    <row r="499" spans="1:34">
      <c r="A499" s="1" t="s">
        <v>751</v>
      </c>
      <c r="C499" s="11" t="s">
        <v>19</v>
      </c>
      <c r="D499" s="11" t="s">
        <v>21</v>
      </c>
      <c r="F499" s="15"/>
      <c r="G499" s="15"/>
      <c r="I499" s="17"/>
      <c r="O499" s="11" t="s">
        <v>27</v>
      </c>
      <c r="Y499" s="64">
        <f t="shared" ref="Y499:Y562" si="16">SUMIF($B$2:$B$100,$A499,$AA$2:$AA$100)</f>
        <v>0</v>
      </c>
      <c r="AA499" s="64">
        <f t="shared" si="15"/>
        <v>0</v>
      </c>
      <c r="AB499" s="64" t="str">
        <f>IF($B499="","",(COUNTIFS(Rships!$C$2:$C$9990,$A499,Rships!$D$2:$D$9990,1)))</f>
        <v/>
      </c>
      <c r="AC499" s="64" t="str">
        <f>IF($B499="","",(COUNTIFS(Rships!$C$2:$C$9990,$A499,Rships!$D$2:$D$9990,2)))</f>
        <v/>
      </c>
      <c r="AD499" s="64" t="str">
        <f>IF($B499="","",(COUNTIFS(Rships!$C$2:$C$9990,$A499,Rships!$D$2:$D$9990,3)))</f>
        <v/>
      </c>
      <c r="AE499" s="64" t="str">
        <f>IF($B499="","",(COUNTIFS(Rships!$C$2:$C$9990,$A499,Rships!$D$2:$D$9990,4)))</f>
        <v/>
      </c>
      <c r="AF499" s="64" t="str">
        <f>IF($B499="","",(COUNTIFS(Rships!$C$2:$C$9990,$A499,Rships!$D$2:$D$9990,5)))</f>
        <v/>
      </c>
      <c r="AG499" s="64" t="str">
        <f>IF($B499="","",(COUNTIFS(Rships!$C$2:$C$9990,$A499,Rships!$D$2:$D$9990,6)))</f>
        <v/>
      </c>
      <c r="AH499" s="64" t="str">
        <f>IF($B499="","",(COUNTIFS(Rships!$C$2:$C$9990,$A499,Rships!$D$2:$D$9990,7)))</f>
        <v/>
      </c>
    </row>
    <row r="500" spans="1:34">
      <c r="A500" s="1" t="s">
        <v>752</v>
      </c>
      <c r="C500" s="11" t="s">
        <v>19</v>
      </c>
      <c r="D500" s="11" t="s">
        <v>21</v>
      </c>
      <c r="F500" s="15"/>
      <c r="G500" s="15"/>
      <c r="I500" s="17"/>
      <c r="O500" s="11" t="s">
        <v>27</v>
      </c>
      <c r="Y500" s="64">
        <f t="shared" si="16"/>
        <v>0</v>
      </c>
      <c r="AA500" s="64">
        <f t="shared" si="15"/>
        <v>0</v>
      </c>
      <c r="AB500" s="64" t="str">
        <f>IF($B500="","",(COUNTIFS(Rships!$C$2:$C$9990,$A500,Rships!$D$2:$D$9990,1)))</f>
        <v/>
      </c>
      <c r="AC500" s="64" t="str">
        <f>IF($B500="","",(COUNTIFS(Rships!$C$2:$C$9990,$A500,Rships!$D$2:$D$9990,2)))</f>
        <v/>
      </c>
      <c r="AD500" s="64" t="str">
        <f>IF($B500="","",(COUNTIFS(Rships!$C$2:$C$9990,$A500,Rships!$D$2:$D$9990,3)))</f>
        <v/>
      </c>
      <c r="AE500" s="64" t="str">
        <f>IF($B500="","",(COUNTIFS(Rships!$C$2:$C$9990,$A500,Rships!$D$2:$D$9990,4)))</f>
        <v/>
      </c>
      <c r="AF500" s="64" t="str">
        <f>IF($B500="","",(COUNTIFS(Rships!$C$2:$C$9990,$A500,Rships!$D$2:$D$9990,5)))</f>
        <v/>
      </c>
      <c r="AG500" s="64" t="str">
        <f>IF($B500="","",(COUNTIFS(Rships!$C$2:$C$9990,$A500,Rships!$D$2:$D$9990,6)))</f>
        <v/>
      </c>
      <c r="AH500" s="64" t="str">
        <f>IF($B500="","",(COUNTIFS(Rships!$C$2:$C$9990,$A500,Rships!$D$2:$D$9990,7)))</f>
        <v/>
      </c>
    </row>
    <row r="501" spans="1:34">
      <c r="A501" s="1" t="s">
        <v>753</v>
      </c>
      <c r="C501" s="11" t="s">
        <v>19</v>
      </c>
      <c r="D501" s="11" t="s">
        <v>21</v>
      </c>
      <c r="F501" s="15"/>
      <c r="G501" s="15"/>
      <c r="I501" s="17"/>
      <c r="O501" s="11" t="s">
        <v>27</v>
      </c>
      <c r="Y501" s="64">
        <f t="shared" si="16"/>
        <v>0</v>
      </c>
      <c r="AA501" s="64">
        <f t="shared" si="15"/>
        <v>0</v>
      </c>
      <c r="AB501" s="64" t="str">
        <f>IF($B501="","",(COUNTIFS(Rships!$C$2:$C$9990,$A501,Rships!$D$2:$D$9990,1)))</f>
        <v/>
      </c>
      <c r="AC501" s="64" t="str">
        <f>IF($B501="","",(COUNTIFS(Rships!$C$2:$C$9990,$A501,Rships!$D$2:$D$9990,2)))</f>
        <v/>
      </c>
      <c r="AD501" s="64" t="str">
        <f>IF($B501="","",(COUNTIFS(Rships!$C$2:$C$9990,$A501,Rships!$D$2:$D$9990,3)))</f>
        <v/>
      </c>
      <c r="AE501" s="64" t="str">
        <f>IF($B501="","",(COUNTIFS(Rships!$C$2:$C$9990,$A501,Rships!$D$2:$D$9990,4)))</f>
        <v/>
      </c>
      <c r="AF501" s="64" t="str">
        <f>IF($B501="","",(COUNTIFS(Rships!$C$2:$C$9990,$A501,Rships!$D$2:$D$9990,5)))</f>
        <v/>
      </c>
      <c r="AG501" s="64" t="str">
        <f>IF($B501="","",(COUNTIFS(Rships!$C$2:$C$9990,$A501,Rships!$D$2:$D$9990,6)))</f>
        <v/>
      </c>
      <c r="AH501" s="64" t="str">
        <f>IF($B501="","",(COUNTIFS(Rships!$C$2:$C$9990,$A501,Rships!$D$2:$D$9990,7)))</f>
        <v/>
      </c>
    </row>
    <row r="502" spans="1:34">
      <c r="A502" s="1" t="s">
        <v>754</v>
      </c>
      <c r="C502" s="11" t="s">
        <v>19</v>
      </c>
      <c r="D502" s="11" t="s">
        <v>21</v>
      </c>
      <c r="F502" s="15"/>
      <c r="G502" s="15"/>
      <c r="I502" s="17"/>
      <c r="O502" s="11" t="s">
        <v>27</v>
      </c>
      <c r="Y502" s="64">
        <f t="shared" si="16"/>
        <v>0</v>
      </c>
      <c r="AA502" s="64">
        <f t="shared" si="15"/>
        <v>0</v>
      </c>
      <c r="AB502" s="64" t="str">
        <f>IF($B502="","",(COUNTIFS(Rships!$C$2:$C$9990,$A502,Rships!$D$2:$D$9990,1)))</f>
        <v/>
      </c>
      <c r="AC502" s="64" t="str">
        <f>IF($B502="","",(COUNTIFS(Rships!$C$2:$C$9990,$A502,Rships!$D$2:$D$9990,2)))</f>
        <v/>
      </c>
      <c r="AD502" s="64" t="str">
        <f>IF($B502="","",(COUNTIFS(Rships!$C$2:$C$9990,$A502,Rships!$D$2:$D$9990,3)))</f>
        <v/>
      </c>
      <c r="AE502" s="64" t="str">
        <f>IF($B502="","",(COUNTIFS(Rships!$C$2:$C$9990,$A502,Rships!$D$2:$D$9990,4)))</f>
        <v/>
      </c>
      <c r="AF502" s="64" t="str">
        <f>IF($B502="","",(COUNTIFS(Rships!$C$2:$C$9990,$A502,Rships!$D$2:$D$9990,5)))</f>
        <v/>
      </c>
      <c r="AG502" s="64" t="str">
        <f>IF($B502="","",(COUNTIFS(Rships!$C$2:$C$9990,$A502,Rships!$D$2:$D$9990,6)))</f>
        <v/>
      </c>
      <c r="AH502" s="64" t="str">
        <f>IF($B502="","",(COUNTIFS(Rships!$C$2:$C$9990,$A502,Rships!$D$2:$D$9990,7)))</f>
        <v/>
      </c>
    </row>
    <row r="503" spans="1:34">
      <c r="A503" s="1" t="s">
        <v>755</v>
      </c>
      <c r="C503" s="11" t="s">
        <v>19</v>
      </c>
      <c r="D503" s="11" t="s">
        <v>21</v>
      </c>
      <c r="F503" s="15"/>
      <c r="G503" s="15"/>
      <c r="I503" s="17"/>
      <c r="O503" s="11" t="s">
        <v>27</v>
      </c>
      <c r="Y503" s="64">
        <f t="shared" si="16"/>
        <v>0</v>
      </c>
      <c r="AA503" s="64">
        <f t="shared" si="15"/>
        <v>0</v>
      </c>
      <c r="AB503" s="64" t="str">
        <f>IF($B503="","",(COUNTIFS(Rships!$C$2:$C$9990,$A503,Rships!$D$2:$D$9990,1)))</f>
        <v/>
      </c>
      <c r="AC503" s="64" t="str">
        <f>IF($B503="","",(COUNTIFS(Rships!$C$2:$C$9990,$A503,Rships!$D$2:$D$9990,2)))</f>
        <v/>
      </c>
      <c r="AD503" s="64" t="str">
        <f>IF($B503="","",(COUNTIFS(Rships!$C$2:$C$9990,$A503,Rships!$D$2:$D$9990,3)))</f>
        <v/>
      </c>
      <c r="AE503" s="64" t="str">
        <f>IF($B503="","",(COUNTIFS(Rships!$C$2:$C$9990,$A503,Rships!$D$2:$D$9990,4)))</f>
        <v/>
      </c>
      <c r="AF503" s="64" t="str">
        <f>IF($B503="","",(COUNTIFS(Rships!$C$2:$C$9990,$A503,Rships!$D$2:$D$9990,5)))</f>
        <v/>
      </c>
      <c r="AG503" s="64" t="str">
        <f>IF($B503="","",(COUNTIFS(Rships!$C$2:$C$9990,$A503,Rships!$D$2:$D$9990,6)))</f>
        <v/>
      </c>
      <c r="AH503" s="64" t="str">
        <f>IF($B503="","",(COUNTIFS(Rships!$C$2:$C$9990,$A503,Rships!$D$2:$D$9990,7)))</f>
        <v/>
      </c>
    </row>
    <row r="504" spans="1:34">
      <c r="A504" s="1" t="s">
        <v>756</v>
      </c>
      <c r="C504" s="11" t="s">
        <v>19</v>
      </c>
      <c r="D504" s="11" t="s">
        <v>21</v>
      </c>
      <c r="F504" s="15"/>
      <c r="G504" s="15"/>
      <c r="I504" s="17"/>
      <c r="O504" s="11" t="s">
        <v>27</v>
      </c>
      <c r="Y504" s="64">
        <f t="shared" si="16"/>
        <v>0</v>
      </c>
      <c r="AA504" s="64">
        <f t="shared" si="15"/>
        <v>0</v>
      </c>
      <c r="AB504" s="64" t="str">
        <f>IF($B504="","",(COUNTIFS(Rships!$C$2:$C$9990,$A504,Rships!$D$2:$D$9990,1)))</f>
        <v/>
      </c>
      <c r="AC504" s="64" t="str">
        <f>IF($B504="","",(COUNTIFS(Rships!$C$2:$C$9990,$A504,Rships!$D$2:$D$9990,2)))</f>
        <v/>
      </c>
      <c r="AD504" s="64" t="str">
        <f>IF($B504="","",(COUNTIFS(Rships!$C$2:$C$9990,$A504,Rships!$D$2:$D$9990,3)))</f>
        <v/>
      </c>
      <c r="AE504" s="64" t="str">
        <f>IF($B504="","",(COUNTIFS(Rships!$C$2:$C$9990,$A504,Rships!$D$2:$D$9990,4)))</f>
        <v/>
      </c>
      <c r="AF504" s="64" t="str">
        <f>IF($B504="","",(COUNTIFS(Rships!$C$2:$C$9990,$A504,Rships!$D$2:$D$9990,5)))</f>
        <v/>
      </c>
      <c r="AG504" s="64" t="str">
        <f>IF($B504="","",(COUNTIFS(Rships!$C$2:$C$9990,$A504,Rships!$D$2:$D$9990,6)))</f>
        <v/>
      </c>
      <c r="AH504" s="64" t="str">
        <f>IF($B504="","",(COUNTIFS(Rships!$C$2:$C$9990,$A504,Rships!$D$2:$D$9990,7)))</f>
        <v/>
      </c>
    </row>
    <row r="505" spans="1:34">
      <c r="A505" s="1" t="s">
        <v>757</v>
      </c>
      <c r="C505" s="11" t="s">
        <v>19</v>
      </c>
      <c r="D505" s="11" t="s">
        <v>21</v>
      </c>
      <c r="F505" s="15"/>
      <c r="G505" s="15"/>
      <c r="I505" s="17"/>
      <c r="O505" s="11" t="s">
        <v>27</v>
      </c>
      <c r="Y505" s="64">
        <f t="shared" si="16"/>
        <v>0</v>
      </c>
      <c r="AA505" s="64">
        <f t="shared" si="15"/>
        <v>0</v>
      </c>
      <c r="AB505" s="64" t="str">
        <f>IF($B505="","",(COUNTIFS(Rships!$C$2:$C$9990,$A505,Rships!$D$2:$D$9990,1)))</f>
        <v/>
      </c>
      <c r="AC505" s="64" t="str">
        <f>IF($B505="","",(COUNTIFS(Rships!$C$2:$C$9990,$A505,Rships!$D$2:$D$9990,2)))</f>
        <v/>
      </c>
      <c r="AD505" s="64" t="str">
        <f>IF($B505="","",(COUNTIFS(Rships!$C$2:$C$9990,$A505,Rships!$D$2:$D$9990,3)))</f>
        <v/>
      </c>
      <c r="AE505" s="64" t="str">
        <f>IF($B505="","",(COUNTIFS(Rships!$C$2:$C$9990,$A505,Rships!$D$2:$D$9990,4)))</f>
        <v/>
      </c>
      <c r="AF505" s="64" t="str">
        <f>IF($B505="","",(COUNTIFS(Rships!$C$2:$C$9990,$A505,Rships!$D$2:$D$9990,5)))</f>
        <v/>
      </c>
      <c r="AG505" s="64" t="str">
        <f>IF($B505="","",(COUNTIFS(Rships!$C$2:$C$9990,$A505,Rships!$D$2:$D$9990,6)))</f>
        <v/>
      </c>
      <c r="AH505" s="64" t="str">
        <f>IF($B505="","",(COUNTIFS(Rships!$C$2:$C$9990,$A505,Rships!$D$2:$D$9990,7)))</f>
        <v/>
      </c>
    </row>
    <row r="506" spans="1:34">
      <c r="A506" s="1" t="s">
        <v>758</v>
      </c>
      <c r="C506" s="11" t="s">
        <v>19</v>
      </c>
      <c r="D506" s="11" t="s">
        <v>21</v>
      </c>
      <c r="F506" s="15"/>
      <c r="G506" s="15"/>
      <c r="I506" s="17"/>
      <c r="O506" s="11" t="s">
        <v>27</v>
      </c>
      <c r="Y506" s="64">
        <f t="shared" si="16"/>
        <v>0</v>
      </c>
      <c r="AA506" s="64">
        <f t="shared" si="15"/>
        <v>0</v>
      </c>
      <c r="AB506" s="64" t="str">
        <f>IF($B506="","",(COUNTIFS(Rships!$C$2:$C$9990,$A506,Rships!$D$2:$D$9990,1)))</f>
        <v/>
      </c>
      <c r="AC506" s="64" t="str">
        <f>IF($B506="","",(COUNTIFS(Rships!$C$2:$C$9990,$A506,Rships!$D$2:$D$9990,2)))</f>
        <v/>
      </c>
      <c r="AD506" s="64" t="str">
        <f>IF($B506="","",(COUNTIFS(Rships!$C$2:$C$9990,$A506,Rships!$D$2:$D$9990,3)))</f>
        <v/>
      </c>
      <c r="AE506" s="64" t="str">
        <f>IF($B506="","",(COUNTIFS(Rships!$C$2:$C$9990,$A506,Rships!$D$2:$D$9990,4)))</f>
        <v/>
      </c>
      <c r="AF506" s="64" t="str">
        <f>IF($B506="","",(COUNTIFS(Rships!$C$2:$C$9990,$A506,Rships!$D$2:$D$9990,5)))</f>
        <v/>
      </c>
      <c r="AG506" s="64" t="str">
        <f>IF($B506="","",(COUNTIFS(Rships!$C$2:$C$9990,$A506,Rships!$D$2:$D$9990,6)))</f>
        <v/>
      </c>
      <c r="AH506" s="64" t="str">
        <f>IF($B506="","",(COUNTIFS(Rships!$C$2:$C$9990,$A506,Rships!$D$2:$D$9990,7)))</f>
        <v/>
      </c>
    </row>
    <row r="507" spans="1:34">
      <c r="A507" s="1" t="s">
        <v>759</v>
      </c>
      <c r="C507" s="11" t="s">
        <v>19</v>
      </c>
      <c r="D507" s="11" t="s">
        <v>21</v>
      </c>
      <c r="F507" s="15"/>
      <c r="G507" s="15"/>
      <c r="I507" s="17"/>
      <c r="O507" s="11" t="s">
        <v>27</v>
      </c>
      <c r="Y507" s="64">
        <f t="shared" si="16"/>
        <v>0</v>
      </c>
      <c r="AA507" s="64">
        <f t="shared" si="15"/>
        <v>0</v>
      </c>
      <c r="AB507" s="64" t="str">
        <f>IF($B507="","",(COUNTIFS(Rships!$C$2:$C$9990,$A507,Rships!$D$2:$D$9990,1)))</f>
        <v/>
      </c>
      <c r="AC507" s="64" t="str">
        <f>IF($B507="","",(COUNTIFS(Rships!$C$2:$C$9990,$A507,Rships!$D$2:$D$9990,2)))</f>
        <v/>
      </c>
      <c r="AD507" s="64" t="str">
        <f>IF($B507="","",(COUNTIFS(Rships!$C$2:$C$9990,$A507,Rships!$D$2:$D$9990,3)))</f>
        <v/>
      </c>
      <c r="AE507" s="64" t="str">
        <f>IF($B507="","",(COUNTIFS(Rships!$C$2:$C$9990,$A507,Rships!$D$2:$D$9990,4)))</f>
        <v/>
      </c>
      <c r="AF507" s="64" t="str">
        <f>IF($B507="","",(COUNTIFS(Rships!$C$2:$C$9990,$A507,Rships!$D$2:$D$9990,5)))</f>
        <v/>
      </c>
      <c r="AG507" s="64" t="str">
        <f>IF($B507="","",(COUNTIFS(Rships!$C$2:$C$9990,$A507,Rships!$D$2:$D$9990,6)))</f>
        <v/>
      </c>
      <c r="AH507" s="64" t="str">
        <f>IF($B507="","",(COUNTIFS(Rships!$C$2:$C$9990,$A507,Rships!$D$2:$D$9990,7)))</f>
        <v/>
      </c>
    </row>
    <row r="508" spans="1:34">
      <c r="A508" s="1" t="s">
        <v>760</v>
      </c>
      <c r="C508" s="11" t="s">
        <v>19</v>
      </c>
      <c r="D508" s="11" t="s">
        <v>21</v>
      </c>
      <c r="F508" s="15"/>
      <c r="G508" s="15"/>
      <c r="I508" s="17"/>
      <c r="O508" s="11" t="s">
        <v>27</v>
      </c>
      <c r="Y508" s="64">
        <f t="shared" si="16"/>
        <v>0</v>
      </c>
      <c r="AA508" s="64">
        <f t="shared" si="15"/>
        <v>0</v>
      </c>
      <c r="AB508" s="64" t="str">
        <f>IF($B508="","",(COUNTIFS(Rships!$C$2:$C$9990,$A508,Rships!$D$2:$D$9990,1)))</f>
        <v/>
      </c>
      <c r="AC508" s="64" t="str">
        <f>IF($B508="","",(COUNTIFS(Rships!$C$2:$C$9990,$A508,Rships!$D$2:$D$9990,2)))</f>
        <v/>
      </c>
      <c r="AD508" s="64" t="str">
        <f>IF($B508="","",(COUNTIFS(Rships!$C$2:$C$9990,$A508,Rships!$D$2:$D$9990,3)))</f>
        <v/>
      </c>
      <c r="AE508" s="64" t="str">
        <f>IF($B508="","",(COUNTIFS(Rships!$C$2:$C$9990,$A508,Rships!$D$2:$D$9990,4)))</f>
        <v/>
      </c>
      <c r="AF508" s="64" t="str">
        <f>IF($B508="","",(COUNTIFS(Rships!$C$2:$C$9990,$A508,Rships!$D$2:$D$9990,5)))</f>
        <v/>
      </c>
      <c r="AG508" s="64" t="str">
        <f>IF($B508="","",(COUNTIFS(Rships!$C$2:$C$9990,$A508,Rships!$D$2:$D$9990,6)))</f>
        <v/>
      </c>
      <c r="AH508" s="64" t="str">
        <f>IF($B508="","",(COUNTIFS(Rships!$C$2:$C$9990,$A508,Rships!$D$2:$D$9990,7)))</f>
        <v/>
      </c>
    </row>
    <row r="509" spans="1:34">
      <c r="A509" s="1" t="s">
        <v>761</v>
      </c>
      <c r="C509" s="11" t="s">
        <v>19</v>
      </c>
      <c r="D509" s="11" t="s">
        <v>21</v>
      </c>
      <c r="F509" s="15"/>
      <c r="G509" s="15"/>
      <c r="I509" s="17"/>
      <c r="O509" s="11" t="s">
        <v>27</v>
      </c>
      <c r="Y509" s="64">
        <f t="shared" si="16"/>
        <v>0</v>
      </c>
      <c r="AA509" s="64">
        <f t="shared" si="15"/>
        <v>0</v>
      </c>
      <c r="AB509" s="64" t="str">
        <f>IF($B509="","",(COUNTIFS(Rships!$C$2:$C$9990,$A509,Rships!$D$2:$D$9990,1)))</f>
        <v/>
      </c>
      <c r="AC509" s="64" t="str">
        <f>IF($B509="","",(COUNTIFS(Rships!$C$2:$C$9990,$A509,Rships!$D$2:$D$9990,2)))</f>
        <v/>
      </c>
      <c r="AD509" s="64" t="str">
        <f>IF($B509="","",(COUNTIFS(Rships!$C$2:$C$9990,$A509,Rships!$D$2:$D$9990,3)))</f>
        <v/>
      </c>
      <c r="AE509" s="64" t="str">
        <f>IF($B509="","",(COUNTIFS(Rships!$C$2:$C$9990,$A509,Rships!$D$2:$D$9990,4)))</f>
        <v/>
      </c>
      <c r="AF509" s="64" t="str">
        <f>IF($B509="","",(COUNTIFS(Rships!$C$2:$C$9990,$A509,Rships!$D$2:$D$9990,5)))</f>
        <v/>
      </c>
      <c r="AG509" s="64" t="str">
        <f>IF($B509="","",(COUNTIFS(Rships!$C$2:$C$9990,$A509,Rships!$D$2:$D$9990,6)))</f>
        <v/>
      </c>
      <c r="AH509" s="64" t="str">
        <f>IF($B509="","",(COUNTIFS(Rships!$C$2:$C$9990,$A509,Rships!$D$2:$D$9990,7)))</f>
        <v/>
      </c>
    </row>
    <row r="510" spans="1:34">
      <c r="A510" s="1" t="s">
        <v>762</v>
      </c>
      <c r="C510" s="11" t="s">
        <v>19</v>
      </c>
      <c r="D510" s="11" t="s">
        <v>21</v>
      </c>
      <c r="F510" s="15"/>
      <c r="G510" s="15"/>
      <c r="I510" s="17"/>
      <c r="O510" s="11" t="s">
        <v>27</v>
      </c>
      <c r="Y510" s="64">
        <f t="shared" si="16"/>
        <v>0</v>
      </c>
      <c r="AA510" s="64">
        <f t="shared" si="15"/>
        <v>0</v>
      </c>
      <c r="AB510" s="64" t="str">
        <f>IF($B510="","",(COUNTIFS(Rships!$C$2:$C$9990,$A510,Rships!$D$2:$D$9990,1)))</f>
        <v/>
      </c>
      <c r="AC510" s="64" t="str">
        <f>IF($B510="","",(COUNTIFS(Rships!$C$2:$C$9990,$A510,Rships!$D$2:$D$9990,2)))</f>
        <v/>
      </c>
      <c r="AD510" s="64" t="str">
        <f>IF($B510="","",(COUNTIFS(Rships!$C$2:$C$9990,$A510,Rships!$D$2:$D$9990,3)))</f>
        <v/>
      </c>
      <c r="AE510" s="64" t="str">
        <f>IF($B510="","",(COUNTIFS(Rships!$C$2:$C$9990,$A510,Rships!$D$2:$D$9990,4)))</f>
        <v/>
      </c>
      <c r="AF510" s="64" t="str">
        <f>IF($B510="","",(COUNTIFS(Rships!$C$2:$C$9990,$A510,Rships!$D$2:$D$9990,5)))</f>
        <v/>
      </c>
      <c r="AG510" s="64" t="str">
        <f>IF($B510="","",(COUNTIFS(Rships!$C$2:$C$9990,$A510,Rships!$D$2:$D$9990,6)))</f>
        <v/>
      </c>
      <c r="AH510" s="64" t="str">
        <f>IF($B510="","",(COUNTIFS(Rships!$C$2:$C$9990,$A510,Rships!$D$2:$D$9990,7)))</f>
        <v/>
      </c>
    </row>
    <row r="511" spans="1:34">
      <c r="A511" s="1" t="s">
        <v>763</v>
      </c>
      <c r="C511" s="11" t="s">
        <v>19</v>
      </c>
      <c r="D511" s="11" t="s">
        <v>21</v>
      </c>
      <c r="F511" s="15"/>
      <c r="G511" s="15"/>
      <c r="I511" s="17"/>
      <c r="O511" s="11" t="s">
        <v>27</v>
      </c>
      <c r="Y511" s="64">
        <f t="shared" si="16"/>
        <v>0</v>
      </c>
      <c r="AA511" s="64">
        <f t="shared" si="15"/>
        <v>0</v>
      </c>
      <c r="AB511" s="64" t="str">
        <f>IF($B511="","",(COUNTIFS(Rships!$C$2:$C$9990,$A511,Rships!$D$2:$D$9990,1)))</f>
        <v/>
      </c>
      <c r="AC511" s="64" t="str">
        <f>IF($B511="","",(COUNTIFS(Rships!$C$2:$C$9990,$A511,Rships!$D$2:$D$9990,2)))</f>
        <v/>
      </c>
      <c r="AD511" s="64" t="str">
        <f>IF($B511="","",(COUNTIFS(Rships!$C$2:$C$9990,$A511,Rships!$D$2:$D$9990,3)))</f>
        <v/>
      </c>
      <c r="AE511" s="64" t="str">
        <f>IF($B511="","",(COUNTIFS(Rships!$C$2:$C$9990,$A511,Rships!$D$2:$D$9990,4)))</f>
        <v/>
      </c>
      <c r="AF511" s="64" t="str">
        <f>IF($B511="","",(COUNTIFS(Rships!$C$2:$C$9990,$A511,Rships!$D$2:$D$9990,5)))</f>
        <v/>
      </c>
      <c r="AG511" s="64" t="str">
        <f>IF($B511="","",(COUNTIFS(Rships!$C$2:$C$9990,$A511,Rships!$D$2:$D$9990,6)))</f>
        <v/>
      </c>
      <c r="AH511" s="64" t="str">
        <f>IF($B511="","",(COUNTIFS(Rships!$C$2:$C$9990,$A511,Rships!$D$2:$D$9990,7)))</f>
        <v/>
      </c>
    </row>
    <row r="512" spans="1:34">
      <c r="A512" s="1" t="s">
        <v>764</v>
      </c>
      <c r="C512" s="11" t="s">
        <v>19</v>
      </c>
      <c r="D512" s="11" t="s">
        <v>21</v>
      </c>
      <c r="F512" s="15"/>
      <c r="G512" s="15"/>
      <c r="I512" s="17"/>
      <c r="O512" s="11" t="s">
        <v>27</v>
      </c>
      <c r="Y512" s="64">
        <f t="shared" si="16"/>
        <v>0</v>
      </c>
      <c r="AA512" s="64">
        <f t="shared" si="15"/>
        <v>0</v>
      </c>
      <c r="AB512" s="64" t="str">
        <f>IF($B512="","",(COUNTIFS(Rships!$C$2:$C$9990,$A512,Rships!$D$2:$D$9990,1)))</f>
        <v/>
      </c>
      <c r="AC512" s="64" t="str">
        <f>IF($B512="","",(COUNTIFS(Rships!$C$2:$C$9990,$A512,Rships!$D$2:$D$9990,2)))</f>
        <v/>
      </c>
      <c r="AD512" s="64" t="str">
        <f>IF($B512="","",(COUNTIFS(Rships!$C$2:$C$9990,$A512,Rships!$D$2:$D$9990,3)))</f>
        <v/>
      </c>
      <c r="AE512" s="64" t="str">
        <f>IF($B512="","",(COUNTIFS(Rships!$C$2:$C$9990,$A512,Rships!$D$2:$D$9990,4)))</f>
        <v/>
      </c>
      <c r="AF512" s="64" t="str">
        <f>IF($B512="","",(COUNTIFS(Rships!$C$2:$C$9990,$A512,Rships!$D$2:$D$9990,5)))</f>
        <v/>
      </c>
      <c r="AG512" s="64" t="str">
        <f>IF($B512="","",(COUNTIFS(Rships!$C$2:$C$9990,$A512,Rships!$D$2:$D$9990,6)))</f>
        <v/>
      </c>
      <c r="AH512" s="64" t="str">
        <f>IF($B512="","",(COUNTIFS(Rships!$C$2:$C$9990,$A512,Rships!$D$2:$D$9990,7)))</f>
        <v/>
      </c>
    </row>
    <row r="513" spans="1:34">
      <c r="A513" s="1" t="s">
        <v>765</v>
      </c>
      <c r="C513" s="11" t="s">
        <v>19</v>
      </c>
      <c r="D513" s="11" t="s">
        <v>21</v>
      </c>
      <c r="F513" s="15"/>
      <c r="G513" s="15"/>
      <c r="I513" s="17"/>
      <c r="O513" s="11" t="s">
        <v>27</v>
      </c>
      <c r="Y513" s="64">
        <f t="shared" si="16"/>
        <v>0</v>
      </c>
      <c r="AA513" s="64">
        <f t="shared" si="15"/>
        <v>0</v>
      </c>
      <c r="AB513" s="64" t="str">
        <f>IF($B513="","",(COUNTIFS(Rships!$C$2:$C$9990,$A513,Rships!$D$2:$D$9990,1)))</f>
        <v/>
      </c>
      <c r="AC513" s="64" t="str">
        <f>IF($B513="","",(COUNTIFS(Rships!$C$2:$C$9990,$A513,Rships!$D$2:$D$9990,2)))</f>
        <v/>
      </c>
      <c r="AD513" s="64" t="str">
        <f>IF($B513="","",(COUNTIFS(Rships!$C$2:$C$9990,$A513,Rships!$D$2:$D$9990,3)))</f>
        <v/>
      </c>
      <c r="AE513" s="64" t="str">
        <f>IF($B513="","",(COUNTIFS(Rships!$C$2:$C$9990,$A513,Rships!$D$2:$D$9990,4)))</f>
        <v/>
      </c>
      <c r="AF513" s="64" t="str">
        <f>IF($B513="","",(COUNTIFS(Rships!$C$2:$C$9990,$A513,Rships!$D$2:$D$9990,5)))</f>
        <v/>
      </c>
      <c r="AG513" s="64" t="str">
        <f>IF($B513="","",(COUNTIFS(Rships!$C$2:$C$9990,$A513,Rships!$D$2:$D$9990,6)))</f>
        <v/>
      </c>
      <c r="AH513" s="64" t="str">
        <f>IF($B513="","",(COUNTIFS(Rships!$C$2:$C$9990,$A513,Rships!$D$2:$D$9990,7)))</f>
        <v/>
      </c>
    </row>
    <row r="514" spans="1:34">
      <c r="A514" s="1" t="s">
        <v>766</v>
      </c>
      <c r="C514" s="11" t="s">
        <v>19</v>
      </c>
      <c r="D514" s="11" t="s">
        <v>21</v>
      </c>
      <c r="F514" s="15"/>
      <c r="G514" s="15"/>
      <c r="I514" s="17"/>
      <c r="O514" s="11" t="s">
        <v>27</v>
      </c>
      <c r="Y514" s="64">
        <f t="shared" si="16"/>
        <v>0</v>
      </c>
      <c r="AA514" s="64">
        <f t="shared" si="15"/>
        <v>0</v>
      </c>
      <c r="AB514" s="64" t="str">
        <f>IF($B514="","",(COUNTIFS(Rships!$C$2:$C$9990,$A514,Rships!$D$2:$D$9990,1)))</f>
        <v/>
      </c>
      <c r="AC514" s="64" t="str">
        <f>IF($B514="","",(COUNTIFS(Rships!$C$2:$C$9990,$A514,Rships!$D$2:$D$9990,2)))</f>
        <v/>
      </c>
      <c r="AD514" s="64" t="str">
        <f>IF($B514="","",(COUNTIFS(Rships!$C$2:$C$9990,$A514,Rships!$D$2:$D$9990,3)))</f>
        <v/>
      </c>
      <c r="AE514" s="64" t="str">
        <f>IF($B514="","",(COUNTIFS(Rships!$C$2:$C$9990,$A514,Rships!$D$2:$D$9990,4)))</f>
        <v/>
      </c>
      <c r="AF514" s="64" t="str">
        <f>IF($B514="","",(COUNTIFS(Rships!$C$2:$C$9990,$A514,Rships!$D$2:$D$9990,5)))</f>
        <v/>
      </c>
      <c r="AG514" s="64" t="str">
        <f>IF($B514="","",(COUNTIFS(Rships!$C$2:$C$9990,$A514,Rships!$D$2:$D$9990,6)))</f>
        <v/>
      </c>
      <c r="AH514" s="64" t="str">
        <f>IF($B514="","",(COUNTIFS(Rships!$C$2:$C$9990,$A514,Rships!$D$2:$D$9990,7)))</f>
        <v/>
      </c>
    </row>
    <row r="515" spans="1:34">
      <c r="A515" s="1" t="s">
        <v>767</v>
      </c>
      <c r="C515" s="11" t="s">
        <v>19</v>
      </c>
      <c r="D515" s="11" t="s">
        <v>21</v>
      </c>
      <c r="F515" s="15"/>
      <c r="G515" s="15"/>
      <c r="I515" s="17"/>
      <c r="O515" s="11" t="s">
        <v>27</v>
      </c>
      <c r="Y515" s="64">
        <f t="shared" si="16"/>
        <v>0</v>
      </c>
      <c r="AA515" s="64">
        <f t="shared" ref="AA515:AA578" si="17">SUM($AB515:$AH515)</f>
        <v>0</v>
      </c>
      <c r="AB515" s="64" t="str">
        <f>IF($B515="","",(COUNTIFS(Rships!$C$2:$C$9990,$A515,Rships!$D$2:$D$9990,1)))</f>
        <v/>
      </c>
      <c r="AC515" s="64" t="str">
        <f>IF($B515="","",(COUNTIFS(Rships!$C$2:$C$9990,$A515,Rships!$D$2:$D$9990,2)))</f>
        <v/>
      </c>
      <c r="AD515" s="64" t="str">
        <f>IF($B515="","",(COUNTIFS(Rships!$C$2:$C$9990,$A515,Rships!$D$2:$D$9990,3)))</f>
        <v/>
      </c>
      <c r="AE515" s="64" t="str">
        <f>IF($B515="","",(COUNTIFS(Rships!$C$2:$C$9990,$A515,Rships!$D$2:$D$9990,4)))</f>
        <v/>
      </c>
      <c r="AF515" s="64" t="str">
        <f>IF($B515="","",(COUNTIFS(Rships!$C$2:$C$9990,$A515,Rships!$D$2:$D$9990,5)))</f>
        <v/>
      </c>
      <c r="AG515" s="64" t="str">
        <f>IF($B515="","",(COUNTIFS(Rships!$C$2:$C$9990,$A515,Rships!$D$2:$D$9990,6)))</f>
        <v/>
      </c>
      <c r="AH515" s="64" t="str">
        <f>IF($B515="","",(COUNTIFS(Rships!$C$2:$C$9990,$A515,Rships!$D$2:$D$9990,7)))</f>
        <v/>
      </c>
    </row>
    <row r="516" spans="1:34">
      <c r="A516" s="1" t="s">
        <v>768</v>
      </c>
      <c r="C516" s="11" t="s">
        <v>19</v>
      </c>
      <c r="D516" s="11" t="s">
        <v>21</v>
      </c>
      <c r="F516" s="15"/>
      <c r="G516" s="15"/>
      <c r="I516" s="17"/>
      <c r="O516" s="11" t="s">
        <v>27</v>
      </c>
      <c r="Y516" s="64">
        <f t="shared" si="16"/>
        <v>0</v>
      </c>
      <c r="AA516" s="64">
        <f t="shared" si="17"/>
        <v>0</v>
      </c>
      <c r="AB516" s="64" t="str">
        <f>IF($B516="","",(COUNTIFS(Rships!$C$2:$C$9990,$A516,Rships!$D$2:$D$9990,1)))</f>
        <v/>
      </c>
      <c r="AC516" s="64" t="str">
        <f>IF($B516="","",(COUNTIFS(Rships!$C$2:$C$9990,$A516,Rships!$D$2:$D$9990,2)))</f>
        <v/>
      </c>
      <c r="AD516" s="64" t="str">
        <f>IF($B516="","",(COUNTIFS(Rships!$C$2:$C$9990,$A516,Rships!$D$2:$D$9990,3)))</f>
        <v/>
      </c>
      <c r="AE516" s="64" t="str">
        <f>IF($B516="","",(COUNTIFS(Rships!$C$2:$C$9990,$A516,Rships!$D$2:$D$9990,4)))</f>
        <v/>
      </c>
      <c r="AF516" s="64" t="str">
        <f>IF($B516="","",(COUNTIFS(Rships!$C$2:$C$9990,$A516,Rships!$D$2:$D$9990,5)))</f>
        <v/>
      </c>
      <c r="AG516" s="64" t="str">
        <f>IF($B516="","",(COUNTIFS(Rships!$C$2:$C$9990,$A516,Rships!$D$2:$D$9990,6)))</f>
        <v/>
      </c>
      <c r="AH516" s="64" t="str">
        <f>IF($B516="","",(COUNTIFS(Rships!$C$2:$C$9990,$A516,Rships!$D$2:$D$9990,7)))</f>
        <v/>
      </c>
    </row>
    <row r="517" spans="1:34">
      <c r="A517" s="1" t="s">
        <v>769</v>
      </c>
      <c r="C517" s="11" t="s">
        <v>19</v>
      </c>
      <c r="D517" s="11" t="s">
        <v>21</v>
      </c>
      <c r="F517" s="15"/>
      <c r="G517" s="15"/>
      <c r="I517" s="17"/>
      <c r="O517" s="11" t="s">
        <v>27</v>
      </c>
      <c r="Y517" s="64">
        <f t="shared" si="16"/>
        <v>0</v>
      </c>
      <c r="AA517" s="64">
        <f t="shared" si="17"/>
        <v>0</v>
      </c>
      <c r="AB517" s="64" t="str">
        <f>IF($B517="","",(COUNTIFS(Rships!$C$2:$C$9990,$A517,Rships!$D$2:$D$9990,1)))</f>
        <v/>
      </c>
      <c r="AC517" s="64" t="str">
        <f>IF($B517="","",(COUNTIFS(Rships!$C$2:$C$9990,$A517,Rships!$D$2:$D$9990,2)))</f>
        <v/>
      </c>
      <c r="AD517" s="64" t="str">
        <f>IF($B517="","",(COUNTIFS(Rships!$C$2:$C$9990,$A517,Rships!$D$2:$D$9990,3)))</f>
        <v/>
      </c>
      <c r="AE517" s="64" t="str">
        <f>IF($B517="","",(COUNTIFS(Rships!$C$2:$C$9990,$A517,Rships!$D$2:$D$9990,4)))</f>
        <v/>
      </c>
      <c r="AF517" s="64" t="str">
        <f>IF($B517="","",(COUNTIFS(Rships!$C$2:$C$9990,$A517,Rships!$D$2:$D$9990,5)))</f>
        <v/>
      </c>
      <c r="AG517" s="64" t="str">
        <f>IF($B517="","",(COUNTIFS(Rships!$C$2:$C$9990,$A517,Rships!$D$2:$D$9990,6)))</f>
        <v/>
      </c>
      <c r="AH517" s="64" t="str">
        <f>IF($B517="","",(COUNTIFS(Rships!$C$2:$C$9990,$A517,Rships!$D$2:$D$9990,7)))</f>
        <v/>
      </c>
    </row>
    <row r="518" spans="1:34">
      <c r="A518" s="1" t="s">
        <v>770</v>
      </c>
      <c r="C518" s="11" t="s">
        <v>19</v>
      </c>
      <c r="D518" s="11" t="s">
        <v>21</v>
      </c>
      <c r="F518" s="15"/>
      <c r="G518" s="15"/>
      <c r="I518" s="17"/>
      <c r="O518" s="11" t="s">
        <v>27</v>
      </c>
      <c r="Y518" s="64">
        <f t="shared" si="16"/>
        <v>0</v>
      </c>
      <c r="AA518" s="64">
        <f t="shared" si="17"/>
        <v>0</v>
      </c>
      <c r="AB518" s="64" t="str">
        <f>IF($B518="","",(COUNTIFS(Rships!$C$2:$C$9990,$A518,Rships!$D$2:$D$9990,1)))</f>
        <v/>
      </c>
      <c r="AC518" s="64" t="str">
        <f>IF($B518="","",(COUNTIFS(Rships!$C$2:$C$9990,$A518,Rships!$D$2:$D$9990,2)))</f>
        <v/>
      </c>
      <c r="AD518" s="64" t="str">
        <f>IF($B518="","",(COUNTIFS(Rships!$C$2:$C$9990,$A518,Rships!$D$2:$D$9990,3)))</f>
        <v/>
      </c>
      <c r="AE518" s="64" t="str">
        <f>IF($B518="","",(COUNTIFS(Rships!$C$2:$C$9990,$A518,Rships!$D$2:$D$9990,4)))</f>
        <v/>
      </c>
      <c r="AF518" s="64" t="str">
        <f>IF($B518="","",(COUNTIFS(Rships!$C$2:$C$9990,$A518,Rships!$D$2:$D$9990,5)))</f>
        <v/>
      </c>
      <c r="AG518" s="64" t="str">
        <f>IF($B518="","",(COUNTIFS(Rships!$C$2:$C$9990,$A518,Rships!$D$2:$D$9990,6)))</f>
        <v/>
      </c>
      <c r="AH518" s="64" t="str">
        <f>IF($B518="","",(COUNTIFS(Rships!$C$2:$C$9990,$A518,Rships!$D$2:$D$9990,7)))</f>
        <v/>
      </c>
    </row>
    <row r="519" spans="1:34">
      <c r="A519" s="1" t="s">
        <v>771</v>
      </c>
      <c r="C519" s="11" t="s">
        <v>19</v>
      </c>
      <c r="D519" s="11" t="s">
        <v>21</v>
      </c>
      <c r="F519" s="15"/>
      <c r="G519" s="15"/>
      <c r="I519" s="17"/>
      <c r="O519" s="11" t="s">
        <v>27</v>
      </c>
      <c r="Y519" s="64">
        <f t="shared" si="16"/>
        <v>0</v>
      </c>
      <c r="AA519" s="64">
        <f t="shared" si="17"/>
        <v>0</v>
      </c>
      <c r="AB519" s="64" t="str">
        <f>IF($B519="","",(COUNTIFS(Rships!$C$2:$C$9990,$A519,Rships!$D$2:$D$9990,1)))</f>
        <v/>
      </c>
      <c r="AC519" s="64" t="str">
        <f>IF($B519="","",(COUNTIFS(Rships!$C$2:$C$9990,$A519,Rships!$D$2:$D$9990,2)))</f>
        <v/>
      </c>
      <c r="AD519" s="64" t="str">
        <f>IF($B519="","",(COUNTIFS(Rships!$C$2:$C$9990,$A519,Rships!$D$2:$D$9990,3)))</f>
        <v/>
      </c>
      <c r="AE519" s="64" t="str">
        <f>IF($B519="","",(COUNTIFS(Rships!$C$2:$C$9990,$A519,Rships!$D$2:$D$9990,4)))</f>
        <v/>
      </c>
      <c r="AF519" s="64" t="str">
        <f>IF($B519="","",(COUNTIFS(Rships!$C$2:$C$9990,$A519,Rships!$D$2:$D$9990,5)))</f>
        <v/>
      </c>
      <c r="AG519" s="64" t="str">
        <f>IF($B519="","",(COUNTIFS(Rships!$C$2:$C$9990,$A519,Rships!$D$2:$D$9990,6)))</f>
        <v/>
      </c>
      <c r="AH519" s="64" t="str">
        <f>IF($B519="","",(COUNTIFS(Rships!$C$2:$C$9990,$A519,Rships!$D$2:$D$9990,7)))</f>
        <v/>
      </c>
    </row>
    <row r="520" spans="1:34">
      <c r="A520" s="1" t="s">
        <v>772</v>
      </c>
      <c r="C520" s="11" t="s">
        <v>19</v>
      </c>
      <c r="D520" s="11" t="s">
        <v>21</v>
      </c>
      <c r="F520" s="15"/>
      <c r="G520" s="15"/>
      <c r="I520" s="17"/>
      <c r="O520" s="11" t="s">
        <v>27</v>
      </c>
      <c r="Y520" s="64">
        <f t="shared" si="16"/>
        <v>0</v>
      </c>
      <c r="AA520" s="64">
        <f t="shared" si="17"/>
        <v>0</v>
      </c>
      <c r="AB520" s="64" t="str">
        <f>IF($B520="","",(COUNTIFS(Rships!$C$2:$C$9990,$A520,Rships!$D$2:$D$9990,1)))</f>
        <v/>
      </c>
      <c r="AC520" s="64" t="str">
        <f>IF($B520="","",(COUNTIFS(Rships!$C$2:$C$9990,$A520,Rships!$D$2:$D$9990,2)))</f>
        <v/>
      </c>
      <c r="AD520" s="64" t="str">
        <f>IF($B520="","",(COUNTIFS(Rships!$C$2:$C$9990,$A520,Rships!$D$2:$D$9990,3)))</f>
        <v/>
      </c>
      <c r="AE520" s="64" t="str">
        <f>IF($B520="","",(COUNTIFS(Rships!$C$2:$C$9990,$A520,Rships!$D$2:$D$9990,4)))</f>
        <v/>
      </c>
      <c r="AF520" s="64" t="str">
        <f>IF($B520="","",(COUNTIFS(Rships!$C$2:$C$9990,$A520,Rships!$D$2:$D$9990,5)))</f>
        <v/>
      </c>
      <c r="AG520" s="64" t="str">
        <f>IF($B520="","",(COUNTIFS(Rships!$C$2:$C$9990,$A520,Rships!$D$2:$D$9990,6)))</f>
        <v/>
      </c>
      <c r="AH520" s="64" t="str">
        <f>IF($B520="","",(COUNTIFS(Rships!$C$2:$C$9990,$A520,Rships!$D$2:$D$9990,7)))</f>
        <v/>
      </c>
    </row>
    <row r="521" spans="1:34">
      <c r="A521" s="1" t="s">
        <v>773</v>
      </c>
      <c r="C521" s="11" t="s">
        <v>19</v>
      </c>
      <c r="D521" s="11" t="s">
        <v>21</v>
      </c>
      <c r="F521" s="15"/>
      <c r="G521" s="15"/>
      <c r="I521" s="17"/>
      <c r="O521" s="11" t="s">
        <v>27</v>
      </c>
      <c r="Y521" s="64">
        <f t="shared" si="16"/>
        <v>0</v>
      </c>
      <c r="AA521" s="64">
        <f t="shared" si="17"/>
        <v>0</v>
      </c>
      <c r="AB521" s="64" t="str">
        <f>IF($B521="","",(COUNTIFS(Rships!$C$2:$C$9990,$A521,Rships!$D$2:$D$9990,1)))</f>
        <v/>
      </c>
      <c r="AC521" s="64" t="str">
        <f>IF($B521="","",(COUNTIFS(Rships!$C$2:$C$9990,$A521,Rships!$D$2:$D$9990,2)))</f>
        <v/>
      </c>
      <c r="AD521" s="64" t="str">
        <f>IF($B521="","",(COUNTIFS(Rships!$C$2:$C$9990,$A521,Rships!$D$2:$D$9990,3)))</f>
        <v/>
      </c>
      <c r="AE521" s="64" t="str">
        <f>IF($B521="","",(COUNTIFS(Rships!$C$2:$C$9990,$A521,Rships!$D$2:$D$9990,4)))</f>
        <v/>
      </c>
      <c r="AF521" s="64" t="str">
        <f>IF($B521="","",(COUNTIFS(Rships!$C$2:$C$9990,$A521,Rships!$D$2:$D$9990,5)))</f>
        <v/>
      </c>
      <c r="AG521" s="64" t="str">
        <f>IF($B521="","",(COUNTIFS(Rships!$C$2:$C$9990,$A521,Rships!$D$2:$D$9990,6)))</f>
        <v/>
      </c>
      <c r="AH521" s="64" t="str">
        <f>IF($B521="","",(COUNTIFS(Rships!$C$2:$C$9990,$A521,Rships!$D$2:$D$9990,7)))</f>
        <v/>
      </c>
    </row>
    <row r="522" spans="1:34">
      <c r="A522" s="1" t="s">
        <v>774</v>
      </c>
      <c r="C522" s="11" t="s">
        <v>19</v>
      </c>
      <c r="D522" s="11" t="s">
        <v>21</v>
      </c>
      <c r="F522" s="15"/>
      <c r="G522" s="15"/>
      <c r="I522" s="17"/>
      <c r="O522" s="11" t="s">
        <v>27</v>
      </c>
      <c r="Y522" s="64">
        <f t="shared" si="16"/>
        <v>0</v>
      </c>
      <c r="AA522" s="64">
        <f t="shared" si="17"/>
        <v>0</v>
      </c>
      <c r="AB522" s="64" t="str">
        <f>IF($B522="","",(COUNTIFS(Rships!$C$2:$C$9990,$A522,Rships!$D$2:$D$9990,1)))</f>
        <v/>
      </c>
      <c r="AC522" s="64" t="str">
        <f>IF($B522="","",(COUNTIFS(Rships!$C$2:$C$9990,$A522,Rships!$D$2:$D$9990,2)))</f>
        <v/>
      </c>
      <c r="AD522" s="64" t="str">
        <f>IF($B522="","",(COUNTIFS(Rships!$C$2:$C$9990,$A522,Rships!$D$2:$D$9990,3)))</f>
        <v/>
      </c>
      <c r="AE522" s="64" t="str">
        <f>IF($B522="","",(COUNTIFS(Rships!$C$2:$C$9990,$A522,Rships!$D$2:$D$9990,4)))</f>
        <v/>
      </c>
      <c r="AF522" s="64" t="str">
        <f>IF($B522="","",(COUNTIFS(Rships!$C$2:$C$9990,$A522,Rships!$D$2:$D$9990,5)))</f>
        <v/>
      </c>
      <c r="AG522" s="64" t="str">
        <f>IF($B522="","",(COUNTIFS(Rships!$C$2:$C$9990,$A522,Rships!$D$2:$D$9990,6)))</f>
        <v/>
      </c>
      <c r="AH522" s="64" t="str">
        <f>IF($B522="","",(COUNTIFS(Rships!$C$2:$C$9990,$A522,Rships!$D$2:$D$9990,7)))</f>
        <v/>
      </c>
    </row>
    <row r="523" spans="1:34">
      <c r="A523" s="1" t="s">
        <v>775</v>
      </c>
      <c r="C523" s="11" t="s">
        <v>19</v>
      </c>
      <c r="D523" s="11" t="s">
        <v>21</v>
      </c>
      <c r="F523" s="15"/>
      <c r="G523" s="15"/>
      <c r="I523" s="17"/>
      <c r="O523" s="11" t="s">
        <v>27</v>
      </c>
      <c r="Y523" s="64">
        <f t="shared" si="16"/>
        <v>0</v>
      </c>
      <c r="AA523" s="64">
        <f t="shared" si="17"/>
        <v>0</v>
      </c>
      <c r="AB523" s="64" t="str">
        <f>IF($B523="","",(COUNTIFS(Rships!$C$2:$C$9990,$A523,Rships!$D$2:$D$9990,1)))</f>
        <v/>
      </c>
      <c r="AC523" s="64" t="str">
        <f>IF($B523="","",(COUNTIFS(Rships!$C$2:$C$9990,$A523,Rships!$D$2:$D$9990,2)))</f>
        <v/>
      </c>
      <c r="AD523" s="64" t="str">
        <f>IF($B523="","",(COUNTIFS(Rships!$C$2:$C$9990,$A523,Rships!$D$2:$D$9990,3)))</f>
        <v/>
      </c>
      <c r="AE523" s="64" t="str">
        <f>IF($B523="","",(COUNTIFS(Rships!$C$2:$C$9990,$A523,Rships!$D$2:$D$9990,4)))</f>
        <v/>
      </c>
      <c r="AF523" s="64" t="str">
        <f>IF($B523="","",(COUNTIFS(Rships!$C$2:$C$9990,$A523,Rships!$D$2:$D$9990,5)))</f>
        <v/>
      </c>
      <c r="AG523" s="64" t="str">
        <f>IF($B523="","",(COUNTIFS(Rships!$C$2:$C$9990,$A523,Rships!$D$2:$D$9990,6)))</f>
        <v/>
      </c>
      <c r="AH523" s="64" t="str">
        <f>IF($B523="","",(COUNTIFS(Rships!$C$2:$C$9990,$A523,Rships!$D$2:$D$9990,7)))</f>
        <v/>
      </c>
    </row>
    <row r="524" spans="1:34">
      <c r="A524" s="1" t="s">
        <v>776</v>
      </c>
      <c r="C524" s="11" t="s">
        <v>19</v>
      </c>
      <c r="D524" s="11" t="s">
        <v>21</v>
      </c>
      <c r="F524" s="15"/>
      <c r="G524" s="15"/>
      <c r="I524" s="17"/>
      <c r="O524" s="11" t="s">
        <v>27</v>
      </c>
      <c r="Y524" s="64">
        <f t="shared" si="16"/>
        <v>0</v>
      </c>
      <c r="AA524" s="64">
        <f t="shared" si="17"/>
        <v>0</v>
      </c>
      <c r="AB524" s="64" t="str">
        <f>IF($B524="","",(COUNTIFS(Rships!$C$2:$C$9990,$A524,Rships!$D$2:$D$9990,1)))</f>
        <v/>
      </c>
      <c r="AC524" s="64" t="str">
        <f>IF($B524="","",(COUNTIFS(Rships!$C$2:$C$9990,$A524,Rships!$D$2:$D$9990,2)))</f>
        <v/>
      </c>
      <c r="AD524" s="64" t="str">
        <f>IF($B524="","",(COUNTIFS(Rships!$C$2:$C$9990,$A524,Rships!$D$2:$D$9990,3)))</f>
        <v/>
      </c>
      <c r="AE524" s="64" t="str">
        <f>IF($B524="","",(COUNTIFS(Rships!$C$2:$C$9990,$A524,Rships!$D$2:$D$9990,4)))</f>
        <v/>
      </c>
      <c r="AF524" s="64" t="str">
        <f>IF($B524="","",(COUNTIFS(Rships!$C$2:$C$9990,$A524,Rships!$D$2:$D$9990,5)))</f>
        <v/>
      </c>
      <c r="AG524" s="64" t="str">
        <f>IF($B524="","",(COUNTIFS(Rships!$C$2:$C$9990,$A524,Rships!$D$2:$D$9990,6)))</f>
        <v/>
      </c>
      <c r="AH524" s="64" t="str">
        <f>IF($B524="","",(COUNTIFS(Rships!$C$2:$C$9990,$A524,Rships!$D$2:$D$9990,7)))</f>
        <v/>
      </c>
    </row>
    <row r="525" spans="1:34">
      <c r="A525" s="1" t="s">
        <v>777</v>
      </c>
      <c r="C525" s="11" t="s">
        <v>19</v>
      </c>
      <c r="D525" s="11" t="s">
        <v>21</v>
      </c>
      <c r="F525" s="15"/>
      <c r="G525" s="15"/>
      <c r="I525" s="17"/>
      <c r="O525" s="11" t="s">
        <v>27</v>
      </c>
      <c r="Y525" s="64">
        <f t="shared" si="16"/>
        <v>0</v>
      </c>
      <c r="AA525" s="64">
        <f t="shared" si="17"/>
        <v>0</v>
      </c>
      <c r="AB525" s="64" t="str">
        <f>IF($B525="","",(COUNTIFS(Rships!$C$2:$C$9990,$A525,Rships!$D$2:$D$9990,1)))</f>
        <v/>
      </c>
      <c r="AC525" s="64" t="str">
        <f>IF($B525="","",(COUNTIFS(Rships!$C$2:$C$9990,$A525,Rships!$D$2:$D$9990,2)))</f>
        <v/>
      </c>
      <c r="AD525" s="64" t="str">
        <f>IF($B525="","",(COUNTIFS(Rships!$C$2:$C$9990,$A525,Rships!$D$2:$D$9990,3)))</f>
        <v/>
      </c>
      <c r="AE525" s="64" t="str">
        <f>IF($B525="","",(COUNTIFS(Rships!$C$2:$C$9990,$A525,Rships!$D$2:$D$9990,4)))</f>
        <v/>
      </c>
      <c r="AF525" s="64" t="str">
        <f>IF($B525="","",(COUNTIFS(Rships!$C$2:$C$9990,$A525,Rships!$D$2:$D$9990,5)))</f>
        <v/>
      </c>
      <c r="AG525" s="64" t="str">
        <f>IF($B525="","",(COUNTIFS(Rships!$C$2:$C$9990,$A525,Rships!$D$2:$D$9990,6)))</f>
        <v/>
      </c>
      <c r="AH525" s="64" t="str">
        <f>IF($B525="","",(COUNTIFS(Rships!$C$2:$C$9990,$A525,Rships!$D$2:$D$9990,7)))</f>
        <v/>
      </c>
    </row>
    <row r="526" spans="1:34">
      <c r="A526" s="1" t="s">
        <v>778</v>
      </c>
      <c r="C526" s="11" t="s">
        <v>19</v>
      </c>
      <c r="D526" s="11" t="s">
        <v>21</v>
      </c>
      <c r="F526" s="15"/>
      <c r="G526" s="15"/>
      <c r="I526" s="17"/>
      <c r="O526" s="11" t="s">
        <v>27</v>
      </c>
      <c r="Y526" s="64">
        <f t="shared" si="16"/>
        <v>0</v>
      </c>
      <c r="AA526" s="64">
        <f t="shared" si="17"/>
        <v>0</v>
      </c>
      <c r="AB526" s="64" t="str">
        <f>IF($B526="","",(COUNTIFS(Rships!$C$2:$C$9990,$A526,Rships!$D$2:$D$9990,1)))</f>
        <v/>
      </c>
      <c r="AC526" s="64" t="str">
        <f>IF($B526="","",(COUNTIFS(Rships!$C$2:$C$9990,$A526,Rships!$D$2:$D$9990,2)))</f>
        <v/>
      </c>
      <c r="AD526" s="64" t="str">
        <f>IF($B526="","",(COUNTIFS(Rships!$C$2:$C$9990,$A526,Rships!$D$2:$D$9990,3)))</f>
        <v/>
      </c>
      <c r="AE526" s="64" t="str">
        <f>IF($B526="","",(COUNTIFS(Rships!$C$2:$C$9990,$A526,Rships!$D$2:$D$9990,4)))</f>
        <v/>
      </c>
      <c r="AF526" s="64" t="str">
        <f>IF($B526="","",(COUNTIFS(Rships!$C$2:$C$9990,$A526,Rships!$D$2:$D$9990,5)))</f>
        <v/>
      </c>
      <c r="AG526" s="64" t="str">
        <f>IF($B526="","",(COUNTIFS(Rships!$C$2:$C$9990,$A526,Rships!$D$2:$D$9990,6)))</f>
        <v/>
      </c>
      <c r="AH526" s="64" t="str">
        <f>IF($B526="","",(COUNTIFS(Rships!$C$2:$C$9990,$A526,Rships!$D$2:$D$9990,7)))</f>
        <v/>
      </c>
    </row>
    <row r="527" spans="1:34">
      <c r="A527" s="1" t="s">
        <v>779</v>
      </c>
      <c r="C527" s="11" t="s">
        <v>19</v>
      </c>
      <c r="D527" s="11" t="s">
        <v>21</v>
      </c>
      <c r="F527" s="15"/>
      <c r="G527" s="15"/>
      <c r="I527" s="17"/>
      <c r="O527" s="11" t="s">
        <v>27</v>
      </c>
      <c r="Y527" s="64">
        <f t="shared" si="16"/>
        <v>0</v>
      </c>
      <c r="AA527" s="64">
        <f t="shared" si="17"/>
        <v>0</v>
      </c>
      <c r="AB527" s="64" t="str">
        <f>IF($B527="","",(COUNTIFS(Rships!$C$2:$C$9990,$A527,Rships!$D$2:$D$9990,1)))</f>
        <v/>
      </c>
      <c r="AC527" s="64" t="str">
        <f>IF($B527="","",(COUNTIFS(Rships!$C$2:$C$9990,$A527,Rships!$D$2:$D$9990,2)))</f>
        <v/>
      </c>
      <c r="AD527" s="64" t="str">
        <f>IF($B527="","",(COUNTIFS(Rships!$C$2:$C$9990,$A527,Rships!$D$2:$D$9990,3)))</f>
        <v/>
      </c>
      <c r="AE527" s="64" t="str">
        <f>IF($B527="","",(COUNTIFS(Rships!$C$2:$C$9990,$A527,Rships!$D$2:$D$9990,4)))</f>
        <v/>
      </c>
      <c r="AF527" s="64" t="str">
        <f>IF($B527="","",(COUNTIFS(Rships!$C$2:$C$9990,$A527,Rships!$D$2:$D$9990,5)))</f>
        <v/>
      </c>
      <c r="AG527" s="64" t="str">
        <f>IF($B527="","",(COUNTIFS(Rships!$C$2:$C$9990,$A527,Rships!$D$2:$D$9990,6)))</f>
        <v/>
      </c>
      <c r="AH527" s="64" t="str">
        <f>IF($B527="","",(COUNTIFS(Rships!$C$2:$C$9990,$A527,Rships!$D$2:$D$9990,7)))</f>
        <v/>
      </c>
    </row>
    <row r="528" spans="1:34">
      <c r="A528" s="1" t="s">
        <v>780</v>
      </c>
      <c r="C528" s="11" t="s">
        <v>19</v>
      </c>
      <c r="D528" s="11" t="s">
        <v>21</v>
      </c>
      <c r="F528" s="15"/>
      <c r="G528" s="15"/>
      <c r="I528" s="17"/>
      <c r="O528" s="11" t="s">
        <v>27</v>
      </c>
      <c r="Y528" s="64">
        <f t="shared" si="16"/>
        <v>0</v>
      </c>
      <c r="AA528" s="64">
        <f t="shared" si="17"/>
        <v>0</v>
      </c>
      <c r="AB528" s="64" t="str">
        <f>IF($B528="","",(COUNTIFS(Rships!$C$2:$C$9990,$A528,Rships!$D$2:$D$9990,1)))</f>
        <v/>
      </c>
      <c r="AC528" s="64" t="str">
        <f>IF($B528="","",(COUNTIFS(Rships!$C$2:$C$9990,$A528,Rships!$D$2:$D$9990,2)))</f>
        <v/>
      </c>
      <c r="AD528" s="64" t="str">
        <f>IF($B528="","",(COUNTIFS(Rships!$C$2:$C$9990,$A528,Rships!$D$2:$D$9990,3)))</f>
        <v/>
      </c>
      <c r="AE528" s="64" t="str">
        <f>IF($B528="","",(COUNTIFS(Rships!$C$2:$C$9990,$A528,Rships!$D$2:$D$9990,4)))</f>
        <v/>
      </c>
      <c r="AF528" s="64" t="str">
        <f>IF($B528="","",(COUNTIFS(Rships!$C$2:$C$9990,$A528,Rships!$D$2:$D$9990,5)))</f>
        <v/>
      </c>
      <c r="AG528" s="64" t="str">
        <f>IF($B528="","",(COUNTIFS(Rships!$C$2:$C$9990,$A528,Rships!$D$2:$D$9990,6)))</f>
        <v/>
      </c>
      <c r="AH528" s="64" t="str">
        <f>IF($B528="","",(COUNTIFS(Rships!$C$2:$C$9990,$A528,Rships!$D$2:$D$9990,7)))</f>
        <v/>
      </c>
    </row>
    <row r="529" spans="1:34">
      <c r="A529" s="1" t="s">
        <v>781</v>
      </c>
      <c r="C529" s="11" t="s">
        <v>19</v>
      </c>
      <c r="D529" s="11" t="s">
        <v>21</v>
      </c>
      <c r="F529" s="15"/>
      <c r="G529" s="15"/>
      <c r="I529" s="17"/>
      <c r="O529" s="11" t="s">
        <v>27</v>
      </c>
      <c r="Y529" s="64">
        <f t="shared" si="16"/>
        <v>0</v>
      </c>
      <c r="AA529" s="64">
        <f t="shared" si="17"/>
        <v>0</v>
      </c>
      <c r="AB529" s="64" t="str">
        <f>IF($B529="","",(COUNTIFS(Rships!$C$2:$C$9990,$A529,Rships!$D$2:$D$9990,1)))</f>
        <v/>
      </c>
      <c r="AC529" s="64" t="str">
        <f>IF($B529="","",(COUNTIFS(Rships!$C$2:$C$9990,$A529,Rships!$D$2:$D$9990,2)))</f>
        <v/>
      </c>
      <c r="AD529" s="64" t="str">
        <f>IF($B529="","",(COUNTIFS(Rships!$C$2:$C$9990,$A529,Rships!$D$2:$D$9990,3)))</f>
        <v/>
      </c>
      <c r="AE529" s="64" t="str">
        <f>IF($B529="","",(COUNTIFS(Rships!$C$2:$C$9990,$A529,Rships!$D$2:$D$9990,4)))</f>
        <v/>
      </c>
      <c r="AF529" s="64" t="str">
        <f>IF($B529="","",(COUNTIFS(Rships!$C$2:$C$9990,$A529,Rships!$D$2:$D$9990,5)))</f>
        <v/>
      </c>
      <c r="AG529" s="64" t="str">
        <f>IF($B529="","",(COUNTIFS(Rships!$C$2:$C$9990,$A529,Rships!$D$2:$D$9990,6)))</f>
        <v/>
      </c>
      <c r="AH529" s="64" t="str">
        <f>IF($B529="","",(COUNTIFS(Rships!$C$2:$C$9990,$A529,Rships!$D$2:$D$9990,7)))</f>
        <v/>
      </c>
    </row>
    <row r="530" spans="1:34">
      <c r="A530" s="1" t="s">
        <v>782</v>
      </c>
      <c r="C530" s="11" t="s">
        <v>19</v>
      </c>
      <c r="D530" s="11" t="s">
        <v>21</v>
      </c>
      <c r="F530" s="15"/>
      <c r="G530" s="15"/>
      <c r="I530" s="17"/>
      <c r="O530" s="11" t="s">
        <v>27</v>
      </c>
      <c r="Y530" s="64">
        <f t="shared" si="16"/>
        <v>0</v>
      </c>
      <c r="AA530" s="64">
        <f t="shared" si="17"/>
        <v>0</v>
      </c>
      <c r="AB530" s="64" t="str">
        <f>IF($B530="","",(COUNTIFS(Rships!$C$2:$C$9990,$A530,Rships!$D$2:$D$9990,1)))</f>
        <v/>
      </c>
      <c r="AC530" s="64" t="str">
        <f>IF($B530="","",(COUNTIFS(Rships!$C$2:$C$9990,$A530,Rships!$D$2:$D$9990,2)))</f>
        <v/>
      </c>
      <c r="AD530" s="64" t="str">
        <f>IF($B530="","",(COUNTIFS(Rships!$C$2:$C$9990,$A530,Rships!$D$2:$D$9990,3)))</f>
        <v/>
      </c>
      <c r="AE530" s="64" t="str">
        <f>IF($B530="","",(COUNTIFS(Rships!$C$2:$C$9990,$A530,Rships!$D$2:$D$9990,4)))</f>
        <v/>
      </c>
      <c r="AF530" s="64" t="str">
        <f>IF($B530="","",(COUNTIFS(Rships!$C$2:$C$9990,$A530,Rships!$D$2:$D$9990,5)))</f>
        <v/>
      </c>
      <c r="AG530" s="64" t="str">
        <f>IF($B530="","",(COUNTIFS(Rships!$C$2:$C$9990,$A530,Rships!$D$2:$D$9990,6)))</f>
        <v/>
      </c>
      <c r="AH530" s="64" t="str">
        <f>IF($B530="","",(COUNTIFS(Rships!$C$2:$C$9990,$A530,Rships!$D$2:$D$9990,7)))</f>
        <v/>
      </c>
    </row>
    <row r="531" spans="1:34">
      <c r="A531" s="1" t="s">
        <v>783</v>
      </c>
      <c r="C531" s="11" t="s">
        <v>19</v>
      </c>
      <c r="D531" s="11" t="s">
        <v>21</v>
      </c>
      <c r="F531" s="15"/>
      <c r="G531" s="15"/>
      <c r="I531" s="17"/>
      <c r="O531" s="11" t="s">
        <v>27</v>
      </c>
      <c r="Y531" s="64">
        <f t="shared" si="16"/>
        <v>0</v>
      </c>
      <c r="AA531" s="64">
        <f t="shared" si="17"/>
        <v>0</v>
      </c>
      <c r="AB531" s="64" t="str">
        <f>IF($B531="","",(COUNTIFS(Rships!$C$2:$C$9990,$A531,Rships!$D$2:$D$9990,1)))</f>
        <v/>
      </c>
      <c r="AC531" s="64" t="str">
        <f>IF($B531="","",(COUNTIFS(Rships!$C$2:$C$9990,$A531,Rships!$D$2:$D$9990,2)))</f>
        <v/>
      </c>
      <c r="AD531" s="64" t="str">
        <f>IF($B531="","",(COUNTIFS(Rships!$C$2:$C$9990,$A531,Rships!$D$2:$D$9990,3)))</f>
        <v/>
      </c>
      <c r="AE531" s="64" t="str">
        <f>IF($B531="","",(COUNTIFS(Rships!$C$2:$C$9990,$A531,Rships!$D$2:$D$9990,4)))</f>
        <v/>
      </c>
      <c r="AF531" s="64" t="str">
        <f>IF($B531="","",(COUNTIFS(Rships!$C$2:$C$9990,$A531,Rships!$D$2:$D$9990,5)))</f>
        <v/>
      </c>
      <c r="AG531" s="64" t="str">
        <f>IF($B531="","",(COUNTIFS(Rships!$C$2:$C$9990,$A531,Rships!$D$2:$D$9990,6)))</f>
        <v/>
      </c>
      <c r="AH531" s="64" t="str">
        <f>IF($B531="","",(COUNTIFS(Rships!$C$2:$C$9990,$A531,Rships!$D$2:$D$9990,7)))</f>
        <v/>
      </c>
    </row>
    <row r="532" spans="1:34">
      <c r="A532" s="1" t="s">
        <v>784</v>
      </c>
      <c r="C532" s="11" t="s">
        <v>19</v>
      </c>
      <c r="D532" s="11" t="s">
        <v>21</v>
      </c>
      <c r="F532" s="15"/>
      <c r="G532" s="15"/>
      <c r="I532" s="17"/>
      <c r="O532" s="11" t="s">
        <v>27</v>
      </c>
      <c r="Y532" s="64">
        <f t="shared" si="16"/>
        <v>0</v>
      </c>
      <c r="AA532" s="64">
        <f t="shared" si="17"/>
        <v>0</v>
      </c>
      <c r="AB532" s="64" t="str">
        <f>IF($B532="","",(COUNTIFS(Rships!$C$2:$C$9990,$A532,Rships!$D$2:$D$9990,1)))</f>
        <v/>
      </c>
      <c r="AC532" s="64" t="str">
        <f>IF($B532="","",(COUNTIFS(Rships!$C$2:$C$9990,$A532,Rships!$D$2:$D$9990,2)))</f>
        <v/>
      </c>
      <c r="AD532" s="64" t="str">
        <f>IF($B532="","",(COUNTIFS(Rships!$C$2:$C$9990,$A532,Rships!$D$2:$D$9990,3)))</f>
        <v/>
      </c>
      <c r="AE532" s="64" t="str">
        <f>IF($B532="","",(COUNTIFS(Rships!$C$2:$C$9990,$A532,Rships!$D$2:$D$9990,4)))</f>
        <v/>
      </c>
      <c r="AF532" s="64" t="str">
        <f>IF($B532="","",(COUNTIFS(Rships!$C$2:$C$9990,$A532,Rships!$D$2:$D$9990,5)))</f>
        <v/>
      </c>
      <c r="AG532" s="64" t="str">
        <f>IF($B532="","",(COUNTIFS(Rships!$C$2:$C$9990,$A532,Rships!$D$2:$D$9990,6)))</f>
        <v/>
      </c>
      <c r="AH532" s="64" t="str">
        <f>IF($B532="","",(COUNTIFS(Rships!$C$2:$C$9990,$A532,Rships!$D$2:$D$9990,7)))</f>
        <v/>
      </c>
    </row>
    <row r="533" spans="1:34">
      <c r="A533" s="1" t="s">
        <v>785</v>
      </c>
      <c r="C533" s="11" t="s">
        <v>19</v>
      </c>
      <c r="D533" s="11" t="s">
        <v>21</v>
      </c>
      <c r="F533" s="15"/>
      <c r="G533" s="15"/>
      <c r="I533" s="17"/>
      <c r="O533" s="11" t="s">
        <v>27</v>
      </c>
      <c r="Y533" s="64">
        <f t="shared" si="16"/>
        <v>0</v>
      </c>
      <c r="AA533" s="64">
        <f t="shared" si="17"/>
        <v>0</v>
      </c>
      <c r="AB533" s="64" t="str">
        <f>IF($B533="","",(COUNTIFS(Rships!$C$2:$C$9990,$A533,Rships!$D$2:$D$9990,1)))</f>
        <v/>
      </c>
      <c r="AC533" s="64" t="str">
        <f>IF($B533="","",(COUNTIFS(Rships!$C$2:$C$9990,$A533,Rships!$D$2:$D$9990,2)))</f>
        <v/>
      </c>
      <c r="AD533" s="64" t="str">
        <f>IF($B533="","",(COUNTIFS(Rships!$C$2:$C$9990,$A533,Rships!$D$2:$D$9990,3)))</f>
        <v/>
      </c>
      <c r="AE533" s="64" t="str">
        <f>IF($B533="","",(COUNTIFS(Rships!$C$2:$C$9990,$A533,Rships!$D$2:$D$9990,4)))</f>
        <v/>
      </c>
      <c r="AF533" s="64" t="str">
        <f>IF($B533="","",(COUNTIFS(Rships!$C$2:$C$9990,$A533,Rships!$D$2:$D$9990,5)))</f>
        <v/>
      </c>
      <c r="AG533" s="64" t="str">
        <f>IF($B533="","",(COUNTIFS(Rships!$C$2:$C$9990,$A533,Rships!$D$2:$D$9990,6)))</f>
        <v/>
      </c>
      <c r="AH533" s="64" t="str">
        <f>IF($B533="","",(COUNTIFS(Rships!$C$2:$C$9990,$A533,Rships!$D$2:$D$9990,7)))</f>
        <v/>
      </c>
    </row>
    <row r="534" spans="1:34">
      <c r="A534" s="1" t="s">
        <v>786</v>
      </c>
      <c r="C534" s="11" t="s">
        <v>19</v>
      </c>
      <c r="D534" s="11" t="s">
        <v>21</v>
      </c>
      <c r="F534" s="15"/>
      <c r="G534" s="15"/>
      <c r="I534" s="17"/>
      <c r="O534" s="11" t="s">
        <v>27</v>
      </c>
      <c r="Y534" s="64">
        <f t="shared" si="16"/>
        <v>0</v>
      </c>
      <c r="AA534" s="64">
        <f t="shared" si="17"/>
        <v>0</v>
      </c>
      <c r="AB534" s="64" t="str">
        <f>IF($B534="","",(COUNTIFS(Rships!$C$2:$C$9990,$A534,Rships!$D$2:$D$9990,1)))</f>
        <v/>
      </c>
      <c r="AC534" s="64" t="str">
        <f>IF($B534="","",(COUNTIFS(Rships!$C$2:$C$9990,$A534,Rships!$D$2:$D$9990,2)))</f>
        <v/>
      </c>
      <c r="AD534" s="64" t="str">
        <f>IF($B534="","",(COUNTIFS(Rships!$C$2:$C$9990,$A534,Rships!$D$2:$D$9990,3)))</f>
        <v/>
      </c>
      <c r="AE534" s="64" t="str">
        <f>IF($B534="","",(COUNTIFS(Rships!$C$2:$C$9990,$A534,Rships!$D$2:$D$9990,4)))</f>
        <v/>
      </c>
      <c r="AF534" s="64" t="str">
        <f>IF($B534="","",(COUNTIFS(Rships!$C$2:$C$9990,$A534,Rships!$D$2:$D$9990,5)))</f>
        <v/>
      </c>
      <c r="AG534" s="64" t="str">
        <f>IF($B534="","",(COUNTIFS(Rships!$C$2:$C$9990,$A534,Rships!$D$2:$D$9990,6)))</f>
        <v/>
      </c>
      <c r="AH534" s="64" t="str">
        <f>IF($B534="","",(COUNTIFS(Rships!$C$2:$C$9990,$A534,Rships!$D$2:$D$9990,7)))</f>
        <v/>
      </c>
    </row>
    <row r="535" spans="1:34">
      <c r="A535" s="1" t="s">
        <v>787</v>
      </c>
      <c r="C535" s="11" t="s">
        <v>19</v>
      </c>
      <c r="D535" s="11" t="s">
        <v>21</v>
      </c>
      <c r="F535" s="15"/>
      <c r="G535" s="15"/>
      <c r="I535" s="17"/>
      <c r="O535" s="11" t="s">
        <v>27</v>
      </c>
      <c r="Y535" s="64">
        <f t="shared" si="16"/>
        <v>0</v>
      </c>
      <c r="AA535" s="64">
        <f t="shared" si="17"/>
        <v>0</v>
      </c>
      <c r="AB535" s="64" t="str">
        <f>IF($B535="","",(COUNTIFS(Rships!$C$2:$C$9990,$A535,Rships!$D$2:$D$9990,1)))</f>
        <v/>
      </c>
      <c r="AC535" s="64" t="str">
        <f>IF($B535="","",(COUNTIFS(Rships!$C$2:$C$9990,$A535,Rships!$D$2:$D$9990,2)))</f>
        <v/>
      </c>
      <c r="AD535" s="64" t="str">
        <f>IF($B535="","",(COUNTIFS(Rships!$C$2:$C$9990,$A535,Rships!$D$2:$D$9990,3)))</f>
        <v/>
      </c>
      <c r="AE535" s="64" t="str">
        <f>IF($B535="","",(COUNTIFS(Rships!$C$2:$C$9990,$A535,Rships!$D$2:$D$9990,4)))</f>
        <v/>
      </c>
      <c r="AF535" s="64" t="str">
        <f>IF($B535="","",(COUNTIFS(Rships!$C$2:$C$9990,$A535,Rships!$D$2:$D$9990,5)))</f>
        <v/>
      </c>
      <c r="AG535" s="64" t="str">
        <f>IF($B535="","",(COUNTIFS(Rships!$C$2:$C$9990,$A535,Rships!$D$2:$D$9990,6)))</f>
        <v/>
      </c>
      <c r="AH535" s="64" t="str">
        <f>IF($B535="","",(COUNTIFS(Rships!$C$2:$C$9990,$A535,Rships!$D$2:$D$9990,7)))</f>
        <v/>
      </c>
    </row>
    <row r="536" spans="1:34">
      <c r="A536" s="1" t="s">
        <v>788</v>
      </c>
      <c r="C536" s="11" t="s">
        <v>19</v>
      </c>
      <c r="D536" s="11" t="s">
        <v>21</v>
      </c>
      <c r="F536" s="15"/>
      <c r="G536" s="15"/>
      <c r="I536" s="17"/>
      <c r="O536" s="11" t="s">
        <v>27</v>
      </c>
      <c r="Y536" s="64">
        <f t="shared" si="16"/>
        <v>0</v>
      </c>
      <c r="AA536" s="64">
        <f t="shared" si="17"/>
        <v>0</v>
      </c>
      <c r="AB536" s="64" t="str">
        <f>IF($B536="","",(COUNTIFS(Rships!$C$2:$C$9990,$A536,Rships!$D$2:$D$9990,1)))</f>
        <v/>
      </c>
      <c r="AC536" s="64" t="str">
        <f>IF($B536="","",(COUNTIFS(Rships!$C$2:$C$9990,$A536,Rships!$D$2:$D$9990,2)))</f>
        <v/>
      </c>
      <c r="AD536" s="64" t="str">
        <f>IF($B536="","",(COUNTIFS(Rships!$C$2:$C$9990,$A536,Rships!$D$2:$D$9990,3)))</f>
        <v/>
      </c>
      <c r="AE536" s="64" t="str">
        <f>IF($B536="","",(COUNTIFS(Rships!$C$2:$C$9990,$A536,Rships!$D$2:$D$9990,4)))</f>
        <v/>
      </c>
      <c r="AF536" s="64" t="str">
        <f>IF($B536="","",(COUNTIFS(Rships!$C$2:$C$9990,$A536,Rships!$D$2:$D$9990,5)))</f>
        <v/>
      </c>
      <c r="AG536" s="64" t="str">
        <f>IF($B536="","",(COUNTIFS(Rships!$C$2:$C$9990,$A536,Rships!$D$2:$D$9990,6)))</f>
        <v/>
      </c>
      <c r="AH536" s="64" t="str">
        <f>IF($B536="","",(COUNTIFS(Rships!$C$2:$C$9990,$A536,Rships!$D$2:$D$9990,7)))</f>
        <v/>
      </c>
    </row>
    <row r="537" spans="1:34">
      <c r="A537" s="1" t="s">
        <v>789</v>
      </c>
      <c r="C537" s="11" t="s">
        <v>19</v>
      </c>
      <c r="D537" s="11" t="s">
        <v>21</v>
      </c>
      <c r="F537" s="15"/>
      <c r="G537" s="15"/>
      <c r="I537" s="17"/>
      <c r="O537" s="11" t="s">
        <v>27</v>
      </c>
      <c r="Y537" s="64">
        <f t="shared" si="16"/>
        <v>0</v>
      </c>
      <c r="AA537" s="64">
        <f t="shared" si="17"/>
        <v>0</v>
      </c>
      <c r="AB537" s="64" t="str">
        <f>IF($B537="","",(COUNTIFS(Rships!$C$2:$C$9990,$A537,Rships!$D$2:$D$9990,1)))</f>
        <v/>
      </c>
      <c r="AC537" s="64" t="str">
        <f>IF($B537="","",(COUNTIFS(Rships!$C$2:$C$9990,$A537,Rships!$D$2:$D$9990,2)))</f>
        <v/>
      </c>
      <c r="AD537" s="64" t="str">
        <f>IF($B537="","",(COUNTIFS(Rships!$C$2:$C$9990,$A537,Rships!$D$2:$D$9990,3)))</f>
        <v/>
      </c>
      <c r="AE537" s="64" t="str">
        <f>IF($B537="","",(COUNTIFS(Rships!$C$2:$C$9990,$A537,Rships!$D$2:$D$9990,4)))</f>
        <v/>
      </c>
      <c r="AF537" s="64" t="str">
        <f>IF($B537="","",(COUNTIFS(Rships!$C$2:$C$9990,$A537,Rships!$D$2:$D$9990,5)))</f>
        <v/>
      </c>
      <c r="AG537" s="64" t="str">
        <f>IF($B537="","",(COUNTIFS(Rships!$C$2:$C$9990,$A537,Rships!$D$2:$D$9990,6)))</f>
        <v/>
      </c>
      <c r="AH537" s="64" t="str">
        <f>IF($B537="","",(COUNTIFS(Rships!$C$2:$C$9990,$A537,Rships!$D$2:$D$9990,7)))</f>
        <v/>
      </c>
    </row>
    <row r="538" spans="1:34">
      <c r="A538" s="1" t="s">
        <v>790</v>
      </c>
      <c r="C538" s="11" t="s">
        <v>19</v>
      </c>
      <c r="D538" s="11" t="s">
        <v>21</v>
      </c>
      <c r="F538" s="15"/>
      <c r="G538" s="15"/>
      <c r="I538" s="17"/>
      <c r="O538" s="11" t="s">
        <v>27</v>
      </c>
      <c r="Y538" s="64">
        <f t="shared" si="16"/>
        <v>0</v>
      </c>
      <c r="AA538" s="64">
        <f t="shared" si="17"/>
        <v>0</v>
      </c>
      <c r="AB538" s="64" t="str">
        <f>IF($B538="","",(COUNTIFS(Rships!$C$2:$C$9990,$A538,Rships!$D$2:$D$9990,1)))</f>
        <v/>
      </c>
      <c r="AC538" s="64" t="str">
        <f>IF($B538="","",(COUNTIFS(Rships!$C$2:$C$9990,$A538,Rships!$D$2:$D$9990,2)))</f>
        <v/>
      </c>
      <c r="AD538" s="64" t="str">
        <f>IF($B538="","",(COUNTIFS(Rships!$C$2:$C$9990,$A538,Rships!$D$2:$D$9990,3)))</f>
        <v/>
      </c>
      <c r="AE538" s="64" t="str">
        <f>IF($B538="","",(COUNTIFS(Rships!$C$2:$C$9990,$A538,Rships!$D$2:$D$9990,4)))</f>
        <v/>
      </c>
      <c r="AF538" s="64" t="str">
        <f>IF($B538="","",(COUNTIFS(Rships!$C$2:$C$9990,$A538,Rships!$D$2:$D$9990,5)))</f>
        <v/>
      </c>
      <c r="AG538" s="64" t="str">
        <f>IF($B538="","",(COUNTIFS(Rships!$C$2:$C$9990,$A538,Rships!$D$2:$D$9990,6)))</f>
        <v/>
      </c>
      <c r="AH538" s="64" t="str">
        <f>IF($B538="","",(COUNTIFS(Rships!$C$2:$C$9990,$A538,Rships!$D$2:$D$9990,7)))</f>
        <v/>
      </c>
    </row>
    <row r="539" spans="1:34">
      <c r="A539" s="1" t="s">
        <v>791</v>
      </c>
      <c r="C539" s="11" t="s">
        <v>19</v>
      </c>
      <c r="D539" s="11" t="s">
        <v>21</v>
      </c>
      <c r="F539" s="15"/>
      <c r="G539" s="15"/>
      <c r="I539" s="17"/>
      <c r="O539" s="11" t="s">
        <v>27</v>
      </c>
      <c r="Y539" s="64">
        <f t="shared" si="16"/>
        <v>0</v>
      </c>
      <c r="AA539" s="64">
        <f t="shared" si="17"/>
        <v>0</v>
      </c>
      <c r="AB539" s="64" t="str">
        <f>IF($B539="","",(COUNTIFS(Rships!$C$2:$C$9990,$A539,Rships!$D$2:$D$9990,1)))</f>
        <v/>
      </c>
      <c r="AC539" s="64" t="str">
        <f>IF($B539="","",(COUNTIFS(Rships!$C$2:$C$9990,$A539,Rships!$D$2:$D$9990,2)))</f>
        <v/>
      </c>
      <c r="AD539" s="64" t="str">
        <f>IF($B539="","",(COUNTIFS(Rships!$C$2:$C$9990,$A539,Rships!$D$2:$D$9990,3)))</f>
        <v/>
      </c>
      <c r="AE539" s="64" t="str">
        <f>IF($B539="","",(COUNTIFS(Rships!$C$2:$C$9990,$A539,Rships!$D$2:$D$9990,4)))</f>
        <v/>
      </c>
      <c r="AF539" s="64" t="str">
        <f>IF($B539="","",(COUNTIFS(Rships!$C$2:$C$9990,$A539,Rships!$D$2:$D$9990,5)))</f>
        <v/>
      </c>
      <c r="AG539" s="64" t="str">
        <f>IF($B539="","",(COUNTIFS(Rships!$C$2:$C$9990,$A539,Rships!$D$2:$D$9990,6)))</f>
        <v/>
      </c>
      <c r="AH539" s="64" t="str">
        <f>IF($B539="","",(COUNTIFS(Rships!$C$2:$C$9990,$A539,Rships!$D$2:$D$9990,7)))</f>
        <v/>
      </c>
    </row>
    <row r="540" spans="1:34" s="29" customFormat="1">
      <c r="A540" s="1" t="s">
        <v>137</v>
      </c>
      <c r="B540" s="35" t="s">
        <v>55</v>
      </c>
      <c r="C540" s="29" t="s">
        <v>19</v>
      </c>
      <c r="D540" s="29" t="s">
        <v>21</v>
      </c>
      <c r="E540" s="29" t="s">
        <v>147</v>
      </c>
      <c r="F540" s="30" t="s">
        <v>149</v>
      </c>
      <c r="G540" s="30" t="s">
        <v>150</v>
      </c>
      <c r="H540" s="31">
        <v>7510115472087</v>
      </c>
      <c r="I540" s="32">
        <v>741763072</v>
      </c>
      <c r="J540" s="15" t="s">
        <v>148</v>
      </c>
      <c r="K540" s="29" t="s">
        <v>151</v>
      </c>
      <c r="L540" s="31">
        <v>9323</v>
      </c>
      <c r="M540" s="29" t="s">
        <v>151</v>
      </c>
      <c r="N540" s="31">
        <v>9323</v>
      </c>
      <c r="O540" s="29" t="s">
        <v>26</v>
      </c>
      <c r="P540" s="34">
        <v>30000</v>
      </c>
      <c r="Q540" s="29" t="s">
        <v>152</v>
      </c>
      <c r="R540" s="29" t="s">
        <v>56</v>
      </c>
      <c r="T540" s="29" t="s">
        <v>153</v>
      </c>
      <c r="U540" s="31">
        <v>62436736716</v>
      </c>
      <c r="V540" s="29" t="s">
        <v>29</v>
      </c>
      <c r="W540" s="26">
        <v>41605</v>
      </c>
      <c r="X540" s="48">
        <v>41591</v>
      </c>
      <c r="Y540" s="64">
        <f t="shared" si="16"/>
        <v>1</v>
      </c>
      <c r="Z540" s="29" t="s">
        <v>123</v>
      </c>
      <c r="AA540" s="64">
        <f t="shared" si="17"/>
        <v>12</v>
      </c>
      <c r="AB540" s="64">
        <f>IF($B540="","",(COUNTIFS(Rships!$C$2:$C$9990,$A540,Rships!$D$2:$D$9990,1)))</f>
        <v>11</v>
      </c>
      <c r="AC540" s="64">
        <f>IF($B540="","",(COUNTIFS(Rships!$C$2:$C$9990,$A540,Rships!$D$2:$D$9990,2)))</f>
        <v>1</v>
      </c>
      <c r="AD540" s="64">
        <f>IF($B540="","",(COUNTIFS(Rships!$C$2:$C$9990,$A540,Rships!$D$2:$D$9990,3)))</f>
        <v>0</v>
      </c>
      <c r="AE540" s="64">
        <f>IF($B540="","",(COUNTIFS(Rships!$C$2:$C$9990,$A540,Rships!$D$2:$D$9990,4)))</f>
        <v>0</v>
      </c>
      <c r="AF540" s="64">
        <f>IF($B540="","",(COUNTIFS(Rships!$C$2:$C$9990,$A540,Rships!$D$2:$D$9990,5)))</f>
        <v>0</v>
      </c>
      <c r="AG540" s="64">
        <f>IF($B540="","",(COUNTIFS(Rships!$C$2:$C$9990,$A540,Rships!$D$2:$D$9990,6)))</f>
        <v>0</v>
      </c>
      <c r="AH540" s="64">
        <f>IF($B540="","",(COUNTIFS(Rships!$C$2:$C$9990,$A540,Rships!$D$2:$D$9990,7)))</f>
        <v>0</v>
      </c>
    </row>
    <row r="541" spans="1:34">
      <c r="A541" s="1" t="s">
        <v>792</v>
      </c>
      <c r="C541" s="11" t="s">
        <v>19</v>
      </c>
      <c r="D541" s="11" t="s">
        <v>21</v>
      </c>
      <c r="F541" s="15"/>
      <c r="G541" s="15"/>
      <c r="I541" s="17"/>
      <c r="O541" s="11" t="s">
        <v>27</v>
      </c>
      <c r="Y541" s="64">
        <f t="shared" si="16"/>
        <v>0</v>
      </c>
      <c r="AA541" s="64">
        <f t="shared" si="17"/>
        <v>0</v>
      </c>
      <c r="AB541" s="64" t="str">
        <f>IF($B541="","",(COUNTIFS(Rships!$C$2:$C$9990,$A541,Rships!$D$2:$D$9990,1)))</f>
        <v/>
      </c>
      <c r="AC541" s="64" t="str">
        <f>IF($B541="","",(COUNTIFS(Rships!$C$2:$C$9990,$A541,Rships!$D$2:$D$9990,2)))</f>
        <v/>
      </c>
      <c r="AD541" s="64" t="str">
        <f>IF($B541="","",(COUNTIFS(Rships!$C$2:$C$9990,$A541,Rships!$D$2:$D$9990,3)))</f>
        <v/>
      </c>
      <c r="AE541" s="64" t="str">
        <f>IF($B541="","",(COUNTIFS(Rships!$C$2:$C$9990,$A541,Rships!$D$2:$D$9990,4)))</f>
        <v/>
      </c>
      <c r="AF541" s="64" t="str">
        <f>IF($B541="","",(COUNTIFS(Rships!$C$2:$C$9990,$A541,Rships!$D$2:$D$9990,5)))</f>
        <v/>
      </c>
      <c r="AG541" s="64" t="str">
        <f>IF($B541="","",(COUNTIFS(Rships!$C$2:$C$9990,$A541,Rships!$D$2:$D$9990,6)))</f>
        <v/>
      </c>
      <c r="AH541" s="64" t="str">
        <f>IF($B541="","",(COUNTIFS(Rships!$C$2:$C$9990,$A541,Rships!$D$2:$D$9990,7)))</f>
        <v/>
      </c>
    </row>
    <row r="542" spans="1:34">
      <c r="A542" s="1" t="s">
        <v>793</v>
      </c>
      <c r="C542" s="11" t="s">
        <v>19</v>
      </c>
      <c r="D542" s="11" t="s">
        <v>21</v>
      </c>
      <c r="F542" s="15"/>
      <c r="G542" s="15"/>
      <c r="I542" s="17"/>
      <c r="O542" s="11" t="s">
        <v>27</v>
      </c>
      <c r="Y542" s="64">
        <f t="shared" si="16"/>
        <v>0</v>
      </c>
      <c r="AA542" s="64">
        <f t="shared" si="17"/>
        <v>0</v>
      </c>
      <c r="AB542" s="64" t="str">
        <f>IF($B542="","",(COUNTIFS(Rships!$C$2:$C$9990,$A542,Rships!$D$2:$D$9990,1)))</f>
        <v/>
      </c>
      <c r="AC542" s="64" t="str">
        <f>IF($B542="","",(COUNTIFS(Rships!$C$2:$C$9990,$A542,Rships!$D$2:$D$9990,2)))</f>
        <v/>
      </c>
      <c r="AD542" s="64" t="str">
        <f>IF($B542="","",(COUNTIFS(Rships!$C$2:$C$9990,$A542,Rships!$D$2:$D$9990,3)))</f>
        <v/>
      </c>
      <c r="AE542" s="64" t="str">
        <f>IF($B542="","",(COUNTIFS(Rships!$C$2:$C$9990,$A542,Rships!$D$2:$D$9990,4)))</f>
        <v/>
      </c>
      <c r="AF542" s="64" t="str">
        <f>IF($B542="","",(COUNTIFS(Rships!$C$2:$C$9990,$A542,Rships!$D$2:$D$9990,5)))</f>
        <v/>
      </c>
      <c r="AG542" s="64" t="str">
        <f>IF($B542="","",(COUNTIFS(Rships!$C$2:$C$9990,$A542,Rships!$D$2:$D$9990,6)))</f>
        <v/>
      </c>
      <c r="AH542" s="64" t="str">
        <f>IF($B542="","",(COUNTIFS(Rships!$C$2:$C$9990,$A542,Rships!$D$2:$D$9990,7)))</f>
        <v/>
      </c>
    </row>
    <row r="543" spans="1:34">
      <c r="A543" s="1" t="s">
        <v>794</v>
      </c>
      <c r="C543" s="11" t="s">
        <v>19</v>
      </c>
      <c r="D543" s="11" t="s">
        <v>21</v>
      </c>
      <c r="F543" s="15"/>
      <c r="G543" s="15"/>
      <c r="I543" s="17"/>
      <c r="O543" s="11" t="s">
        <v>27</v>
      </c>
      <c r="Y543" s="64">
        <f t="shared" si="16"/>
        <v>0</v>
      </c>
      <c r="AA543" s="64">
        <f t="shared" si="17"/>
        <v>0</v>
      </c>
      <c r="AB543" s="64" t="str">
        <f>IF($B543="","",(COUNTIFS(Rships!$C$2:$C$9990,$A543,Rships!$D$2:$D$9990,1)))</f>
        <v/>
      </c>
      <c r="AC543" s="64" t="str">
        <f>IF($B543="","",(COUNTIFS(Rships!$C$2:$C$9990,$A543,Rships!$D$2:$D$9990,2)))</f>
        <v/>
      </c>
      <c r="AD543" s="64" t="str">
        <f>IF($B543="","",(COUNTIFS(Rships!$C$2:$C$9990,$A543,Rships!$D$2:$D$9990,3)))</f>
        <v/>
      </c>
      <c r="AE543" s="64" t="str">
        <f>IF($B543="","",(COUNTIFS(Rships!$C$2:$C$9990,$A543,Rships!$D$2:$D$9990,4)))</f>
        <v/>
      </c>
      <c r="AF543" s="64" t="str">
        <f>IF($B543="","",(COUNTIFS(Rships!$C$2:$C$9990,$A543,Rships!$D$2:$D$9990,5)))</f>
        <v/>
      </c>
      <c r="AG543" s="64" t="str">
        <f>IF($B543="","",(COUNTIFS(Rships!$C$2:$C$9990,$A543,Rships!$D$2:$D$9990,6)))</f>
        <v/>
      </c>
      <c r="AH543" s="64" t="str">
        <f>IF($B543="","",(COUNTIFS(Rships!$C$2:$C$9990,$A543,Rships!$D$2:$D$9990,7)))</f>
        <v/>
      </c>
    </row>
    <row r="544" spans="1:34">
      <c r="A544" s="1" t="s">
        <v>795</v>
      </c>
      <c r="C544" s="11" t="s">
        <v>19</v>
      </c>
      <c r="D544" s="11" t="s">
        <v>21</v>
      </c>
      <c r="F544" s="15"/>
      <c r="G544" s="15"/>
      <c r="I544" s="17"/>
      <c r="O544" s="11" t="s">
        <v>27</v>
      </c>
      <c r="Y544" s="64">
        <f t="shared" si="16"/>
        <v>0</v>
      </c>
      <c r="AA544" s="64">
        <f t="shared" si="17"/>
        <v>0</v>
      </c>
      <c r="AB544" s="64" t="str">
        <f>IF($B544="","",(COUNTIFS(Rships!$C$2:$C$9990,$A544,Rships!$D$2:$D$9990,1)))</f>
        <v/>
      </c>
      <c r="AC544" s="64" t="str">
        <f>IF($B544="","",(COUNTIFS(Rships!$C$2:$C$9990,$A544,Rships!$D$2:$D$9990,2)))</f>
        <v/>
      </c>
      <c r="AD544" s="64" t="str">
        <f>IF($B544="","",(COUNTIFS(Rships!$C$2:$C$9990,$A544,Rships!$D$2:$D$9990,3)))</f>
        <v/>
      </c>
      <c r="AE544" s="64" t="str">
        <f>IF($B544="","",(COUNTIFS(Rships!$C$2:$C$9990,$A544,Rships!$D$2:$D$9990,4)))</f>
        <v/>
      </c>
      <c r="AF544" s="64" t="str">
        <f>IF($B544="","",(COUNTIFS(Rships!$C$2:$C$9990,$A544,Rships!$D$2:$D$9990,5)))</f>
        <v/>
      </c>
      <c r="AG544" s="64" t="str">
        <f>IF($B544="","",(COUNTIFS(Rships!$C$2:$C$9990,$A544,Rships!$D$2:$D$9990,6)))</f>
        <v/>
      </c>
      <c r="AH544" s="64" t="str">
        <f>IF($B544="","",(COUNTIFS(Rships!$C$2:$C$9990,$A544,Rships!$D$2:$D$9990,7)))</f>
        <v/>
      </c>
    </row>
    <row r="545" spans="1:34">
      <c r="A545" s="1" t="s">
        <v>796</v>
      </c>
      <c r="C545" s="11" t="s">
        <v>19</v>
      </c>
      <c r="D545" s="11" t="s">
        <v>21</v>
      </c>
      <c r="F545" s="15"/>
      <c r="G545" s="15"/>
      <c r="I545" s="17"/>
      <c r="O545" s="11" t="s">
        <v>27</v>
      </c>
      <c r="Y545" s="64">
        <f t="shared" si="16"/>
        <v>0</v>
      </c>
      <c r="AA545" s="64">
        <f t="shared" si="17"/>
        <v>0</v>
      </c>
      <c r="AB545" s="64" t="str">
        <f>IF($B545="","",(COUNTIFS(Rships!$C$2:$C$9990,$A545,Rships!$D$2:$D$9990,1)))</f>
        <v/>
      </c>
      <c r="AC545" s="64" t="str">
        <f>IF($B545="","",(COUNTIFS(Rships!$C$2:$C$9990,$A545,Rships!$D$2:$D$9990,2)))</f>
        <v/>
      </c>
      <c r="AD545" s="64" t="str">
        <f>IF($B545="","",(COUNTIFS(Rships!$C$2:$C$9990,$A545,Rships!$D$2:$D$9990,3)))</f>
        <v/>
      </c>
      <c r="AE545" s="64" t="str">
        <f>IF($B545="","",(COUNTIFS(Rships!$C$2:$C$9990,$A545,Rships!$D$2:$D$9990,4)))</f>
        <v/>
      </c>
      <c r="AF545" s="64" t="str">
        <f>IF($B545="","",(COUNTIFS(Rships!$C$2:$C$9990,$A545,Rships!$D$2:$D$9990,5)))</f>
        <v/>
      </c>
      <c r="AG545" s="64" t="str">
        <f>IF($B545="","",(COUNTIFS(Rships!$C$2:$C$9990,$A545,Rships!$D$2:$D$9990,6)))</f>
        <v/>
      </c>
      <c r="AH545" s="64" t="str">
        <f>IF($B545="","",(COUNTIFS(Rships!$C$2:$C$9990,$A545,Rships!$D$2:$D$9990,7)))</f>
        <v/>
      </c>
    </row>
    <row r="546" spans="1:34">
      <c r="A546" s="1" t="s">
        <v>797</v>
      </c>
      <c r="C546" s="11" t="s">
        <v>19</v>
      </c>
      <c r="D546" s="11" t="s">
        <v>21</v>
      </c>
      <c r="F546" s="15"/>
      <c r="G546" s="15"/>
      <c r="I546" s="17"/>
      <c r="O546" s="11" t="s">
        <v>27</v>
      </c>
      <c r="Y546" s="64">
        <f t="shared" si="16"/>
        <v>0</v>
      </c>
      <c r="AA546" s="64">
        <f t="shared" si="17"/>
        <v>0</v>
      </c>
      <c r="AB546" s="64" t="str">
        <f>IF($B546="","",(COUNTIFS(Rships!$C$2:$C$9990,$A546,Rships!$D$2:$D$9990,1)))</f>
        <v/>
      </c>
      <c r="AC546" s="64" t="str">
        <f>IF($B546="","",(COUNTIFS(Rships!$C$2:$C$9990,$A546,Rships!$D$2:$D$9990,2)))</f>
        <v/>
      </c>
      <c r="AD546" s="64" t="str">
        <f>IF($B546="","",(COUNTIFS(Rships!$C$2:$C$9990,$A546,Rships!$D$2:$D$9990,3)))</f>
        <v/>
      </c>
      <c r="AE546" s="64" t="str">
        <f>IF($B546="","",(COUNTIFS(Rships!$C$2:$C$9990,$A546,Rships!$D$2:$D$9990,4)))</f>
        <v/>
      </c>
      <c r="AF546" s="64" t="str">
        <f>IF($B546="","",(COUNTIFS(Rships!$C$2:$C$9990,$A546,Rships!$D$2:$D$9990,5)))</f>
        <v/>
      </c>
      <c r="AG546" s="64" t="str">
        <f>IF($B546="","",(COUNTIFS(Rships!$C$2:$C$9990,$A546,Rships!$D$2:$D$9990,6)))</f>
        <v/>
      </c>
      <c r="AH546" s="64" t="str">
        <f>IF($B546="","",(COUNTIFS(Rships!$C$2:$C$9990,$A546,Rships!$D$2:$D$9990,7)))</f>
        <v/>
      </c>
    </row>
    <row r="547" spans="1:34">
      <c r="A547" s="1" t="s">
        <v>798</v>
      </c>
      <c r="B547" s="13" t="s">
        <v>89</v>
      </c>
      <c r="C547" s="11" t="s">
        <v>19</v>
      </c>
      <c r="D547" s="11" t="s">
        <v>22</v>
      </c>
      <c r="E547" s="11" t="s">
        <v>1377</v>
      </c>
      <c r="F547" s="15" t="s">
        <v>1375</v>
      </c>
      <c r="G547" s="15" t="s">
        <v>1376</v>
      </c>
      <c r="H547" s="16">
        <v>7611130470088</v>
      </c>
      <c r="I547" s="17">
        <v>833731261</v>
      </c>
      <c r="K547" s="11" t="s">
        <v>1378</v>
      </c>
      <c r="L547" s="16">
        <v>9323</v>
      </c>
      <c r="M547" s="11" t="s">
        <v>1378</v>
      </c>
      <c r="N547" s="16">
        <v>9323</v>
      </c>
      <c r="O547" s="11" t="s">
        <v>26</v>
      </c>
      <c r="Q547" s="11" t="s">
        <v>205</v>
      </c>
      <c r="R547" s="11" t="s">
        <v>90</v>
      </c>
      <c r="S547" s="11" t="s">
        <v>1379</v>
      </c>
      <c r="T547" s="11" t="s">
        <v>1380</v>
      </c>
      <c r="U547" s="16">
        <v>9227696601</v>
      </c>
      <c r="V547" s="11" t="s">
        <v>31</v>
      </c>
      <c r="W547" s="26">
        <v>41608</v>
      </c>
      <c r="X547" s="46">
        <v>41579</v>
      </c>
      <c r="Y547" s="64">
        <f t="shared" si="16"/>
        <v>0</v>
      </c>
      <c r="Z547" s="11" t="s">
        <v>123</v>
      </c>
      <c r="AA547" s="64">
        <f t="shared" si="17"/>
        <v>0</v>
      </c>
      <c r="AB547" s="64">
        <f>IF($B547="","",(COUNTIFS(Rships!$C$2:$C$9990,$A547,Rships!$D$2:$D$9990,1)))</f>
        <v>0</v>
      </c>
      <c r="AC547" s="64">
        <f>IF($B547="","",(COUNTIFS(Rships!$C$2:$C$9990,$A547,Rships!$D$2:$D$9990,2)))</f>
        <v>0</v>
      </c>
      <c r="AD547" s="64">
        <f>IF($B547="","",(COUNTIFS(Rships!$C$2:$C$9990,$A547,Rships!$D$2:$D$9990,3)))</f>
        <v>0</v>
      </c>
      <c r="AE547" s="64">
        <f>IF($B547="","",(COUNTIFS(Rships!$C$2:$C$9990,$A547,Rships!$D$2:$D$9990,4)))</f>
        <v>0</v>
      </c>
      <c r="AF547" s="64">
        <f>IF($B547="","",(COUNTIFS(Rships!$C$2:$C$9990,$A547,Rships!$D$2:$D$9990,5)))</f>
        <v>0</v>
      </c>
      <c r="AG547" s="64">
        <f>IF($B547="","",(COUNTIFS(Rships!$C$2:$C$9990,$A547,Rships!$D$2:$D$9990,6)))</f>
        <v>0</v>
      </c>
      <c r="AH547" s="64">
        <f>IF($B547="","",(COUNTIFS(Rships!$C$2:$C$9990,$A547,Rships!$D$2:$D$9990,7)))</f>
        <v>0</v>
      </c>
    </row>
    <row r="548" spans="1:34">
      <c r="A548" s="1" t="s">
        <v>799</v>
      </c>
      <c r="C548" s="11" t="s">
        <v>19</v>
      </c>
      <c r="D548" s="11" t="s">
        <v>21</v>
      </c>
      <c r="F548" s="15"/>
      <c r="G548" s="15"/>
      <c r="I548" s="17"/>
      <c r="O548" s="11" t="s">
        <v>27</v>
      </c>
      <c r="Y548" s="64">
        <f t="shared" si="16"/>
        <v>0</v>
      </c>
      <c r="AA548" s="64">
        <f t="shared" si="17"/>
        <v>0</v>
      </c>
      <c r="AB548" s="64" t="str">
        <f>IF($B548="","",(COUNTIFS(Rships!$C$2:$C$9990,$A548,Rships!$D$2:$D$9990,1)))</f>
        <v/>
      </c>
      <c r="AC548" s="64" t="str">
        <f>IF($B548="","",(COUNTIFS(Rships!$C$2:$C$9990,$A548,Rships!$D$2:$D$9990,2)))</f>
        <v/>
      </c>
      <c r="AD548" s="64" t="str">
        <f>IF($B548="","",(COUNTIFS(Rships!$C$2:$C$9990,$A548,Rships!$D$2:$D$9990,3)))</f>
        <v/>
      </c>
      <c r="AE548" s="64" t="str">
        <f>IF($B548="","",(COUNTIFS(Rships!$C$2:$C$9990,$A548,Rships!$D$2:$D$9990,4)))</f>
        <v/>
      </c>
      <c r="AF548" s="64" t="str">
        <f>IF($B548="","",(COUNTIFS(Rships!$C$2:$C$9990,$A548,Rships!$D$2:$D$9990,5)))</f>
        <v/>
      </c>
      <c r="AG548" s="64" t="str">
        <f>IF($B548="","",(COUNTIFS(Rships!$C$2:$C$9990,$A548,Rships!$D$2:$D$9990,6)))</f>
        <v/>
      </c>
      <c r="AH548" s="64" t="str">
        <f>IF($B548="","",(COUNTIFS(Rships!$C$2:$C$9990,$A548,Rships!$D$2:$D$9990,7)))</f>
        <v/>
      </c>
    </row>
    <row r="549" spans="1:34">
      <c r="A549" s="1" t="s">
        <v>800</v>
      </c>
      <c r="C549" s="11" t="s">
        <v>19</v>
      </c>
      <c r="D549" s="11" t="s">
        <v>21</v>
      </c>
      <c r="F549" s="15"/>
      <c r="G549" s="15"/>
      <c r="I549" s="17"/>
      <c r="O549" s="11" t="s">
        <v>27</v>
      </c>
      <c r="Y549" s="64">
        <f t="shared" si="16"/>
        <v>0</v>
      </c>
      <c r="AA549" s="64">
        <f t="shared" si="17"/>
        <v>0</v>
      </c>
      <c r="AB549" s="64" t="str">
        <f>IF($B549="","",(COUNTIFS(Rships!$C$2:$C$9990,$A549,Rships!$D$2:$D$9990,1)))</f>
        <v/>
      </c>
      <c r="AC549" s="64" t="str">
        <f>IF($B549="","",(COUNTIFS(Rships!$C$2:$C$9990,$A549,Rships!$D$2:$D$9990,2)))</f>
        <v/>
      </c>
      <c r="AD549" s="64" t="str">
        <f>IF($B549="","",(COUNTIFS(Rships!$C$2:$C$9990,$A549,Rships!$D$2:$D$9990,3)))</f>
        <v/>
      </c>
      <c r="AE549" s="64" t="str">
        <f>IF($B549="","",(COUNTIFS(Rships!$C$2:$C$9990,$A549,Rships!$D$2:$D$9990,4)))</f>
        <v/>
      </c>
      <c r="AF549" s="64" t="str">
        <f>IF($B549="","",(COUNTIFS(Rships!$C$2:$C$9990,$A549,Rships!$D$2:$D$9990,5)))</f>
        <v/>
      </c>
      <c r="AG549" s="64" t="str">
        <f>IF($B549="","",(COUNTIFS(Rships!$C$2:$C$9990,$A549,Rships!$D$2:$D$9990,6)))</f>
        <v/>
      </c>
      <c r="AH549" s="64" t="str">
        <f>IF($B549="","",(COUNTIFS(Rships!$C$2:$C$9990,$A549,Rships!$D$2:$D$9990,7)))</f>
        <v/>
      </c>
    </row>
    <row r="550" spans="1:34">
      <c r="A550" s="1" t="s">
        <v>801</v>
      </c>
      <c r="C550" s="11" t="s">
        <v>19</v>
      </c>
      <c r="D550" s="11" t="s">
        <v>21</v>
      </c>
      <c r="F550" s="15"/>
      <c r="G550" s="15"/>
      <c r="I550" s="17"/>
      <c r="O550" s="11" t="s">
        <v>27</v>
      </c>
      <c r="Y550" s="64">
        <f t="shared" si="16"/>
        <v>0</v>
      </c>
      <c r="AA550" s="64">
        <f t="shared" si="17"/>
        <v>0</v>
      </c>
      <c r="AB550" s="64" t="str">
        <f>IF($B550="","",(COUNTIFS(Rships!$C$2:$C$9990,$A550,Rships!$D$2:$D$9990,1)))</f>
        <v/>
      </c>
      <c r="AC550" s="64" t="str">
        <f>IF($B550="","",(COUNTIFS(Rships!$C$2:$C$9990,$A550,Rships!$D$2:$D$9990,2)))</f>
        <v/>
      </c>
      <c r="AD550" s="64" t="str">
        <f>IF($B550="","",(COUNTIFS(Rships!$C$2:$C$9990,$A550,Rships!$D$2:$D$9990,3)))</f>
        <v/>
      </c>
      <c r="AE550" s="64" t="str">
        <f>IF($B550="","",(COUNTIFS(Rships!$C$2:$C$9990,$A550,Rships!$D$2:$D$9990,4)))</f>
        <v/>
      </c>
      <c r="AF550" s="64" t="str">
        <f>IF($B550="","",(COUNTIFS(Rships!$C$2:$C$9990,$A550,Rships!$D$2:$D$9990,5)))</f>
        <v/>
      </c>
      <c r="AG550" s="64" t="str">
        <f>IF($B550="","",(COUNTIFS(Rships!$C$2:$C$9990,$A550,Rships!$D$2:$D$9990,6)))</f>
        <v/>
      </c>
      <c r="AH550" s="64" t="str">
        <f>IF($B550="","",(COUNTIFS(Rships!$C$2:$C$9990,$A550,Rships!$D$2:$D$9990,7)))</f>
        <v/>
      </c>
    </row>
    <row r="551" spans="1:34">
      <c r="A551" s="1" t="s">
        <v>802</v>
      </c>
      <c r="C551" s="11" t="s">
        <v>19</v>
      </c>
      <c r="D551" s="11" t="s">
        <v>21</v>
      </c>
      <c r="F551" s="15"/>
      <c r="G551" s="15"/>
      <c r="I551" s="17"/>
      <c r="O551" s="11" t="s">
        <v>27</v>
      </c>
      <c r="Y551" s="64">
        <f t="shared" si="16"/>
        <v>0</v>
      </c>
      <c r="AA551" s="64">
        <f t="shared" si="17"/>
        <v>0</v>
      </c>
      <c r="AB551" s="64" t="str">
        <f>IF($B551="","",(COUNTIFS(Rships!$C$2:$C$9990,$A551,Rships!$D$2:$D$9990,1)))</f>
        <v/>
      </c>
      <c r="AC551" s="64" t="str">
        <f>IF($B551="","",(COUNTIFS(Rships!$C$2:$C$9990,$A551,Rships!$D$2:$D$9990,2)))</f>
        <v/>
      </c>
      <c r="AD551" s="64" t="str">
        <f>IF($B551="","",(COUNTIFS(Rships!$C$2:$C$9990,$A551,Rships!$D$2:$D$9990,3)))</f>
        <v/>
      </c>
      <c r="AE551" s="64" t="str">
        <f>IF($B551="","",(COUNTIFS(Rships!$C$2:$C$9990,$A551,Rships!$D$2:$D$9990,4)))</f>
        <v/>
      </c>
      <c r="AF551" s="64" t="str">
        <f>IF($B551="","",(COUNTIFS(Rships!$C$2:$C$9990,$A551,Rships!$D$2:$D$9990,5)))</f>
        <v/>
      </c>
      <c r="AG551" s="64" t="str">
        <f>IF($B551="","",(COUNTIFS(Rships!$C$2:$C$9990,$A551,Rships!$D$2:$D$9990,6)))</f>
        <v/>
      </c>
      <c r="AH551" s="64" t="str">
        <f>IF($B551="","",(COUNTIFS(Rships!$C$2:$C$9990,$A551,Rships!$D$2:$D$9990,7)))</f>
        <v/>
      </c>
    </row>
    <row r="552" spans="1:34">
      <c r="A552" s="1" t="s">
        <v>803</v>
      </c>
      <c r="C552" s="11" t="s">
        <v>19</v>
      </c>
      <c r="D552" s="11" t="s">
        <v>21</v>
      </c>
      <c r="F552" s="15"/>
      <c r="G552" s="15"/>
      <c r="I552" s="17"/>
      <c r="O552" s="11" t="s">
        <v>27</v>
      </c>
      <c r="Y552" s="64">
        <f t="shared" si="16"/>
        <v>0</v>
      </c>
      <c r="AA552" s="64">
        <f t="shared" si="17"/>
        <v>0</v>
      </c>
      <c r="AB552" s="64" t="str">
        <f>IF($B552="","",(COUNTIFS(Rships!$C$2:$C$9990,$A552,Rships!$D$2:$D$9990,1)))</f>
        <v/>
      </c>
      <c r="AC552" s="64" t="str">
        <f>IF($B552="","",(COUNTIFS(Rships!$C$2:$C$9990,$A552,Rships!$D$2:$D$9990,2)))</f>
        <v/>
      </c>
      <c r="AD552" s="64" t="str">
        <f>IF($B552="","",(COUNTIFS(Rships!$C$2:$C$9990,$A552,Rships!$D$2:$D$9990,3)))</f>
        <v/>
      </c>
      <c r="AE552" s="64" t="str">
        <f>IF($B552="","",(COUNTIFS(Rships!$C$2:$C$9990,$A552,Rships!$D$2:$D$9990,4)))</f>
        <v/>
      </c>
      <c r="AF552" s="64" t="str">
        <f>IF($B552="","",(COUNTIFS(Rships!$C$2:$C$9990,$A552,Rships!$D$2:$D$9990,5)))</f>
        <v/>
      </c>
      <c r="AG552" s="64" t="str">
        <f>IF($B552="","",(COUNTIFS(Rships!$C$2:$C$9990,$A552,Rships!$D$2:$D$9990,6)))</f>
        <v/>
      </c>
      <c r="AH552" s="64" t="str">
        <f>IF($B552="","",(COUNTIFS(Rships!$C$2:$C$9990,$A552,Rships!$D$2:$D$9990,7)))</f>
        <v/>
      </c>
    </row>
    <row r="553" spans="1:34">
      <c r="A553" s="1" t="s">
        <v>804</v>
      </c>
      <c r="C553" s="11" t="s">
        <v>19</v>
      </c>
      <c r="D553" s="11" t="s">
        <v>21</v>
      </c>
      <c r="F553" s="15"/>
      <c r="G553" s="15"/>
      <c r="I553" s="17"/>
      <c r="O553" s="11" t="s">
        <v>27</v>
      </c>
      <c r="Y553" s="64">
        <f t="shared" si="16"/>
        <v>0</v>
      </c>
      <c r="AA553" s="64">
        <f t="shared" si="17"/>
        <v>0</v>
      </c>
      <c r="AB553" s="64" t="str">
        <f>IF($B553="","",(COUNTIFS(Rships!$C$2:$C$9990,$A553,Rships!$D$2:$D$9990,1)))</f>
        <v/>
      </c>
      <c r="AC553" s="64" t="str">
        <f>IF($B553="","",(COUNTIFS(Rships!$C$2:$C$9990,$A553,Rships!$D$2:$D$9990,2)))</f>
        <v/>
      </c>
      <c r="AD553" s="64" t="str">
        <f>IF($B553="","",(COUNTIFS(Rships!$C$2:$C$9990,$A553,Rships!$D$2:$D$9990,3)))</f>
        <v/>
      </c>
      <c r="AE553" s="64" t="str">
        <f>IF($B553="","",(COUNTIFS(Rships!$C$2:$C$9990,$A553,Rships!$D$2:$D$9990,4)))</f>
        <v/>
      </c>
      <c r="AF553" s="64" t="str">
        <f>IF($B553="","",(COUNTIFS(Rships!$C$2:$C$9990,$A553,Rships!$D$2:$D$9990,5)))</f>
        <v/>
      </c>
      <c r="AG553" s="64" t="str">
        <f>IF($B553="","",(COUNTIFS(Rships!$C$2:$C$9990,$A553,Rships!$D$2:$D$9990,6)))</f>
        <v/>
      </c>
      <c r="AH553" s="64" t="str">
        <f>IF($B553="","",(COUNTIFS(Rships!$C$2:$C$9990,$A553,Rships!$D$2:$D$9990,7)))</f>
        <v/>
      </c>
    </row>
    <row r="554" spans="1:34">
      <c r="A554" s="1" t="s">
        <v>805</v>
      </c>
      <c r="C554" s="11" t="s">
        <v>19</v>
      </c>
      <c r="D554" s="11" t="s">
        <v>21</v>
      </c>
      <c r="F554" s="15"/>
      <c r="G554" s="15"/>
      <c r="I554" s="17"/>
      <c r="O554" s="11" t="s">
        <v>27</v>
      </c>
      <c r="Y554" s="64">
        <f t="shared" si="16"/>
        <v>0</v>
      </c>
      <c r="AA554" s="64">
        <f t="shared" si="17"/>
        <v>0</v>
      </c>
      <c r="AB554" s="64" t="str">
        <f>IF($B554="","",(COUNTIFS(Rships!$C$2:$C$9990,$A554,Rships!$D$2:$D$9990,1)))</f>
        <v/>
      </c>
      <c r="AC554" s="64" t="str">
        <f>IF($B554="","",(COUNTIFS(Rships!$C$2:$C$9990,$A554,Rships!$D$2:$D$9990,2)))</f>
        <v/>
      </c>
      <c r="AD554" s="64" t="str">
        <f>IF($B554="","",(COUNTIFS(Rships!$C$2:$C$9990,$A554,Rships!$D$2:$D$9990,3)))</f>
        <v/>
      </c>
      <c r="AE554" s="64" t="str">
        <f>IF($B554="","",(COUNTIFS(Rships!$C$2:$C$9990,$A554,Rships!$D$2:$D$9990,4)))</f>
        <v/>
      </c>
      <c r="AF554" s="64" t="str">
        <f>IF($B554="","",(COUNTIFS(Rships!$C$2:$C$9990,$A554,Rships!$D$2:$D$9990,5)))</f>
        <v/>
      </c>
      <c r="AG554" s="64" t="str">
        <f>IF($B554="","",(COUNTIFS(Rships!$C$2:$C$9990,$A554,Rships!$D$2:$D$9990,6)))</f>
        <v/>
      </c>
      <c r="AH554" s="64" t="str">
        <f>IF($B554="","",(COUNTIFS(Rships!$C$2:$C$9990,$A554,Rships!$D$2:$D$9990,7)))</f>
        <v/>
      </c>
    </row>
    <row r="555" spans="1:34">
      <c r="A555" s="1" t="s">
        <v>806</v>
      </c>
      <c r="C555" s="11" t="s">
        <v>19</v>
      </c>
      <c r="D555" s="11" t="s">
        <v>21</v>
      </c>
      <c r="F555" s="15"/>
      <c r="G555" s="15"/>
      <c r="I555" s="17"/>
      <c r="O555" s="11" t="s">
        <v>27</v>
      </c>
      <c r="Y555" s="64">
        <f t="shared" si="16"/>
        <v>0</v>
      </c>
      <c r="AA555" s="64">
        <f t="shared" si="17"/>
        <v>0</v>
      </c>
      <c r="AB555" s="64" t="str">
        <f>IF($B555="","",(COUNTIFS(Rships!$C$2:$C$9990,$A555,Rships!$D$2:$D$9990,1)))</f>
        <v/>
      </c>
      <c r="AC555" s="64" t="str">
        <f>IF($B555="","",(COUNTIFS(Rships!$C$2:$C$9990,$A555,Rships!$D$2:$D$9990,2)))</f>
        <v/>
      </c>
      <c r="AD555" s="64" t="str">
        <f>IF($B555="","",(COUNTIFS(Rships!$C$2:$C$9990,$A555,Rships!$D$2:$D$9990,3)))</f>
        <v/>
      </c>
      <c r="AE555" s="64" t="str">
        <f>IF($B555="","",(COUNTIFS(Rships!$C$2:$C$9990,$A555,Rships!$D$2:$D$9990,4)))</f>
        <v/>
      </c>
      <c r="AF555" s="64" t="str">
        <f>IF($B555="","",(COUNTIFS(Rships!$C$2:$C$9990,$A555,Rships!$D$2:$D$9990,5)))</f>
        <v/>
      </c>
      <c r="AG555" s="64" t="str">
        <f>IF($B555="","",(COUNTIFS(Rships!$C$2:$C$9990,$A555,Rships!$D$2:$D$9990,6)))</f>
        <v/>
      </c>
      <c r="AH555" s="64" t="str">
        <f>IF($B555="","",(COUNTIFS(Rships!$C$2:$C$9990,$A555,Rships!$D$2:$D$9990,7)))</f>
        <v/>
      </c>
    </row>
    <row r="556" spans="1:34" ht="15">
      <c r="A556" s="1" t="s">
        <v>807</v>
      </c>
      <c r="C556" s="11" t="s">
        <v>19</v>
      </c>
      <c r="D556" s="11" t="s">
        <v>21</v>
      </c>
      <c r="F556" s="15"/>
      <c r="G556" s="15"/>
      <c r="I556" s="17"/>
      <c r="J556" s="33"/>
      <c r="O556" s="11" t="s">
        <v>27</v>
      </c>
      <c r="Y556" s="64">
        <f t="shared" si="16"/>
        <v>0</v>
      </c>
      <c r="AA556" s="64">
        <f t="shared" si="17"/>
        <v>0</v>
      </c>
      <c r="AB556" s="64" t="str">
        <f>IF($B556="","",(COUNTIFS(Rships!$C$2:$C$9990,$A556,Rships!$D$2:$D$9990,1)))</f>
        <v/>
      </c>
      <c r="AC556" s="64" t="str">
        <f>IF($B556="","",(COUNTIFS(Rships!$C$2:$C$9990,$A556,Rships!$D$2:$D$9990,2)))</f>
        <v/>
      </c>
      <c r="AD556" s="64" t="str">
        <f>IF($B556="","",(COUNTIFS(Rships!$C$2:$C$9990,$A556,Rships!$D$2:$D$9990,3)))</f>
        <v/>
      </c>
      <c r="AE556" s="64" t="str">
        <f>IF($B556="","",(COUNTIFS(Rships!$C$2:$C$9990,$A556,Rships!$D$2:$D$9990,4)))</f>
        <v/>
      </c>
      <c r="AF556" s="64" t="str">
        <f>IF($B556="","",(COUNTIFS(Rships!$C$2:$C$9990,$A556,Rships!$D$2:$D$9990,5)))</f>
        <v/>
      </c>
      <c r="AG556" s="64" t="str">
        <f>IF($B556="","",(COUNTIFS(Rships!$C$2:$C$9990,$A556,Rships!$D$2:$D$9990,6)))</f>
        <v/>
      </c>
      <c r="AH556" s="64" t="str">
        <f>IF($B556="","",(COUNTIFS(Rships!$C$2:$C$9990,$A556,Rships!$D$2:$D$9990,7)))</f>
        <v/>
      </c>
    </row>
    <row r="557" spans="1:34" s="29" customFormat="1">
      <c r="A557" s="1" t="s">
        <v>808</v>
      </c>
      <c r="B557" s="35" t="s">
        <v>137</v>
      </c>
      <c r="C557" s="29" t="s">
        <v>19</v>
      </c>
      <c r="D557" s="29" t="s">
        <v>21</v>
      </c>
      <c r="E557" s="29" t="s">
        <v>154</v>
      </c>
      <c r="F557" s="30" t="s">
        <v>157</v>
      </c>
      <c r="G557" s="30" t="s">
        <v>158</v>
      </c>
      <c r="H557" s="31">
        <v>6506235748084</v>
      </c>
      <c r="I557" s="32">
        <v>825261729</v>
      </c>
      <c r="J557" s="15" t="s">
        <v>155</v>
      </c>
      <c r="K557" s="29" t="s">
        <v>159</v>
      </c>
      <c r="L557" s="31">
        <v>2571</v>
      </c>
      <c r="M557" s="29" t="s">
        <v>159</v>
      </c>
      <c r="N557" s="31">
        <v>2571</v>
      </c>
      <c r="O557" s="29" t="s">
        <v>26</v>
      </c>
      <c r="P557" s="34"/>
      <c r="Q557" s="29" t="s">
        <v>156</v>
      </c>
      <c r="R557" s="29" t="s">
        <v>90</v>
      </c>
      <c r="S557" s="29" t="s">
        <v>160</v>
      </c>
      <c r="T557" s="29" t="s">
        <v>161</v>
      </c>
      <c r="U557" s="31">
        <v>9123062037</v>
      </c>
      <c r="V557" s="29" t="s">
        <v>31</v>
      </c>
      <c r="W557" s="26">
        <v>41608</v>
      </c>
      <c r="X557" s="48">
        <v>41591</v>
      </c>
      <c r="Y557" s="64">
        <f t="shared" si="16"/>
        <v>0</v>
      </c>
      <c r="Z557" s="29" t="s">
        <v>160</v>
      </c>
      <c r="AA557" s="64">
        <f t="shared" si="17"/>
        <v>0</v>
      </c>
      <c r="AB557" s="64">
        <f>IF($B557="","",(COUNTIFS(Rships!$C$2:$C$9990,$A557,Rships!$D$2:$D$9990,1)))</f>
        <v>0</v>
      </c>
      <c r="AC557" s="64">
        <f>IF($B557="","",(COUNTIFS(Rships!$C$2:$C$9990,$A557,Rships!$D$2:$D$9990,2)))</f>
        <v>0</v>
      </c>
      <c r="AD557" s="64">
        <f>IF($B557="","",(COUNTIFS(Rships!$C$2:$C$9990,$A557,Rships!$D$2:$D$9990,3)))</f>
        <v>0</v>
      </c>
      <c r="AE557" s="64">
        <f>IF($B557="","",(COUNTIFS(Rships!$C$2:$C$9990,$A557,Rships!$D$2:$D$9990,4)))</f>
        <v>0</v>
      </c>
      <c r="AF557" s="64">
        <f>IF($B557="","",(COUNTIFS(Rships!$C$2:$C$9990,$A557,Rships!$D$2:$D$9990,5)))</f>
        <v>0</v>
      </c>
      <c r="AG557" s="64">
        <f>IF($B557="","",(COUNTIFS(Rships!$C$2:$C$9990,$A557,Rships!$D$2:$D$9990,6)))</f>
        <v>0</v>
      </c>
      <c r="AH557" s="64">
        <f>IF($B557="","",(COUNTIFS(Rships!$C$2:$C$9990,$A557,Rships!$D$2:$D$9990,7)))</f>
        <v>0</v>
      </c>
    </row>
    <row r="558" spans="1:34">
      <c r="A558" s="1" t="s">
        <v>809</v>
      </c>
      <c r="C558" s="11" t="s">
        <v>19</v>
      </c>
      <c r="D558" s="11" t="s">
        <v>21</v>
      </c>
      <c r="F558" s="15"/>
      <c r="G558" s="15"/>
      <c r="I558" s="17"/>
      <c r="O558" s="11" t="s">
        <v>27</v>
      </c>
      <c r="Y558" s="64">
        <f t="shared" si="16"/>
        <v>0</v>
      </c>
      <c r="AA558" s="64">
        <f t="shared" si="17"/>
        <v>0</v>
      </c>
      <c r="AB558" s="64" t="str">
        <f>IF($B558="","",(COUNTIFS(Rships!$C$2:$C$9990,$A558,Rships!$D$2:$D$9990,1)))</f>
        <v/>
      </c>
      <c r="AC558" s="64" t="str">
        <f>IF($B558="","",(COUNTIFS(Rships!$C$2:$C$9990,$A558,Rships!$D$2:$D$9990,2)))</f>
        <v/>
      </c>
      <c r="AD558" s="64" t="str">
        <f>IF($B558="","",(COUNTIFS(Rships!$C$2:$C$9990,$A558,Rships!$D$2:$D$9990,3)))</f>
        <v/>
      </c>
      <c r="AE558" s="64" t="str">
        <f>IF($B558="","",(COUNTIFS(Rships!$C$2:$C$9990,$A558,Rships!$D$2:$D$9990,4)))</f>
        <v/>
      </c>
      <c r="AF558" s="64" t="str">
        <f>IF($B558="","",(COUNTIFS(Rships!$C$2:$C$9990,$A558,Rships!$D$2:$D$9990,5)))</f>
        <v/>
      </c>
      <c r="AG558" s="64" t="str">
        <f>IF($B558="","",(COUNTIFS(Rships!$C$2:$C$9990,$A558,Rships!$D$2:$D$9990,6)))</f>
        <v/>
      </c>
      <c r="AH558" s="64" t="str">
        <f>IF($B558="","",(COUNTIFS(Rships!$C$2:$C$9990,$A558,Rships!$D$2:$D$9990,7)))</f>
        <v/>
      </c>
    </row>
    <row r="559" spans="1:34">
      <c r="A559" s="1" t="s">
        <v>810</v>
      </c>
      <c r="C559" s="11" t="s">
        <v>19</v>
      </c>
      <c r="D559" s="11" t="s">
        <v>21</v>
      </c>
      <c r="F559" s="15"/>
      <c r="G559" s="15"/>
      <c r="I559" s="17"/>
      <c r="O559" s="11" t="s">
        <v>27</v>
      </c>
      <c r="Y559" s="64">
        <f t="shared" si="16"/>
        <v>0</v>
      </c>
      <c r="AA559" s="64">
        <f t="shared" si="17"/>
        <v>0</v>
      </c>
      <c r="AB559" s="64" t="str">
        <f>IF($B559="","",(COUNTIFS(Rships!$C$2:$C$9990,$A559,Rships!$D$2:$D$9990,1)))</f>
        <v/>
      </c>
      <c r="AC559" s="64" t="str">
        <f>IF($B559="","",(COUNTIFS(Rships!$C$2:$C$9990,$A559,Rships!$D$2:$D$9990,2)))</f>
        <v/>
      </c>
      <c r="AD559" s="64" t="str">
        <f>IF($B559="","",(COUNTIFS(Rships!$C$2:$C$9990,$A559,Rships!$D$2:$D$9990,3)))</f>
        <v/>
      </c>
      <c r="AE559" s="64" t="str">
        <f>IF($B559="","",(COUNTIFS(Rships!$C$2:$C$9990,$A559,Rships!$D$2:$D$9990,4)))</f>
        <v/>
      </c>
      <c r="AF559" s="64" t="str">
        <f>IF($B559="","",(COUNTIFS(Rships!$C$2:$C$9990,$A559,Rships!$D$2:$D$9990,5)))</f>
        <v/>
      </c>
      <c r="AG559" s="64" t="str">
        <f>IF($B559="","",(COUNTIFS(Rships!$C$2:$C$9990,$A559,Rships!$D$2:$D$9990,6)))</f>
        <v/>
      </c>
      <c r="AH559" s="64" t="str">
        <f>IF($B559="","",(COUNTIFS(Rships!$C$2:$C$9990,$A559,Rships!$D$2:$D$9990,7)))</f>
        <v/>
      </c>
    </row>
    <row r="560" spans="1:34">
      <c r="A560" s="1" t="s">
        <v>811</v>
      </c>
      <c r="C560" s="11" t="s">
        <v>19</v>
      </c>
      <c r="D560" s="11" t="s">
        <v>21</v>
      </c>
      <c r="F560" s="15"/>
      <c r="G560" s="15"/>
      <c r="I560" s="17"/>
      <c r="O560" s="11" t="s">
        <v>27</v>
      </c>
      <c r="Y560" s="64">
        <f t="shared" si="16"/>
        <v>0</v>
      </c>
      <c r="AA560" s="64">
        <f t="shared" si="17"/>
        <v>0</v>
      </c>
      <c r="AB560" s="64" t="str">
        <f>IF($B560="","",(COUNTIFS(Rships!$C$2:$C$9990,$A560,Rships!$D$2:$D$9990,1)))</f>
        <v/>
      </c>
      <c r="AC560" s="64" t="str">
        <f>IF($B560="","",(COUNTIFS(Rships!$C$2:$C$9990,$A560,Rships!$D$2:$D$9990,2)))</f>
        <v/>
      </c>
      <c r="AD560" s="64" t="str">
        <f>IF($B560="","",(COUNTIFS(Rships!$C$2:$C$9990,$A560,Rships!$D$2:$D$9990,3)))</f>
        <v/>
      </c>
      <c r="AE560" s="64" t="str">
        <f>IF($B560="","",(COUNTIFS(Rships!$C$2:$C$9990,$A560,Rships!$D$2:$D$9990,4)))</f>
        <v/>
      </c>
      <c r="AF560" s="64" t="str">
        <f>IF($B560="","",(COUNTIFS(Rships!$C$2:$C$9990,$A560,Rships!$D$2:$D$9990,5)))</f>
        <v/>
      </c>
      <c r="AG560" s="64" t="str">
        <f>IF($B560="","",(COUNTIFS(Rships!$C$2:$C$9990,$A560,Rships!$D$2:$D$9990,6)))</f>
        <v/>
      </c>
      <c r="AH560" s="64" t="str">
        <f>IF($B560="","",(COUNTIFS(Rships!$C$2:$C$9990,$A560,Rships!$D$2:$D$9990,7)))</f>
        <v/>
      </c>
    </row>
    <row r="561" spans="1:34">
      <c r="A561" s="1" t="s">
        <v>812</v>
      </c>
      <c r="C561" s="11" t="s">
        <v>19</v>
      </c>
      <c r="D561" s="11" t="s">
        <v>21</v>
      </c>
      <c r="F561" s="15"/>
      <c r="G561" s="15"/>
      <c r="I561" s="17"/>
      <c r="O561" s="11" t="s">
        <v>27</v>
      </c>
      <c r="Y561" s="64">
        <f t="shared" si="16"/>
        <v>0</v>
      </c>
      <c r="AA561" s="64">
        <f t="shared" si="17"/>
        <v>0</v>
      </c>
      <c r="AB561" s="64" t="str">
        <f>IF($B561="","",(COUNTIFS(Rships!$C$2:$C$9990,$A561,Rships!$D$2:$D$9990,1)))</f>
        <v/>
      </c>
      <c r="AC561" s="64" t="str">
        <f>IF($B561="","",(COUNTIFS(Rships!$C$2:$C$9990,$A561,Rships!$D$2:$D$9990,2)))</f>
        <v/>
      </c>
      <c r="AD561" s="64" t="str">
        <f>IF($B561="","",(COUNTIFS(Rships!$C$2:$C$9990,$A561,Rships!$D$2:$D$9990,3)))</f>
        <v/>
      </c>
      <c r="AE561" s="64" t="str">
        <f>IF($B561="","",(COUNTIFS(Rships!$C$2:$C$9990,$A561,Rships!$D$2:$D$9990,4)))</f>
        <v/>
      </c>
      <c r="AF561" s="64" t="str">
        <f>IF($B561="","",(COUNTIFS(Rships!$C$2:$C$9990,$A561,Rships!$D$2:$D$9990,5)))</f>
        <v/>
      </c>
      <c r="AG561" s="64" t="str">
        <f>IF($B561="","",(COUNTIFS(Rships!$C$2:$C$9990,$A561,Rships!$D$2:$D$9990,6)))</f>
        <v/>
      </c>
      <c r="AH561" s="64" t="str">
        <f>IF($B561="","",(COUNTIFS(Rships!$C$2:$C$9990,$A561,Rships!$D$2:$D$9990,7)))</f>
        <v/>
      </c>
    </row>
    <row r="562" spans="1:34">
      <c r="A562" s="1" t="s">
        <v>813</v>
      </c>
      <c r="C562" s="11" t="s">
        <v>19</v>
      </c>
      <c r="D562" s="11" t="s">
        <v>21</v>
      </c>
      <c r="F562" s="15"/>
      <c r="G562" s="15"/>
      <c r="I562" s="17"/>
      <c r="O562" s="11" t="s">
        <v>27</v>
      </c>
      <c r="Y562" s="64">
        <f t="shared" si="16"/>
        <v>0</v>
      </c>
      <c r="AA562" s="64">
        <f t="shared" si="17"/>
        <v>0</v>
      </c>
      <c r="AB562" s="64" t="str">
        <f>IF($B562="","",(COUNTIFS(Rships!$C$2:$C$9990,$A562,Rships!$D$2:$D$9990,1)))</f>
        <v/>
      </c>
      <c r="AC562" s="64" t="str">
        <f>IF($B562="","",(COUNTIFS(Rships!$C$2:$C$9990,$A562,Rships!$D$2:$D$9990,2)))</f>
        <v/>
      </c>
      <c r="AD562" s="64" t="str">
        <f>IF($B562="","",(COUNTIFS(Rships!$C$2:$C$9990,$A562,Rships!$D$2:$D$9990,3)))</f>
        <v/>
      </c>
      <c r="AE562" s="64" t="str">
        <f>IF($B562="","",(COUNTIFS(Rships!$C$2:$C$9990,$A562,Rships!$D$2:$D$9990,4)))</f>
        <v/>
      </c>
      <c r="AF562" s="64" t="str">
        <f>IF($B562="","",(COUNTIFS(Rships!$C$2:$C$9990,$A562,Rships!$D$2:$D$9990,5)))</f>
        <v/>
      </c>
      <c r="AG562" s="64" t="str">
        <f>IF($B562="","",(COUNTIFS(Rships!$C$2:$C$9990,$A562,Rships!$D$2:$D$9990,6)))</f>
        <v/>
      </c>
      <c r="AH562" s="64" t="str">
        <f>IF($B562="","",(COUNTIFS(Rships!$C$2:$C$9990,$A562,Rships!$D$2:$D$9990,7)))</f>
        <v/>
      </c>
    </row>
    <row r="563" spans="1:34">
      <c r="A563" s="1" t="s">
        <v>814</v>
      </c>
      <c r="C563" s="11" t="s">
        <v>19</v>
      </c>
      <c r="D563" s="11" t="s">
        <v>21</v>
      </c>
      <c r="F563" s="15"/>
      <c r="G563" s="15"/>
      <c r="I563" s="17"/>
      <c r="O563" s="11" t="s">
        <v>27</v>
      </c>
      <c r="Y563" s="64">
        <f t="shared" ref="Y563:Y626" si="18">SUMIF($B$2:$B$100,$A563,$AA$2:$AA$100)</f>
        <v>0</v>
      </c>
      <c r="AA563" s="64">
        <f t="shared" si="17"/>
        <v>0</v>
      </c>
      <c r="AB563" s="64" t="str">
        <f>IF($B563="","",(COUNTIFS(Rships!$C$2:$C$9990,$A563,Rships!$D$2:$D$9990,1)))</f>
        <v/>
      </c>
      <c r="AC563" s="64" t="str">
        <f>IF($B563="","",(COUNTIFS(Rships!$C$2:$C$9990,$A563,Rships!$D$2:$D$9990,2)))</f>
        <v/>
      </c>
      <c r="AD563" s="64" t="str">
        <f>IF($B563="","",(COUNTIFS(Rships!$C$2:$C$9990,$A563,Rships!$D$2:$D$9990,3)))</f>
        <v/>
      </c>
      <c r="AE563" s="64" t="str">
        <f>IF($B563="","",(COUNTIFS(Rships!$C$2:$C$9990,$A563,Rships!$D$2:$D$9990,4)))</f>
        <v/>
      </c>
      <c r="AF563" s="64" t="str">
        <f>IF($B563="","",(COUNTIFS(Rships!$C$2:$C$9990,$A563,Rships!$D$2:$D$9990,5)))</f>
        <v/>
      </c>
      <c r="AG563" s="64" t="str">
        <f>IF($B563="","",(COUNTIFS(Rships!$C$2:$C$9990,$A563,Rships!$D$2:$D$9990,6)))</f>
        <v/>
      </c>
      <c r="AH563" s="64" t="str">
        <f>IF($B563="","",(COUNTIFS(Rships!$C$2:$C$9990,$A563,Rships!$D$2:$D$9990,7)))</f>
        <v/>
      </c>
    </row>
    <row r="564" spans="1:34">
      <c r="A564" s="1" t="s">
        <v>815</v>
      </c>
      <c r="C564" s="11" t="s">
        <v>19</v>
      </c>
      <c r="D564" s="11" t="s">
        <v>21</v>
      </c>
      <c r="F564" s="15"/>
      <c r="G564" s="15"/>
      <c r="I564" s="17"/>
      <c r="O564" s="11" t="s">
        <v>27</v>
      </c>
      <c r="Y564" s="64">
        <f t="shared" si="18"/>
        <v>0</v>
      </c>
      <c r="AA564" s="64">
        <f t="shared" si="17"/>
        <v>0</v>
      </c>
      <c r="AB564" s="64" t="str">
        <f>IF($B564="","",(COUNTIFS(Rships!$C$2:$C$9990,$A564,Rships!$D$2:$D$9990,1)))</f>
        <v/>
      </c>
      <c r="AC564" s="64" t="str">
        <f>IF($B564="","",(COUNTIFS(Rships!$C$2:$C$9990,$A564,Rships!$D$2:$D$9990,2)))</f>
        <v/>
      </c>
      <c r="AD564" s="64" t="str">
        <f>IF($B564="","",(COUNTIFS(Rships!$C$2:$C$9990,$A564,Rships!$D$2:$D$9990,3)))</f>
        <v/>
      </c>
      <c r="AE564" s="64" t="str">
        <f>IF($B564="","",(COUNTIFS(Rships!$C$2:$C$9990,$A564,Rships!$D$2:$D$9990,4)))</f>
        <v/>
      </c>
      <c r="AF564" s="64" t="str">
        <f>IF($B564="","",(COUNTIFS(Rships!$C$2:$C$9990,$A564,Rships!$D$2:$D$9990,5)))</f>
        <v/>
      </c>
      <c r="AG564" s="64" t="str">
        <f>IF($B564="","",(COUNTIFS(Rships!$C$2:$C$9990,$A564,Rships!$D$2:$D$9990,6)))</f>
        <v/>
      </c>
      <c r="AH564" s="64" t="str">
        <f>IF($B564="","",(COUNTIFS(Rships!$C$2:$C$9990,$A564,Rships!$D$2:$D$9990,7)))</f>
        <v/>
      </c>
    </row>
    <row r="565" spans="1:34">
      <c r="A565" s="1" t="s">
        <v>816</v>
      </c>
      <c r="C565" s="11" t="s">
        <v>19</v>
      </c>
      <c r="D565" s="11" t="s">
        <v>21</v>
      </c>
      <c r="F565" s="15"/>
      <c r="G565" s="15"/>
      <c r="I565" s="17"/>
      <c r="O565" s="11" t="s">
        <v>27</v>
      </c>
      <c r="Y565" s="64">
        <f t="shared" si="18"/>
        <v>0</v>
      </c>
      <c r="AA565" s="64">
        <f t="shared" si="17"/>
        <v>0</v>
      </c>
      <c r="AB565" s="64" t="str">
        <f>IF($B565="","",(COUNTIFS(Rships!$C$2:$C$9990,$A565,Rships!$D$2:$D$9990,1)))</f>
        <v/>
      </c>
      <c r="AC565" s="64" t="str">
        <f>IF($B565="","",(COUNTIFS(Rships!$C$2:$C$9990,$A565,Rships!$D$2:$D$9990,2)))</f>
        <v/>
      </c>
      <c r="AD565" s="64" t="str">
        <f>IF($B565="","",(COUNTIFS(Rships!$C$2:$C$9990,$A565,Rships!$D$2:$D$9990,3)))</f>
        <v/>
      </c>
      <c r="AE565" s="64" t="str">
        <f>IF($B565="","",(COUNTIFS(Rships!$C$2:$C$9990,$A565,Rships!$D$2:$D$9990,4)))</f>
        <v/>
      </c>
      <c r="AF565" s="64" t="str">
        <f>IF($B565="","",(COUNTIFS(Rships!$C$2:$C$9990,$A565,Rships!$D$2:$D$9990,5)))</f>
        <v/>
      </c>
      <c r="AG565" s="64" t="str">
        <f>IF($B565="","",(COUNTIFS(Rships!$C$2:$C$9990,$A565,Rships!$D$2:$D$9990,6)))</f>
        <v/>
      </c>
      <c r="AH565" s="64" t="str">
        <f>IF($B565="","",(COUNTIFS(Rships!$C$2:$C$9990,$A565,Rships!$D$2:$D$9990,7)))</f>
        <v/>
      </c>
    </row>
    <row r="566" spans="1:34">
      <c r="A566" s="1" t="s">
        <v>817</v>
      </c>
      <c r="C566" s="11" t="s">
        <v>19</v>
      </c>
      <c r="D566" s="11" t="s">
        <v>21</v>
      </c>
      <c r="F566" s="15"/>
      <c r="G566" s="15"/>
      <c r="I566" s="17"/>
      <c r="O566" s="11" t="s">
        <v>27</v>
      </c>
      <c r="Y566" s="64">
        <f t="shared" si="18"/>
        <v>0</v>
      </c>
      <c r="AA566" s="64">
        <f t="shared" si="17"/>
        <v>0</v>
      </c>
      <c r="AB566" s="64" t="str">
        <f>IF($B566="","",(COUNTIFS(Rships!$C$2:$C$9990,$A566,Rships!$D$2:$D$9990,1)))</f>
        <v/>
      </c>
      <c r="AC566" s="64" t="str">
        <f>IF($B566="","",(COUNTIFS(Rships!$C$2:$C$9990,$A566,Rships!$D$2:$D$9990,2)))</f>
        <v/>
      </c>
      <c r="AD566" s="64" t="str">
        <f>IF($B566="","",(COUNTIFS(Rships!$C$2:$C$9990,$A566,Rships!$D$2:$D$9990,3)))</f>
        <v/>
      </c>
      <c r="AE566" s="64" t="str">
        <f>IF($B566="","",(COUNTIFS(Rships!$C$2:$C$9990,$A566,Rships!$D$2:$D$9990,4)))</f>
        <v/>
      </c>
      <c r="AF566" s="64" t="str">
        <f>IF($B566="","",(COUNTIFS(Rships!$C$2:$C$9990,$A566,Rships!$D$2:$D$9990,5)))</f>
        <v/>
      </c>
      <c r="AG566" s="64" t="str">
        <f>IF($B566="","",(COUNTIFS(Rships!$C$2:$C$9990,$A566,Rships!$D$2:$D$9990,6)))</f>
        <v/>
      </c>
      <c r="AH566" s="64" t="str">
        <f>IF($B566="","",(COUNTIFS(Rships!$C$2:$C$9990,$A566,Rships!$D$2:$D$9990,7)))</f>
        <v/>
      </c>
    </row>
    <row r="567" spans="1:34">
      <c r="A567" s="1" t="s">
        <v>818</v>
      </c>
      <c r="C567" s="11" t="s">
        <v>19</v>
      </c>
      <c r="D567" s="11" t="s">
        <v>21</v>
      </c>
      <c r="F567" s="15"/>
      <c r="G567" s="15"/>
      <c r="I567" s="17"/>
      <c r="O567" s="11" t="s">
        <v>27</v>
      </c>
      <c r="Y567" s="64">
        <f t="shared" si="18"/>
        <v>0</v>
      </c>
      <c r="AA567" s="64">
        <f t="shared" si="17"/>
        <v>0</v>
      </c>
      <c r="AB567" s="64" t="str">
        <f>IF($B567="","",(COUNTIFS(Rships!$C$2:$C$9990,$A567,Rships!$D$2:$D$9990,1)))</f>
        <v/>
      </c>
      <c r="AC567" s="64" t="str">
        <f>IF($B567="","",(COUNTIFS(Rships!$C$2:$C$9990,$A567,Rships!$D$2:$D$9990,2)))</f>
        <v/>
      </c>
      <c r="AD567" s="64" t="str">
        <f>IF($B567="","",(COUNTIFS(Rships!$C$2:$C$9990,$A567,Rships!$D$2:$D$9990,3)))</f>
        <v/>
      </c>
      <c r="AE567" s="64" t="str">
        <f>IF($B567="","",(COUNTIFS(Rships!$C$2:$C$9990,$A567,Rships!$D$2:$D$9990,4)))</f>
        <v/>
      </c>
      <c r="AF567" s="64" t="str">
        <f>IF($B567="","",(COUNTIFS(Rships!$C$2:$C$9990,$A567,Rships!$D$2:$D$9990,5)))</f>
        <v/>
      </c>
      <c r="AG567" s="64" t="str">
        <f>IF($B567="","",(COUNTIFS(Rships!$C$2:$C$9990,$A567,Rships!$D$2:$D$9990,6)))</f>
        <v/>
      </c>
      <c r="AH567" s="64" t="str">
        <f>IF($B567="","",(COUNTIFS(Rships!$C$2:$C$9990,$A567,Rships!$D$2:$D$9990,7)))</f>
        <v/>
      </c>
    </row>
    <row r="568" spans="1:34">
      <c r="A568" s="1" t="s">
        <v>819</v>
      </c>
      <c r="C568" s="11" t="s">
        <v>19</v>
      </c>
      <c r="D568" s="11" t="s">
        <v>21</v>
      </c>
      <c r="F568" s="15"/>
      <c r="G568" s="15"/>
      <c r="I568" s="17"/>
      <c r="O568" s="11" t="s">
        <v>27</v>
      </c>
      <c r="Y568" s="64">
        <f t="shared" si="18"/>
        <v>0</v>
      </c>
      <c r="AA568" s="64">
        <f t="shared" si="17"/>
        <v>0</v>
      </c>
      <c r="AB568" s="64" t="str">
        <f>IF($B568="","",(COUNTIFS(Rships!$C$2:$C$9990,$A568,Rships!$D$2:$D$9990,1)))</f>
        <v/>
      </c>
      <c r="AC568" s="64" t="str">
        <f>IF($B568="","",(COUNTIFS(Rships!$C$2:$C$9990,$A568,Rships!$D$2:$D$9990,2)))</f>
        <v/>
      </c>
      <c r="AD568" s="64" t="str">
        <f>IF($B568="","",(COUNTIFS(Rships!$C$2:$C$9990,$A568,Rships!$D$2:$D$9990,3)))</f>
        <v/>
      </c>
      <c r="AE568" s="64" t="str">
        <f>IF($B568="","",(COUNTIFS(Rships!$C$2:$C$9990,$A568,Rships!$D$2:$D$9990,4)))</f>
        <v/>
      </c>
      <c r="AF568" s="64" t="str">
        <f>IF($B568="","",(COUNTIFS(Rships!$C$2:$C$9990,$A568,Rships!$D$2:$D$9990,5)))</f>
        <v/>
      </c>
      <c r="AG568" s="64" t="str">
        <f>IF($B568="","",(COUNTIFS(Rships!$C$2:$C$9990,$A568,Rships!$D$2:$D$9990,6)))</f>
        <v/>
      </c>
      <c r="AH568" s="64" t="str">
        <f>IF($B568="","",(COUNTIFS(Rships!$C$2:$C$9990,$A568,Rships!$D$2:$D$9990,7)))</f>
        <v/>
      </c>
    </row>
    <row r="569" spans="1:34">
      <c r="A569" s="1" t="s">
        <v>820</v>
      </c>
      <c r="C569" s="11" t="s">
        <v>19</v>
      </c>
      <c r="D569" s="11" t="s">
        <v>21</v>
      </c>
      <c r="F569" s="15"/>
      <c r="G569" s="15"/>
      <c r="I569" s="17"/>
      <c r="O569" s="11" t="s">
        <v>27</v>
      </c>
      <c r="Y569" s="64">
        <f t="shared" si="18"/>
        <v>0</v>
      </c>
      <c r="AA569" s="64">
        <f t="shared" si="17"/>
        <v>0</v>
      </c>
      <c r="AB569" s="64" t="str">
        <f>IF($B569="","",(COUNTIFS(Rships!$C$2:$C$9990,$A569,Rships!$D$2:$D$9990,1)))</f>
        <v/>
      </c>
      <c r="AC569" s="64" t="str">
        <f>IF($B569="","",(COUNTIFS(Rships!$C$2:$C$9990,$A569,Rships!$D$2:$D$9990,2)))</f>
        <v/>
      </c>
      <c r="AD569" s="64" t="str">
        <f>IF($B569="","",(COUNTIFS(Rships!$C$2:$C$9990,$A569,Rships!$D$2:$D$9990,3)))</f>
        <v/>
      </c>
      <c r="AE569" s="64" t="str">
        <f>IF($B569="","",(COUNTIFS(Rships!$C$2:$C$9990,$A569,Rships!$D$2:$D$9990,4)))</f>
        <v/>
      </c>
      <c r="AF569" s="64" t="str">
        <f>IF($B569="","",(COUNTIFS(Rships!$C$2:$C$9990,$A569,Rships!$D$2:$D$9990,5)))</f>
        <v/>
      </c>
      <c r="AG569" s="64" t="str">
        <f>IF($B569="","",(COUNTIFS(Rships!$C$2:$C$9990,$A569,Rships!$D$2:$D$9990,6)))</f>
        <v/>
      </c>
      <c r="AH569" s="64" t="str">
        <f>IF($B569="","",(COUNTIFS(Rships!$C$2:$C$9990,$A569,Rships!$D$2:$D$9990,7)))</f>
        <v/>
      </c>
    </row>
    <row r="570" spans="1:34">
      <c r="A570" s="1" t="s">
        <v>821</v>
      </c>
      <c r="C570" s="11" t="s">
        <v>19</v>
      </c>
      <c r="D570" s="11" t="s">
        <v>21</v>
      </c>
      <c r="F570" s="15"/>
      <c r="G570" s="15"/>
      <c r="I570" s="17"/>
      <c r="O570" s="11" t="s">
        <v>27</v>
      </c>
      <c r="Y570" s="64">
        <f t="shared" si="18"/>
        <v>0</v>
      </c>
      <c r="AA570" s="64">
        <f t="shared" si="17"/>
        <v>0</v>
      </c>
      <c r="AB570" s="64" t="str">
        <f>IF($B570="","",(COUNTIFS(Rships!$C$2:$C$9990,$A570,Rships!$D$2:$D$9990,1)))</f>
        <v/>
      </c>
      <c r="AC570" s="64" t="str">
        <f>IF($B570="","",(COUNTIFS(Rships!$C$2:$C$9990,$A570,Rships!$D$2:$D$9990,2)))</f>
        <v/>
      </c>
      <c r="AD570" s="64" t="str">
        <f>IF($B570="","",(COUNTIFS(Rships!$C$2:$C$9990,$A570,Rships!$D$2:$D$9990,3)))</f>
        <v/>
      </c>
      <c r="AE570" s="64" t="str">
        <f>IF($B570="","",(COUNTIFS(Rships!$C$2:$C$9990,$A570,Rships!$D$2:$D$9990,4)))</f>
        <v/>
      </c>
      <c r="AF570" s="64" t="str">
        <f>IF($B570="","",(COUNTIFS(Rships!$C$2:$C$9990,$A570,Rships!$D$2:$D$9990,5)))</f>
        <v/>
      </c>
      <c r="AG570" s="64" t="str">
        <f>IF($B570="","",(COUNTIFS(Rships!$C$2:$C$9990,$A570,Rships!$D$2:$D$9990,6)))</f>
        <v/>
      </c>
      <c r="AH570" s="64" t="str">
        <f>IF($B570="","",(COUNTIFS(Rships!$C$2:$C$9990,$A570,Rships!$D$2:$D$9990,7)))</f>
        <v/>
      </c>
    </row>
    <row r="571" spans="1:34">
      <c r="A571" s="1" t="s">
        <v>822</v>
      </c>
      <c r="C571" s="11" t="s">
        <v>19</v>
      </c>
      <c r="D571" s="11" t="s">
        <v>21</v>
      </c>
      <c r="F571" s="15"/>
      <c r="G571" s="15"/>
      <c r="I571" s="17"/>
      <c r="O571" s="11" t="s">
        <v>27</v>
      </c>
      <c r="Y571" s="64">
        <f t="shared" si="18"/>
        <v>0</v>
      </c>
      <c r="AA571" s="64">
        <f t="shared" si="17"/>
        <v>0</v>
      </c>
      <c r="AB571" s="64" t="str">
        <f>IF($B571="","",(COUNTIFS(Rships!$C$2:$C$9990,$A571,Rships!$D$2:$D$9990,1)))</f>
        <v/>
      </c>
      <c r="AC571" s="64" t="str">
        <f>IF($B571="","",(COUNTIFS(Rships!$C$2:$C$9990,$A571,Rships!$D$2:$D$9990,2)))</f>
        <v/>
      </c>
      <c r="AD571" s="64" t="str">
        <f>IF($B571="","",(COUNTIFS(Rships!$C$2:$C$9990,$A571,Rships!$D$2:$D$9990,3)))</f>
        <v/>
      </c>
      <c r="AE571" s="64" t="str">
        <f>IF($B571="","",(COUNTIFS(Rships!$C$2:$C$9990,$A571,Rships!$D$2:$D$9990,4)))</f>
        <v/>
      </c>
      <c r="AF571" s="64" t="str">
        <f>IF($B571="","",(COUNTIFS(Rships!$C$2:$C$9990,$A571,Rships!$D$2:$D$9990,5)))</f>
        <v/>
      </c>
      <c r="AG571" s="64" t="str">
        <f>IF($B571="","",(COUNTIFS(Rships!$C$2:$C$9990,$A571,Rships!$D$2:$D$9990,6)))</f>
        <v/>
      </c>
      <c r="AH571" s="64" t="str">
        <f>IF($B571="","",(COUNTIFS(Rships!$C$2:$C$9990,$A571,Rships!$D$2:$D$9990,7)))</f>
        <v/>
      </c>
    </row>
    <row r="572" spans="1:34">
      <c r="A572" s="1" t="s">
        <v>823</v>
      </c>
      <c r="C572" s="11" t="s">
        <v>19</v>
      </c>
      <c r="D572" s="11" t="s">
        <v>21</v>
      </c>
      <c r="F572" s="15"/>
      <c r="G572" s="15"/>
      <c r="I572" s="17"/>
      <c r="O572" s="11" t="s">
        <v>27</v>
      </c>
      <c r="Y572" s="64">
        <f t="shared" si="18"/>
        <v>0</v>
      </c>
      <c r="AA572" s="64">
        <f t="shared" si="17"/>
        <v>0</v>
      </c>
      <c r="AB572" s="64" t="str">
        <f>IF($B572="","",(COUNTIFS(Rships!$C$2:$C$9990,$A572,Rships!$D$2:$D$9990,1)))</f>
        <v/>
      </c>
      <c r="AC572" s="64" t="str">
        <f>IF($B572="","",(COUNTIFS(Rships!$C$2:$C$9990,$A572,Rships!$D$2:$D$9990,2)))</f>
        <v/>
      </c>
      <c r="AD572" s="64" t="str">
        <f>IF($B572="","",(COUNTIFS(Rships!$C$2:$C$9990,$A572,Rships!$D$2:$D$9990,3)))</f>
        <v/>
      </c>
      <c r="AE572" s="64" t="str">
        <f>IF($B572="","",(COUNTIFS(Rships!$C$2:$C$9990,$A572,Rships!$D$2:$D$9990,4)))</f>
        <v/>
      </c>
      <c r="AF572" s="64" t="str">
        <f>IF($B572="","",(COUNTIFS(Rships!$C$2:$C$9990,$A572,Rships!$D$2:$D$9990,5)))</f>
        <v/>
      </c>
      <c r="AG572" s="64" t="str">
        <f>IF($B572="","",(COUNTIFS(Rships!$C$2:$C$9990,$A572,Rships!$D$2:$D$9990,6)))</f>
        <v/>
      </c>
      <c r="AH572" s="64" t="str">
        <f>IF($B572="","",(COUNTIFS(Rships!$C$2:$C$9990,$A572,Rships!$D$2:$D$9990,7)))</f>
        <v/>
      </c>
    </row>
    <row r="573" spans="1:34">
      <c r="A573" s="1" t="s">
        <v>824</v>
      </c>
      <c r="C573" s="11" t="s">
        <v>19</v>
      </c>
      <c r="D573" s="11" t="s">
        <v>21</v>
      </c>
      <c r="F573" s="15"/>
      <c r="G573" s="15"/>
      <c r="I573" s="17"/>
      <c r="O573" s="11" t="s">
        <v>27</v>
      </c>
      <c r="Y573" s="64">
        <f t="shared" si="18"/>
        <v>0</v>
      </c>
      <c r="AA573" s="64">
        <f t="shared" si="17"/>
        <v>0</v>
      </c>
      <c r="AB573" s="64" t="str">
        <f>IF($B573="","",(COUNTIFS(Rships!$C$2:$C$9990,$A573,Rships!$D$2:$D$9990,1)))</f>
        <v/>
      </c>
      <c r="AC573" s="64" t="str">
        <f>IF($B573="","",(COUNTIFS(Rships!$C$2:$C$9990,$A573,Rships!$D$2:$D$9990,2)))</f>
        <v/>
      </c>
      <c r="AD573" s="64" t="str">
        <f>IF($B573="","",(COUNTIFS(Rships!$C$2:$C$9990,$A573,Rships!$D$2:$D$9990,3)))</f>
        <v/>
      </c>
      <c r="AE573" s="64" t="str">
        <f>IF($B573="","",(COUNTIFS(Rships!$C$2:$C$9990,$A573,Rships!$D$2:$D$9990,4)))</f>
        <v/>
      </c>
      <c r="AF573" s="64" t="str">
        <f>IF($B573="","",(COUNTIFS(Rships!$C$2:$C$9990,$A573,Rships!$D$2:$D$9990,5)))</f>
        <v/>
      </c>
      <c r="AG573" s="64" t="str">
        <f>IF($B573="","",(COUNTIFS(Rships!$C$2:$C$9990,$A573,Rships!$D$2:$D$9990,6)))</f>
        <v/>
      </c>
      <c r="AH573" s="64" t="str">
        <f>IF($B573="","",(COUNTIFS(Rships!$C$2:$C$9990,$A573,Rships!$D$2:$D$9990,7)))</f>
        <v/>
      </c>
    </row>
    <row r="574" spans="1:34">
      <c r="A574" s="1" t="s">
        <v>825</v>
      </c>
      <c r="C574" s="11" t="s">
        <v>19</v>
      </c>
      <c r="D574" s="11" t="s">
        <v>21</v>
      </c>
      <c r="F574" s="15"/>
      <c r="G574" s="15"/>
      <c r="I574" s="17"/>
      <c r="O574" s="11" t="s">
        <v>27</v>
      </c>
      <c r="Y574" s="64">
        <f t="shared" si="18"/>
        <v>0</v>
      </c>
      <c r="AA574" s="64">
        <f t="shared" si="17"/>
        <v>0</v>
      </c>
      <c r="AB574" s="64" t="str">
        <f>IF($B574="","",(COUNTIFS(Rships!$C$2:$C$9990,$A574,Rships!$D$2:$D$9990,1)))</f>
        <v/>
      </c>
      <c r="AC574" s="64" t="str">
        <f>IF($B574="","",(COUNTIFS(Rships!$C$2:$C$9990,$A574,Rships!$D$2:$D$9990,2)))</f>
        <v/>
      </c>
      <c r="AD574" s="64" t="str">
        <f>IF($B574="","",(COUNTIFS(Rships!$C$2:$C$9990,$A574,Rships!$D$2:$D$9990,3)))</f>
        <v/>
      </c>
      <c r="AE574" s="64" t="str">
        <f>IF($B574="","",(COUNTIFS(Rships!$C$2:$C$9990,$A574,Rships!$D$2:$D$9990,4)))</f>
        <v/>
      </c>
      <c r="AF574" s="64" t="str">
        <f>IF($B574="","",(COUNTIFS(Rships!$C$2:$C$9990,$A574,Rships!$D$2:$D$9990,5)))</f>
        <v/>
      </c>
      <c r="AG574" s="64" t="str">
        <f>IF($B574="","",(COUNTIFS(Rships!$C$2:$C$9990,$A574,Rships!$D$2:$D$9990,6)))</f>
        <v/>
      </c>
      <c r="AH574" s="64" t="str">
        <f>IF($B574="","",(COUNTIFS(Rships!$C$2:$C$9990,$A574,Rships!$D$2:$D$9990,7)))</f>
        <v/>
      </c>
    </row>
    <row r="575" spans="1:34">
      <c r="A575" s="1" t="s">
        <v>826</v>
      </c>
      <c r="C575" s="11" t="s">
        <v>19</v>
      </c>
      <c r="D575" s="11" t="s">
        <v>21</v>
      </c>
      <c r="F575" s="15"/>
      <c r="G575" s="15"/>
      <c r="I575" s="17"/>
      <c r="O575" s="11" t="s">
        <v>27</v>
      </c>
      <c r="Y575" s="64">
        <f t="shared" si="18"/>
        <v>0</v>
      </c>
      <c r="AA575" s="64">
        <f t="shared" si="17"/>
        <v>0</v>
      </c>
      <c r="AB575" s="64" t="str">
        <f>IF($B575="","",(COUNTIFS(Rships!$C$2:$C$9990,$A575,Rships!$D$2:$D$9990,1)))</f>
        <v/>
      </c>
      <c r="AC575" s="64" t="str">
        <f>IF($B575="","",(COUNTIFS(Rships!$C$2:$C$9990,$A575,Rships!$D$2:$D$9990,2)))</f>
        <v/>
      </c>
      <c r="AD575" s="64" t="str">
        <f>IF($B575="","",(COUNTIFS(Rships!$C$2:$C$9990,$A575,Rships!$D$2:$D$9990,3)))</f>
        <v/>
      </c>
      <c r="AE575" s="64" t="str">
        <f>IF($B575="","",(COUNTIFS(Rships!$C$2:$C$9990,$A575,Rships!$D$2:$D$9990,4)))</f>
        <v/>
      </c>
      <c r="AF575" s="64" t="str">
        <f>IF($B575="","",(COUNTIFS(Rships!$C$2:$C$9990,$A575,Rships!$D$2:$D$9990,5)))</f>
        <v/>
      </c>
      <c r="AG575" s="64" t="str">
        <f>IF($B575="","",(COUNTIFS(Rships!$C$2:$C$9990,$A575,Rships!$D$2:$D$9990,6)))</f>
        <v/>
      </c>
      <c r="AH575" s="64" t="str">
        <f>IF($B575="","",(COUNTIFS(Rships!$C$2:$C$9990,$A575,Rships!$D$2:$D$9990,7)))</f>
        <v/>
      </c>
    </row>
    <row r="576" spans="1:34">
      <c r="A576" s="1" t="s">
        <v>827</v>
      </c>
      <c r="C576" s="11" t="s">
        <v>19</v>
      </c>
      <c r="D576" s="11" t="s">
        <v>21</v>
      </c>
      <c r="F576" s="15"/>
      <c r="G576" s="15"/>
      <c r="I576" s="17"/>
      <c r="O576" s="11" t="s">
        <v>27</v>
      </c>
      <c r="Y576" s="64">
        <f t="shared" si="18"/>
        <v>0</v>
      </c>
      <c r="AA576" s="64">
        <f t="shared" si="17"/>
        <v>0</v>
      </c>
      <c r="AB576" s="64" t="str">
        <f>IF($B576="","",(COUNTIFS(Rships!$C$2:$C$9990,$A576,Rships!$D$2:$D$9990,1)))</f>
        <v/>
      </c>
      <c r="AC576" s="64" t="str">
        <f>IF($B576="","",(COUNTIFS(Rships!$C$2:$C$9990,$A576,Rships!$D$2:$D$9990,2)))</f>
        <v/>
      </c>
      <c r="AD576" s="64" t="str">
        <f>IF($B576="","",(COUNTIFS(Rships!$C$2:$C$9990,$A576,Rships!$D$2:$D$9990,3)))</f>
        <v/>
      </c>
      <c r="AE576" s="64" t="str">
        <f>IF($B576="","",(COUNTIFS(Rships!$C$2:$C$9990,$A576,Rships!$D$2:$D$9990,4)))</f>
        <v/>
      </c>
      <c r="AF576" s="64" t="str">
        <f>IF($B576="","",(COUNTIFS(Rships!$C$2:$C$9990,$A576,Rships!$D$2:$D$9990,5)))</f>
        <v/>
      </c>
      <c r="AG576" s="64" t="str">
        <f>IF($B576="","",(COUNTIFS(Rships!$C$2:$C$9990,$A576,Rships!$D$2:$D$9990,6)))</f>
        <v/>
      </c>
      <c r="AH576" s="64" t="str">
        <f>IF($B576="","",(COUNTIFS(Rships!$C$2:$C$9990,$A576,Rships!$D$2:$D$9990,7)))</f>
        <v/>
      </c>
    </row>
    <row r="577" spans="1:34">
      <c r="A577" s="1" t="s">
        <v>828</v>
      </c>
      <c r="C577" s="11" t="s">
        <v>19</v>
      </c>
      <c r="D577" s="11" t="s">
        <v>21</v>
      </c>
      <c r="F577" s="15"/>
      <c r="G577" s="15"/>
      <c r="I577" s="17"/>
      <c r="O577" s="11" t="s">
        <v>27</v>
      </c>
      <c r="Y577" s="64">
        <f t="shared" si="18"/>
        <v>0</v>
      </c>
      <c r="AA577" s="64">
        <f t="shared" si="17"/>
        <v>0</v>
      </c>
      <c r="AB577" s="64" t="str">
        <f>IF($B577="","",(COUNTIFS(Rships!$C$2:$C$9990,$A577,Rships!$D$2:$D$9990,1)))</f>
        <v/>
      </c>
      <c r="AC577" s="64" t="str">
        <f>IF($B577="","",(COUNTIFS(Rships!$C$2:$C$9990,$A577,Rships!$D$2:$D$9990,2)))</f>
        <v/>
      </c>
      <c r="AD577" s="64" t="str">
        <f>IF($B577="","",(COUNTIFS(Rships!$C$2:$C$9990,$A577,Rships!$D$2:$D$9990,3)))</f>
        <v/>
      </c>
      <c r="AE577" s="64" t="str">
        <f>IF($B577="","",(COUNTIFS(Rships!$C$2:$C$9990,$A577,Rships!$D$2:$D$9990,4)))</f>
        <v/>
      </c>
      <c r="AF577" s="64" t="str">
        <f>IF($B577="","",(COUNTIFS(Rships!$C$2:$C$9990,$A577,Rships!$D$2:$D$9990,5)))</f>
        <v/>
      </c>
      <c r="AG577" s="64" t="str">
        <f>IF($B577="","",(COUNTIFS(Rships!$C$2:$C$9990,$A577,Rships!$D$2:$D$9990,6)))</f>
        <v/>
      </c>
      <c r="AH577" s="64" t="str">
        <f>IF($B577="","",(COUNTIFS(Rships!$C$2:$C$9990,$A577,Rships!$D$2:$D$9990,7)))</f>
        <v/>
      </c>
    </row>
    <row r="578" spans="1:34">
      <c r="A578" s="1" t="s">
        <v>829</v>
      </c>
      <c r="C578" s="11" t="s">
        <v>19</v>
      </c>
      <c r="D578" s="11" t="s">
        <v>21</v>
      </c>
      <c r="F578" s="15"/>
      <c r="G578" s="15"/>
      <c r="I578" s="17"/>
      <c r="O578" s="11" t="s">
        <v>27</v>
      </c>
      <c r="Y578" s="64">
        <f t="shared" si="18"/>
        <v>0</v>
      </c>
      <c r="AA578" s="64">
        <f t="shared" si="17"/>
        <v>0</v>
      </c>
      <c r="AB578" s="64" t="str">
        <f>IF($B578="","",(COUNTIFS(Rships!$C$2:$C$9990,$A578,Rships!$D$2:$D$9990,1)))</f>
        <v/>
      </c>
      <c r="AC578" s="64" t="str">
        <f>IF($B578="","",(COUNTIFS(Rships!$C$2:$C$9990,$A578,Rships!$D$2:$D$9990,2)))</f>
        <v/>
      </c>
      <c r="AD578" s="64" t="str">
        <f>IF($B578="","",(COUNTIFS(Rships!$C$2:$C$9990,$A578,Rships!$D$2:$D$9990,3)))</f>
        <v/>
      </c>
      <c r="AE578" s="64" t="str">
        <f>IF($B578="","",(COUNTIFS(Rships!$C$2:$C$9990,$A578,Rships!$D$2:$D$9990,4)))</f>
        <v/>
      </c>
      <c r="AF578" s="64" t="str">
        <f>IF($B578="","",(COUNTIFS(Rships!$C$2:$C$9990,$A578,Rships!$D$2:$D$9990,5)))</f>
        <v/>
      </c>
      <c r="AG578" s="64" t="str">
        <f>IF($B578="","",(COUNTIFS(Rships!$C$2:$C$9990,$A578,Rships!$D$2:$D$9990,6)))</f>
        <v/>
      </c>
      <c r="AH578" s="64" t="str">
        <f>IF($B578="","",(COUNTIFS(Rships!$C$2:$C$9990,$A578,Rships!$D$2:$D$9990,7)))</f>
        <v/>
      </c>
    </row>
    <row r="579" spans="1:34">
      <c r="A579" s="1" t="s">
        <v>830</v>
      </c>
      <c r="C579" s="11" t="s">
        <v>19</v>
      </c>
      <c r="D579" s="11" t="s">
        <v>21</v>
      </c>
      <c r="F579" s="15"/>
      <c r="G579" s="15"/>
      <c r="I579" s="17"/>
      <c r="O579" s="11" t="s">
        <v>27</v>
      </c>
      <c r="Y579" s="64">
        <f t="shared" si="18"/>
        <v>0</v>
      </c>
      <c r="AA579" s="64">
        <f t="shared" ref="AA579:AA642" si="19">SUM($AB579:$AH579)</f>
        <v>0</v>
      </c>
      <c r="AB579" s="64" t="str">
        <f>IF($B579="","",(COUNTIFS(Rships!$C$2:$C$9990,$A579,Rships!$D$2:$D$9990,1)))</f>
        <v/>
      </c>
      <c r="AC579" s="64" t="str">
        <f>IF($B579="","",(COUNTIFS(Rships!$C$2:$C$9990,$A579,Rships!$D$2:$D$9990,2)))</f>
        <v/>
      </c>
      <c r="AD579" s="64" t="str">
        <f>IF($B579="","",(COUNTIFS(Rships!$C$2:$C$9990,$A579,Rships!$D$2:$D$9990,3)))</f>
        <v/>
      </c>
      <c r="AE579" s="64" t="str">
        <f>IF($B579="","",(COUNTIFS(Rships!$C$2:$C$9990,$A579,Rships!$D$2:$D$9990,4)))</f>
        <v/>
      </c>
      <c r="AF579" s="64" t="str">
        <f>IF($B579="","",(COUNTIFS(Rships!$C$2:$C$9990,$A579,Rships!$D$2:$D$9990,5)))</f>
        <v/>
      </c>
      <c r="AG579" s="64" t="str">
        <f>IF($B579="","",(COUNTIFS(Rships!$C$2:$C$9990,$A579,Rships!$D$2:$D$9990,6)))</f>
        <v/>
      </c>
      <c r="AH579" s="64" t="str">
        <f>IF($B579="","",(COUNTIFS(Rships!$C$2:$C$9990,$A579,Rships!$D$2:$D$9990,7)))</f>
        <v/>
      </c>
    </row>
    <row r="580" spans="1:34">
      <c r="A580" s="1" t="s">
        <v>831</v>
      </c>
      <c r="C580" s="11" t="s">
        <v>19</v>
      </c>
      <c r="D580" s="11" t="s">
        <v>21</v>
      </c>
      <c r="F580" s="15"/>
      <c r="G580" s="15"/>
      <c r="I580" s="17"/>
      <c r="O580" s="11" t="s">
        <v>27</v>
      </c>
      <c r="Y580" s="64">
        <f t="shared" si="18"/>
        <v>0</v>
      </c>
      <c r="AA580" s="64">
        <f t="shared" si="19"/>
        <v>0</v>
      </c>
      <c r="AB580" s="64" t="str">
        <f>IF($B580="","",(COUNTIFS(Rships!$C$2:$C$9990,$A580,Rships!$D$2:$D$9990,1)))</f>
        <v/>
      </c>
      <c r="AC580" s="64" t="str">
        <f>IF($B580="","",(COUNTIFS(Rships!$C$2:$C$9990,$A580,Rships!$D$2:$D$9990,2)))</f>
        <v/>
      </c>
      <c r="AD580" s="64" t="str">
        <f>IF($B580="","",(COUNTIFS(Rships!$C$2:$C$9990,$A580,Rships!$D$2:$D$9990,3)))</f>
        <v/>
      </c>
      <c r="AE580" s="64" t="str">
        <f>IF($B580="","",(COUNTIFS(Rships!$C$2:$C$9990,$A580,Rships!$D$2:$D$9990,4)))</f>
        <v/>
      </c>
      <c r="AF580" s="64" t="str">
        <f>IF($B580="","",(COUNTIFS(Rships!$C$2:$C$9990,$A580,Rships!$D$2:$D$9990,5)))</f>
        <v/>
      </c>
      <c r="AG580" s="64" t="str">
        <f>IF($B580="","",(COUNTIFS(Rships!$C$2:$C$9990,$A580,Rships!$D$2:$D$9990,6)))</f>
        <v/>
      </c>
      <c r="AH580" s="64" t="str">
        <f>IF($B580="","",(COUNTIFS(Rships!$C$2:$C$9990,$A580,Rships!$D$2:$D$9990,7)))</f>
        <v/>
      </c>
    </row>
    <row r="581" spans="1:34">
      <c r="A581" s="1" t="s">
        <v>832</v>
      </c>
      <c r="C581" s="11" t="s">
        <v>19</v>
      </c>
      <c r="D581" s="11" t="s">
        <v>21</v>
      </c>
      <c r="F581" s="15"/>
      <c r="G581" s="15"/>
      <c r="I581" s="17"/>
      <c r="O581" s="11" t="s">
        <v>27</v>
      </c>
      <c r="Y581" s="64">
        <f t="shared" si="18"/>
        <v>0</v>
      </c>
      <c r="AA581" s="64">
        <f t="shared" si="19"/>
        <v>0</v>
      </c>
      <c r="AB581" s="64" t="str">
        <f>IF($B581="","",(COUNTIFS(Rships!$C$2:$C$9990,$A581,Rships!$D$2:$D$9990,1)))</f>
        <v/>
      </c>
      <c r="AC581" s="64" t="str">
        <f>IF($B581="","",(COUNTIFS(Rships!$C$2:$C$9990,$A581,Rships!$D$2:$D$9990,2)))</f>
        <v/>
      </c>
      <c r="AD581" s="64" t="str">
        <f>IF($B581="","",(COUNTIFS(Rships!$C$2:$C$9990,$A581,Rships!$D$2:$D$9990,3)))</f>
        <v/>
      </c>
      <c r="AE581" s="64" t="str">
        <f>IF($B581="","",(COUNTIFS(Rships!$C$2:$C$9990,$A581,Rships!$D$2:$D$9990,4)))</f>
        <v/>
      </c>
      <c r="AF581" s="64" t="str">
        <f>IF($B581="","",(COUNTIFS(Rships!$C$2:$C$9990,$A581,Rships!$D$2:$D$9990,5)))</f>
        <v/>
      </c>
      <c r="AG581" s="64" t="str">
        <f>IF($B581="","",(COUNTIFS(Rships!$C$2:$C$9990,$A581,Rships!$D$2:$D$9990,6)))</f>
        <v/>
      </c>
      <c r="AH581" s="64" t="str">
        <f>IF($B581="","",(COUNTIFS(Rships!$C$2:$C$9990,$A581,Rships!$D$2:$D$9990,7)))</f>
        <v/>
      </c>
    </row>
    <row r="582" spans="1:34">
      <c r="A582" s="1" t="s">
        <v>833</v>
      </c>
      <c r="C582" s="11" t="s">
        <v>19</v>
      </c>
      <c r="D582" s="11" t="s">
        <v>21</v>
      </c>
      <c r="F582" s="15"/>
      <c r="G582" s="15"/>
      <c r="I582" s="17"/>
      <c r="O582" s="11" t="s">
        <v>27</v>
      </c>
      <c r="Y582" s="64">
        <f t="shared" si="18"/>
        <v>0</v>
      </c>
      <c r="AA582" s="64">
        <f t="shared" si="19"/>
        <v>0</v>
      </c>
      <c r="AB582" s="64" t="str">
        <f>IF($B582="","",(COUNTIFS(Rships!$C$2:$C$9990,$A582,Rships!$D$2:$D$9990,1)))</f>
        <v/>
      </c>
      <c r="AC582" s="64" t="str">
        <f>IF($B582="","",(COUNTIFS(Rships!$C$2:$C$9990,$A582,Rships!$D$2:$D$9990,2)))</f>
        <v/>
      </c>
      <c r="AD582" s="64" t="str">
        <f>IF($B582="","",(COUNTIFS(Rships!$C$2:$C$9990,$A582,Rships!$D$2:$D$9990,3)))</f>
        <v/>
      </c>
      <c r="AE582" s="64" t="str">
        <f>IF($B582="","",(COUNTIFS(Rships!$C$2:$C$9990,$A582,Rships!$D$2:$D$9990,4)))</f>
        <v/>
      </c>
      <c r="AF582" s="64" t="str">
        <f>IF($B582="","",(COUNTIFS(Rships!$C$2:$C$9990,$A582,Rships!$D$2:$D$9990,5)))</f>
        <v/>
      </c>
      <c r="AG582" s="64" t="str">
        <f>IF($B582="","",(COUNTIFS(Rships!$C$2:$C$9990,$A582,Rships!$D$2:$D$9990,6)))</f>
        <v/>
      </c>
      <c r="AH582" s="64" t="str">
        <f>IF($B582="","",(COUNTIFS(Rships!$C$2:$C$9990,$A582,Rships!$D$2:$D$9990,7)))</f>
        <v/>
      </c>
    </row>
    <row r="583" spans="1:34">
      <c r="A583" s="1" t="s">
        <v>834</v>
      </c>
      <c r="C583" s="11" t="s">
        <v>19</v>
      </c>
      <c r="D583" s="11" t="s">
        <v>21</v>
      </c>
      <c r="F583" s="15"/>
      <c r="G583" s="15"/>
      <c r="I583" s="17"/>
      <c r="O583" s="11" t="s">
        <v>27</v>
      </c>
      <c r="Y583" s="64">
        <f t="shared" si="18"/>
        <v>0</v>
      </c>
      <c r="AA583" s="64">
        <f t="shared" si="19"/>
        <v>0</v>
      </c>
      <c r="AB583" s="64" t="str">
        <f>IF($B583="","",(COUNTIFS(Rships!$C$2:$C$9990,$A583,Rships!$D$2:$D$9990,1)))</f>
        <v/>
      </c>
      <c r="AC583" s="64" t="str">
        <f>IF($B583="","",(COUNTIFS(Rships!$C$2:$C$9990,$A583,Rships!$D$2:$D$9990,2)))</f>
        <v/>
      </c>
      <c r="AD583" s="64" t="str">
        <f>IF($B583="","",(COUNTIFS(Rships!$C$2:$C$9990,$A583,Rships!$D$2:$D$9990,3)))</f>
        <v/>
      </c>
      <c r="AE583" s="64" t="str">
        <f>IF($B583="","",(COUNTIFS(Rships!$C$2:$C$9990,$A583,Rships!$D$2:$D$9990,4)))</f>
        <v/>
      </c>
      <c r="AF583" s="64" t="str">
        <f>IF($B583="","",(COUNTIFS(Rships!$C$2:$C$9990,$A583,Rships!$D$2:$D$9990,5)))</f>
        <v/>
      </c>
      <c r="AG583" s="64" t="str">
        <f>IF($B583="","",(COUNTIFS(Rships!$C$2:$C$9990,$A583,Rships!$D$2:$D$9990,6)))</f>
        <v/>
      </c>
      <c r="AH583" s="64" t="str">
        <f>IF($B583="","",(COUNTIFS(Rships!$C$2:$C$9990,$A583,Rships!$D$2:$D$9990,7)))</f>
        <v/>
      </c>
    </row>
    <row r="584" spans="1:34">
      <c r="A584" s="1" t="s">
        <v>835</v>
      </c>
      <c r="C584" s="11" t="s">
        <v>19</v>
      </c>
      <c r="D584" s="11" t="s">
        <v>21</v>
      </c>
      <c r="F584" s="15"/>
      <c r="G584" s="15"/>
      <c r="I584" s="17"/>
      <c r="O584" s="11" t="s">
        <v>27</v>
      </c>
      <c r="Y584" s="64">
        <f t="shared" si="18"/>
        <v>0</v>
      </c>
      <c r="AA584" s="64">
        <f t="shared" si="19"/>
        <v>0</v>
      </c>
      <c r="AB584" s="64" t="str">
        <f>IF($B584="","",(COUNTIFS(Rships!$C$2:$C$9990,$A584,Rships!$D$2:$D$9990,1)))</f>
        <v/>
      </c>
      <c r="AC584" s="64" t="str">
        <f>IF($B584="","",(COUNTIFS(Rships!$C$2:$C$9990,$A584,Rships!$D$2:$D$9990,2)))</f>
        <v/>
      </c>
      <c r="AD584" s="64" t="str">
        <f>IF($B584="","",(COUNTIFS(Rships!$C$2:$C$9990,$A584,Rships!$D$2:$D$9990,3)))</f>
        <v/>
      </c>
      <c r="AE584" s="64" t="str">
        <f>IF($B584="","",(COUNTIFS(Rships!$C$2:$C$9990,$A584,Rships!$D$2:$D$9990,4)))</f>
        <v/>
      </c>
      <c r="AF584" s="64" t="str">
        <f>IF($B584="","",(COUNTIFS(Rships!$C$2:$C$9990,$A584,Rships!$D$2:$D$9990,5)))</f>
        <v/>
      </c>
      <c r="AG584" s="64" t="str">
        <f>IF($B584="","",(COUNTIFS(Rships!$C$2:$C$9990,$A584,Rships!$D$2:$D$9990,6)))</f>
        <v/>
      </c>
      <c r="AH584" s="64" t="str">
        <f>IF($B584="","",(COUNTIFS(Rships!$C$2:$C$9990,$A584,Rships!$D$2:$D$9990,7)))</f>
        <v/>
      </c>
    </row>
    <row r="585" spans="1:34">
      <c r="A585" s="1" t="s">
        <v>836</v>
      </c>
      <c r="C585" s="11" t="s">
        <v>19</v>
      </c>
      <c r="D585" s="11" t="s">
        <v>21</v>
      </c>
      <c r="F585" s="15"/>
      <c r="G585" s="15"/>
      <c r="I585" s="17"/>
      <c r="O585" s="11" t="s">
        <v>27</v>
      </c>
      <c r="Y585" s="64">
        <f t="shared" si="18"/>
        <v>0</v>
      </c>
      <c r="AA585" s="64">
        <f t="shared" si="19"/>
        <v>0</v>
      </c>
      <c r="AB585" s="64" t="str">
        <f>IF($B585="","",(COUNTIFS(Rships!$C$2:$C$9990,$A585,Rships!$D$2:$D$9990,1)))</f>
        <v/>
      </c>
      <c r="AC585" s="64" t="str">
        <f>IF($B585="","",(COUNTIFS(Rships!$C$2:$C$9990,$A585,Rships!$D$2:$D$9990,2)))</f>
        <v/>
      </c>
      <c r="AD585" s="64" t="str">
        <f>IF($B585="","",(COUNTIFS(Rships!$C$2:$C$9990,$A585,Rships!$D$2:$D$9990,3)))</f>
        <v/>
      </c>
      <c r="AE585" s="64" t="str">
        <f>IF($B585="","",(COUNTIFS(Rships!$C$2:$C$9990,$A585,Rships!$D$2:$D$9990,4)))</f>
        <v/>
      </c>
      <c r="AF585" s="64" t="str">
        <f>IF($B585="","",(COUNTIFS(Rships!$C$2:$C$9990,$A585,Rships!$D$2:$D$9990,5)))</f>
        <v/>
      </c>
      <c r="AG585" s="64" t="str">
        <f>IF($B585="","",(COUNTIFS(Rships!$C$2:$C$9990,$A585,Rships!$D$2:$D$9990,6)))</f>
        <v/>
      </c>
      <c r="AH585" s="64" t="str">
        <f>IF($B585="","",(COUNTIFS(Rships!$C$2:$C$9990,$A585,Rships!$D$2:$D$9990,7)))</f>
        <v/>
      </c>
    </row>
    <row r="586" spans="1:34">
      <c r="A586" s="1" t="s">
        <v>837</v>
      </c>
      <c r="C586" s="11" t="s">
        <v>19</v>
      </c>
      <c r="D586" s="11" t="s">
        <v>21</v>
      </c>
      <c r="F586" s="15"/>
      <c r="G586" s="15"/>
      <c r="I586" s="17"/>
      <c r="O586" s="11" t="s">
        <v>27</v>
      </c>
      <c r="Y586" s="64">
        <f t="shared" si="18"/>
        <v>0</v>
      </c>
      <c r="AA586" s="64">
        <f t="shared" si="19"/>
        <v>0</v>
      </c>
      <c r="AB586" s="64" t="str">
        <f>IF($B586="","",(COUNTIFS(Rships!$C$2:$C$9990,$A586,Rships!$D$2:$D$9990,1)))</f>
        <v/>
      </c>
      <c r="AC586" s="64" t="str">
        <f>IF($B586="","",(COUNTIFS(Rships!$C$2:$C$9990,$A586,Rships!$D$2:$D$9990,2)))</f>
        <v/>
      </c>
      <c r="AD586" s="64" t="str">
        <f>IF($B586="","",(COUNTIFS(Rships!$C$2:$C$9990,$A586,Rships!$D$2:$D$9990,3)))</f>
        <v/>
      </c>
      <c r="AE586" s="64" t="str">
        <f>IF($B586="","",(COUNTIFS(Rships!$C$2:$C$9990,$A586,Rships!$D$2:$D$9990,4)))</f>
        <v/>
      </c>
      <c r="AF586" s="64" t="str">
        <f>IF($B586="","",(COUNTIFS(Rships!$C$2:$C$9990,$A586,Rships!$D$2:$D$9990,5)))</f>
        <v/>
      </c>
      <c r="AG586" s="64" t="str">
        <f>IF($B586="","",(COUNTIFS(Rships!$C$2:$C$9990,$A586,Rships!$D$2:$D$9990,6)))</f>
        <v/>
      </c>
      <c r="AH586" s="64" t="str">
        <f>IF($B586="","",(COUNTIFS(Rships!$C$2:$C$9990,$A586,Rships!$D$2:$D$9990,7)))</f>
        <v/>
      </c>
    </row>
    <row r="587" spans="1:34">
      <c r="A587" s="1" t="s">
        <v>838</v>
      </c>
      <c r="C587" s="11" t="s">
        <v>19</v>
      </c>
      <c r="D587" s="11" t="s">
        <v>21</v>
      </c>
      <c r="F587" s="15"/>
      <c r="G587" s="15"/>
      <c r="I587" s="17"/>
      <c r="O587" s="11" t="s">
        <v>27</v>
      </c>
      <c r="Y587" s="64">
        <f t="shared" si="18"/>
        <v>0</v>
      </c>
      <c r="AA587" s="64">
        <f t="shared" si="19"/>
        <v>0</v>
      </c>
      <c r="AB587" s="64" t="str">
        <f>IF($B587="","",(COUNTIFS(Rships!$C$2:$C$9990,$A587,Rships!$D$2:$D$9990,1)))</f>
        <v/>
      </c>
      <c r="AC587" s="64" t="str">
        <f>IF($B587="","",(COUNTIFS(Rships!$C$2:$C$9990,$A587,Rships!$D$2:$D$9990,2)))</f>
        <v/>
      </c>
      <c r="AD587" s="64" t="str">
        <f>IF($B587="","",(COUNTIFS(Rships!$C$2:$C$9990,$A587,Rships!$D$2:$D$9990,3)))</f>
        <v/>
      </c>
      <c r="AE587" s="64" t="str">
        <f>IF($B587="","",(COUNTIFS(Rships!$C$2:$C$9990,$A587,Rships!$D$2:$D$9990,4)))</f>
        <v/>
      </c>
      <c r="AF587" s="64" t="str">
        <f>IF($B587="","",(COUNTIFS(Rships!$C$2:$C$9990,$A587,Rships!$D$2:$D$9990,5)))</f>
        <v/>
      </c>
      <c r="AG587" s="64" t="str">
        <f>IF($B587="","",(COUNTIFS(Rships!$C$2:$C$9990,$A587,Rships!$D$2:$D$9990,6)))</f>
        <v/>
      </c>
      <c r="AH587" s="64" t="str">
        <f>IF($B587="","",(COUNTIFS(Rships!$C$2:$C$9990,$A587,Rships!$D$2:$D$9990,7)))</f>
        <v/>
      </c>
    </row>
    <row r="588" spans="1:34">
      <c r="A588" s="1" t="s">
        <v>839</v>
      </c>
      <c r="C588" s="11" t="s">
        <v>19</v>
      </c>
      <c r="D588" s="11" t="s">
        <v>21</v>
      </c>
      <c r="F588" s="15"/>
      <c r="G588" s="15"/>
      <c r="I588" s="17"/>
      <c r="O588" s="11" t="s">
        <v>27</v>
      </c>
      <c r="Y588" s="64">
        <f t="shared" si="18"/>
        <v>0</v>
      </c>
      <c r="AA588" s="64">
        <f t="shared" si="19"/>
        <v>0</v>
      </c>
      <c r="AB588" s="64" t="str">
        <f>IF($B588="","",(COUNTIFS(Rships!$C$2:$C$9990,$A588,Rships!$D$2:$D$9990,1)))</f>
        <v/>
      </c>
      <c r="AC588" s="64" t="str">
        <f>IF($B588="","",(COUNTIFS(Rships!$C$2:$C$9990,$A588,Rships!$D$2:$D$9990,2)))</f>
        <v/>
      </c>
      <c r="AD588" s="64" t="str">
        <f>IF($B588="","",(COUNTIFS(Rships!$C$2:$C$9990,$A588,Rships!$D$2:$D$9990,3)))</f>
        <v/>
      </c>
      <c r="AE588" s="64" t="str">
        <f>IF($B588="","",(COUNTIFS(Rships!$C$2:$C$9990,$A588,Rships!$D$2:$D$9990,4)))</f>
        <v/>
      </c>
      <c r="AF588" s="64" t="str">
        <f>IF($B588="","",(COUNTIFS(Rships!$C$2:$C$9990,$A588,Rships!$D$2:$D$9990,5)))</f>
        <v/>
      </c>
      <c r="AG588" s="64" t="str">
        <f>IF($B588="","",(COUNTIFS(Rships!$C$2:$C$9990,$A588,Rships!$D$2:$D$9990,6)))</f>
        <v/>
      </c>
      <c r="AH588" s="64" t="str">
        <f>IF($B588="","",(COUNTIFS(Rships!$C$2:$C$9990,$A588,Rships!$D$2:$D$9990,7)))</f>
        <v/>
      </c>
    </row>
    <row r="589" spans="1:34">
      <c r="A589" s="1" t="s">
        <v>840</v>
      </c>
      <c r="C589" s="11" t="s">
        <v>19</v>
      </c>
      <c r="D589" s="11" t="s">
        <v>21</v>
      </c>
      <c r="F589" s="15"/>
      <c r="G589" s="15"/>
      <c r="I589" s="17"/>
      <c r="O589" s="11" t="s">
        <v>27</v>
      </c>
      <c r="Y589" s="64">
        <f t="shared" si="18"/>
        <v>0</v>
      </c>
      <c r="AA589" s="64">
        <f t="shared" si="19"/>
        <v>0</v>
      </c>
      <c r="AB589" s="64" t="str">
        <f>IF($B589="","",(COUNTIFS(Rships!$C$2:$C$9990,$A589,Rships!$D$2:$D$9990,1)))</f>
        <v/>
      </c>
      <c r="AC589" s="64" t="str">
        <f>IF($B589="","",(COUNTIFS(Rships!$C$2:$C$9990,$A589,Rships!$D$2:$D$9990,2)))</f>
        <v/>
      </c>
      <c r="AD589" s="64" t="str">
        <f>IF($B589="","",(COUNTIFS(Rships!$C$2:$C$9990,$A589,Rships!$D$2:$D$9990,3)))</f>
        <v/>
      </c>
      <c r="AE589" s="64" t="str">
        <f>IF($B589="","",(COUNTIFS(Rships!$C$2:$C$9990,$A589,Rships!$D$2:$D$9990,4)))</f>
        <v/>
      </c>
      <c r="AF589" s="64" t="str">
        <f>IF($B589="","",(COUNTIFS(Rships!$C$2:$C$9990,$A589,Rships!$D$2:$D$9990,5)))</f>
        <v/>
      </c>
      <c r="AG589" s="64" t="str">
        <f>IF($B589="","",(COUNTIFS(Rships!$C$2:$C$9990,$A589,Rships!$D$2:$D$9990,6)))</f>
        <v/>
      </c>
      <c r="AH589" s="64" t="str">
        <f>IF($B589="","",(COUNTIFS(Rships!$C$2:$C$9990,$A589,Rships!$D$2:$D$9990,7)))</f>
        <v/>
      </c>
    </row>
    <row r="590" spans="1:34">
      <c r="A590" s="1" t="s">
        <v>841</v>
      </c>
      <c r="C590" s="11" t="s">
        <v>19</v>
      </c>
      <c r="D590" s="11" t="s">
        <v>21</v>
      </c>
      <c r="F590" s="15"/>
      <c r="G590" s="15"/>
      <c r="I590" s="17"/>
      <c r="O590" s="11" t="s">
        <v>27</v>
      </c>
      <c r="Y590" s="64">
        <f t="shared" si="18"/>
        <v>0</v>
      </c>
      <c r="AA590" s="64">
        <f t="shared" si="19"/>
        <v>0</v>
      </c>
      <c r="AB590" s="64" t="str">
        <f>IF($B590="","",(COUNTIFS(Rships!$C$2:$C$9990,$A590,Rships!$D$2:$D$9990,1)))</f>
        <v/>
      </c>
      <c r="AC590" s="64" t="str">
        <f>IF($B590="","",(COUNTIFS(Rships!$C$2:$C$9990,$A590,Rships!$D$2:$D$9990,2)))</f>
        <v/>
      </c>
      <c r="AD590" s="64" t="str">
        <f>IF($B590="","",(COUNTIFS(Rships!$C$2:$C$9990,$A590,Rships!$D$2:$D$9990,3)))</f>
        <v/>
      </c>
      <c r="AE590" s="64" t="str">
        <f>IF($B590="","",(COUNTIFS(Rships!$C$2:$C$9990,$A590,Rships!$D$2:$D$9990,4)))</f>
        <v/>
      </c>
      <c r="AF590" s="64" t="str">
        <f>IF($B590="","",(COUNTIFS(Rships!$C$2:$C$9990,$A590,Rships!$D$2:$D$9990,5)))</f>
        <v/>
      </c>
      <c r="AG590" s="64" t="str">
        <f>IF($B590="","",(COUNTIFS(Rships!$C$2:$C$9990,$A590,Rships!$D$2:$D$9990,6)))</f>
        <v/>
      </c>
      <c r="AH590" s="64" t="str">
        <f>IF($B590="","",(COUNTIFS(Rships!$C$2:$C$9990,$A590,Rships!$D$2:$D$9990,7)))</f>
        <v/>
      </c>
    </row>
    <row r="591" spans="1:34">
      <c r="A591" s="1" t="s">
        <v>842</v>
      </c>
      <c r="C591" s="11" t="s">
        <v>19</v>
      </c>
      <c r="D591" s="11" t="s">
        <v>21</v>
      </c>
      <c r="F591" s="15"/>
      <c r="G591" s="15"/>
      <c r="I591" s="17"/>
      <c r="O591" s="11" t="s">
        <v>27</v>
      </c>
      <c r="Y591" s="64">
        <f t="shared" si="18"/>
        <v>0</v>
      </c>
      <c r="AA591" s="64">
        <f t="shared" si="19"/>
        <v>0</v>
      </c>
      <c r="AB591" s="64" t="str">
        <f>IF($B591="","",(COUNTIFS(Rships!$C$2:$C$9990,$A591,Rships!$D$2:$D$9990,1)))</f>
        <v/>
      </c>
      <c r="AC591" s="64" t="str">
        <f>IF($B591="","",(COUNTIFS(Rships!$C$2:$C$9990,$A591,Rships!$D$2:$D$9990,2)))</f>
        <v/>
      </c>
      <c r="AD591" s="64" t="str">
        <f>IF($B591="","",(COUNTIFS(Rships!$C$2:$C$9990,$A591,Rships!$D$2:$D$9990,3)))</f>
        <v/>
      </c>
      <c r="AE591" s="64" t="str">
        <f>IF($B591="","",(COUNTIFS(Rships!$C$2:$C$9990,$A591,Rships!$D$2:$D$9990,4)))</f>
        <v/>
      </c>
      <c r="AF591" s="64" t="str">
        <f>IF($B591="","",(COUNTIFS(Rships!$C$2:$C$9990,$A591,Rships!$D$2:$D$9990,5)))</f>
        <v/>
      </c>
      <c r="AG591" s="64" t="str">
        <f>IF($B591="","",(COUNTIFS(Rships!$C$2:$C$9990,$A591,Rships!$D$2:$D$9990,6)))</f>
        <v/>
      </c>
      <c r="AH591" s="64" t="str">
        <f>IF($B591="","",(COUNTIFS(Rships!$C$2:$C$9990,$A591,Rships!$D$2:$D$9990,7)))</f>
        <v/>
      </c>
    </row>
    <row r="592" spans="1:34">
      <c r="A592" s="1" t="s">
        <v>843</v>
      </c>
      <c r="C592" s="11" t="s">
        <v>19</v>
      </c>
      <c r="D592" s="11" t="s">
        <v>21</v>
      </c>
      <c r="F592" s="15"/>
      <c r="G592" s="15"/>
      <c r="I592" s="17"/>
      <c r="O592" s="11" t="s">
        <v>27</v>
      </c>
      <c r="Y592" s="64">
        <f t="shared" si="18"/>
        <v>0</v>
      </c>
      <c r="AA592" s="64">
        <f t="shared" si="19"/>
        <v>0</v>
      </c>
      <c r="AB592" s="64" t="str">
        <f>IF($B592="","",(COUNTIFS(Rships!$C$2:$C$9990,$A592,Rships!$D$2:$D$9990,1)))</f>
        <v/>
      </c>
      <c r="AC592" s="64" t="str">
        <f>IF($B592="","",(COUNTIFS(Rships!$C$2:$C$9990,$A592,Rships!$D$2:$D$9990,2)))</f>
        <v/>
      </c>
      <c r="AD592" s="64" t="str">
        <f>IF($B592="","",(COUNTIFS(Rships!$C$2:$C$9990,$A592,Rships!$D$2:$D$9990,3)))</f>
        <v/>
      </c>
      <c r="AE592" s="64" t="str">
        <f>IF($B592="","",(COUNTIFS(Rships!$C$2:$C$9990,$A592,Rships!$D$2:$D$9990,4)))</f>
        <v/>
      </c>
      <c r="AF592" s="64" t="str">
        <f>IF($B592="","",(COUNTIFS(Rships!$C$2:$C$9990,$A592,Rships!$D$2:$D$9990,5)))</f>
        <v/>
      </c>
      <c r="AG592" s="64" t="str">
        <f>IF($B592="","",(COUNTIFS(Rships!$C$2:$C$9990,$A592,Rships!$D$2:$D$9990,6)))</f>
        <v/>
      </c>
      <c r="AH592" s="64" t="str">
        <f>IF($B592="","",(COUNTIFS(Rships!$C$2:$C$9990,$A592,Rships!$D$2:$D$9990,7)))</f>
        <v/>
      </c>
    </row>
    <row r="593" spans="1:34">
      <c r="A593" s="1" t="s">
        <v>844</v>
      </c>
      <c r="C593" s="11" t="s">
        <v>19</v>
      </c>
      <c r="D593" s="11" t="s">
        <v>21</v>
      </c>
      <c r="F593" s="15"/>
      <c r="G593" s="15"/>
      <c r="I593" s="17"/>
      <c r="O593" s="11" t="s">
        <v>27</v>
      </c>
      <c r="Y593" s="64">
        <f t="shared" si="18"/>
        <v>0</v>
      </c>
      <c r="AA593" s="64">
        <f t="shared" si="19"/>
        <v>0</v>
      </c>
      <c r="AB593" s="64" t="str">
        <f>IF($B593="","",(COUNTIFS(Rships!$C$2:$C$9990,$A593,Rships!$D$2:$D$9990,1)))</f>
        <v/>
      </c>
      <c r="AC593" s="64" t="str">
        <f>IF($B593="","",(COUNTIFS(Rships!$C$2:$C$9990,$A593,Rships!$D$2:$D$9990,2)))</f>
        <v/>
      </c>
      <c r="AD593" s="64" t="str">
        <f>IF($B593="","",(COUNTIFS(Rships!$C$2:$C$9990,$A593,Rships!$D$2:$D$9990,3)))</f>
        <v/>
      </c>
      <c r="AE593" s="64" t="str">
        <f>IF($B593="","",(COUNTIFS(Rships!$C$2:$C$9990,$A593,Rships!$D$2:$D$9990,4)))</f>
        <v/>
      </c>
      <c r="AF593" s="64" t="str">
        <f>IF($B593="","",(COUNTIFS(Rships!$C$2:$C$9990,$A593,Rships!$D$2:$D$9990,5)))</f>
        <v/>
      </c>
      <c r="AG593" s="64" t="str">
        <f>IF($B593="","",(COUNTIFS(Rships!$C$2:$C$9990,$A593,Rships!$D$2:$D$9990,6)))</f>
        <v/>
      </c>
      <c r="AH593" s="64" t="str">
        <f>IF($B593="","",(COUNTIFS(Rships!$C$2:$C$9990,$A593,Rships!$D$2:$D$9990,7)))</f>
        <v/>
      </c>
    </row>
    <row r="594" spans="1:34">
      <c r="A594" s="1" t="s">
        <v>845</v>
      </c>
      <c r="C594" s="11" t="s">
        <v>19</v>
      </c>
      <c r="D594" s="11" t="s">
        <v>21</v>
      </c>
      <c r="F594" s="15"/>
      <c r="G594" s="15"/>
      <c r="I594" s="17"/>
      <c r="O594" s="11" t="s">
        <v>27</v>
      </c>
      <c r="Y594" s="64">
        <f t="shared" si="18"/>
        <v>0</v>
      </c>
      <c r="AA594" s="64">
        <f t="shared" si="19"/>
        <v>0</v>
      </c>
      <c r="AB594" s="64" t="str">
        <f>IF($B594="","",(COUNTIFS(Rships!$C$2:$C$9990,$A594,Rships!$D$2:$D$9990,1)))</f>
        <v/>
      </c>
      <c r="AC594" s="64" t="str">
        <f>IF($B594="","",(COUNTIFS(Rships!$C$2:$C$9990,$A594,Rships!$D$2:$D$9990,2)))</f>
        <v/>
      </c>
      <c r="AD594" s="64" t="str">
        <f>IF($B594="","",(COUNTIFS(Rships!$C$2:$C$9990,$A594,Rships!$D$2:$D$9990,3)))</f>
        <v/>
      </c>
      <c r="AE594" s="64" t="str">
        <f>IF($B594="","",(COUNTIFS(Rships!$C$2:$C$9990,$A594,Rships!$D$2:$D$9990,4)))</f>
        <v/>
      </c>
      <c r="AF594" s="64" t="str">
        <f>IF($B594="","",(COUNTIFS(Rships!$C$2:$C$9990,$A594,Rships!$D$2:$D$9990,5)))</f>
        <v/>
      </c>
      <c r="AG594" s="64" t="str">
        <f>IF($B594="","",(COUNTIFS(Rships!$C$2:$C$9990,$A594,Rships!$D$2:$D$9990,6)))</f>
        <v/>
      </c>
      <c r="AH594" s="64" t="str">
        <f>IF($B594="","",(COUNTIFS(Rships!$C$2:$C$9990,$A594,Rships!$D$2:$D$9990,7)))</f>
        <v/>
      </c>
    </row>
    <row r="595" spans="1:34">
      <c r="A595" s="1" t="s">
        <v>846</v>
      </c>
      <c r="C595" s="11" t="s">
        <v>19</v>
      </c>
      <c r="D595" s="11" t="s">
        <v>21</v>
      </c>
      <c r="F595" s="15"/>
      <c r="G595" s="15"/>
      <c r="I595" s="17"/>
      <c r="O595" s="11" t="s">
        <v>27</v>
      </c>
      <c r="Y595" s="64">
        <f t="shared" si="18"/>
        <v>0</v>
      </c>
      <c r="AA595" s="64">
        <f t="shared" si="19"/>
        <v>0</v>
      </c>
      <c r="AB595" s="64" t="str">
        <f>IF($B595="","",(COUNTIFS(Rships!$C$2:$C$9990,$A595,Rships!$D$2:$D$9990,1)))</f>
        <v/>
      </c>
      <c r="AC595" s="64" t="str">
        <f>IF($B595="","",(COUNTIFS(Rships!$C$2:$C$9990,$A595,Rships!$D$2:$D$9990,2)))</f>
        <v/>
      </c>
      <c r="AD595" s="64" t="str">
        <f>IF($B595="","",(COUNTIFS(Rships!$C$2:$C$9990,$A595,Rships!$D$2:$D$9990,3)))</f>
        <v/>
      </c>
      <c r="AE595" s="64" t="str">
        <f>IF($B595="","",(COUNTIFS(Rships!$C$2:$C$9990,$A595,Rships!$D$2:$D$9990,4)))</f>
        <v/>
      </c>
      <c r="AF595" s="64" t="str">
        <f>IF($B595="","",(COUNTIFS(Rships!$C$2:$C$9990,$A595,Rships!$D$2:$D$9990,5)))</f>
        <v/>
      </c>
      <c r="AG595" s="64" t="str">
        <f>IF($B595="","",(COUNTIFS(Rships!$C$2:$C$9990,$A595,Rships!$D$2:$D$9990,6)))</f>
        <v/>
      </c>
      <c r="AH595" s="64" t="str">
        <f>IF($B595="","",(COUNTIFS(Rships!$C$2:$C$9990,$A595,Rships!$D$2:$D$9990,7)))</f>
        <v/>
      </c>
    </row>
    <row r="596" spans="1:34" ht="15">
      <c r="A596" s="1" t="s">
        <v>847</v>
      </c>
      <c r="C596" s="11" t="s">
        <v>19</v>
      </c>
      <c r="D596" s="11" t="s">
        <v>21</v>
      </c>
      <c r="F596" s="30"/>
      <c r="G596" s="15"/>
      <c r="I596" s="17"/>
      <c r="J596" s="33"/>
      <c r="O596" s="11" t="s">
        <v>27</v>
      </c>
      <c r="Y596" s="64">
        <f t="shared" si="18"/>
        <v>0</v>
      </c>
      <c r="AA596" s="64">
        <f t="shared" si="19"/>
        <v>0</v>
      </c>
      <c r="AB596" s="64" t="str">
        <f>IF($B596="","",(COUNTIFS(Rships!$C$2:$C$9990,$A596,Rships!$D$2:$D$9990,1)))</f>
        <v/>
      </c>
      <c r="AC596" s="64" t="str">
        <f>IF($B596="","",(COUNTIFS(Rships!$C$2:$C$9990,$A596,Rships!$D$2:$D$9990,2)))</f>
        <v/>
      </c>
      <c r="AD596" s="64" t="str">
        <f>IF($B596="","",(COUNTIFS(Rships!$C$2:$C$9990,$A596,Rships!$D$2:$D$9990,3)))</f>
        <v/>
      </c>
      <c r="AE596" s="64" t="str">
        <f>IF($B596="","",(COUNTIFS(Rships!$C$2:$C$9990,$A596,Rships!$D$2:$D$9990,4)))</f>
        <v/>
      </c>
      <c r="AF596" s="64" t="str">
        <f>IF($B596="","",(COUNTIFS(Rships!$C$2:$C$9990,$A596,Rships!$D$2:$D$9990,5)))</f>
        <v/>
      </c>
      <c r="AG596" s="64" t="str">
        <f>IF($B596="","",(COUNTIFS(Rships!$C$2:$C$9990,$A596,Rships!$D$2:$D$9990,6)))</f>
        <v/>
      </c>
      <c r="AH596" s="64" t="str">
        <f>IF($B596="","",(COUNTIFS(Rships!$C$2:$C$9990,$A596,Rships!$D$2:$D$9990,7)))</f>
        <v/>
      </c>
    </row>
    <row r="597" spans="1:34" s="29" customFormat="1">
      <c r="A597" s="1" t="s">
        <v>848</v>
      </c>
      <c r="B597" s="35" t="s">
        <v>57</v>
      </c>
      <c r="C597" s="29" t="s">
        <v>19</v>
      </c>
      <c r="D597" s="29" t="s">
        <v>21</v>
      </c>
      <c r="E597" s="29" t="s">
        <v>225</v>
      </c>
      <c r="F597" s="29" t="s">
        <v>228</v>
      </c>
      <c r="G597" s="30" t="s">
        <v>231</v>
      </c>
      <c r="H597" s="31">
        <v>6606067993087</v>
      </c>
      <c r="I597" s="32">
        <v>761737918</v>
      </c>
      <c r="J597" s="29" t="s">
        <v>226</v>
      </c>
      <c r="K597" s="29" t="s">
        <v>229</v>
      </c>
      <c r="L597" s="31">
        <v>9323</v>
      </c>
      <c r="M597" s="29" t="s">
        <v>229</v>
      </c>
      <c r="N597" s="31">
        <v>9323</v>
      </c>
      <c r="O597" s="29" t="s">
        <v>26</v>
      </c>
      <c r="P597" s="34">
        <v>2000</v>
      </c>
      <c r="Q597" s="29" t="s">
        <v>227</v>
      </c>
      <c r="R597" s="29" t="s">
        <v>56</v>
      </c>
      <c r="S597" s="29" t="s">
        <v>123</v>
      </c>
      <c r="T597" s="29" t="s">
        <v>230</v>
      </c>
      <c r="U597" s="31">
        <v>62355424020</v>
      </c>
      <c r="V597" s="29" t="s">
        <v>31</v>
      </c>
      <c r="W597" s="36">
        <v>41670</v>
      </c>
      <c r="X597" s="48">
        <v>41591</v>
      </c>
      <c r="Y597" s="64">
        <f t="shared" si="18"/>
        <v>0</v>
      </c>
      <c r="Z597" s="29" t="s">
        <v>123</v>
      </c>
      <c r="AA597" s="64">
        <f t="shared" si="19"/>
        <v>0</v>
      </c>
      <c r="AB597" s="64">
        <f>IF($B597="","",(COUNTIFS(Rships!$C$2:$C$9990,$A597,Rships!$D$2:$D$9990,1)))</f>
        <v>0</v>
      </c>
      <c r="AC597" s="64">
        <f>IF($B597="","",(COUNTIFS(Rships!$C$2:$C$9990,$A597,Rships!$D$2:$D$9990,2)))</f>
        <v>0</v>
      </c>
      <c r="AD597" s="64">
        <f>IF($B597="","",(COUNTIFS(Rships!$C$2:$C$9990,$A597,Rships!$D$2:$D$9990,3)))</f>
        <v>0</v>
      </c>
      <c r="AE597" s="64">
        <f>IF($B597="","",(COUNTIFS(Rships!$C$2:$C$9990,$A597,Rships!$D$2:$D$9990,4)))</f>
        <v>0</v>
      </c>
      <c r="AF597" s="64">
        <f>IF($B597="","",(COUNTIFS(Rships!$C$2:$C$9990,$A597,Rships!$D$2:$D$9990,5)))</f>
        <v>0</v>
      </c>
      <c r="AG597" s="64">
        <f>IF($B597="","",(COUNTIFS(Rships!$C$2:$C$9990,$A597,Rships!$D$2:$D$9990,6)))</f>
        <v>0</v>
      </c>
      <c r="AH597" s="64">
        <f>IF($B597="","",(COUNTIFS(Rships!$C$2:$C$9990,$A597,Rships!$D$2:$D$9990,7)))</f>
        <v>0</v>
      </c>
    </row>
    <row r="598" spans="1:34">
      <c r="A598" s="1" t="s">
        <v>849</v>
      </c>
      <c r="C598" s="11" t="s">
        <v>19</v>
      </c>
      <c r="D598" s="11" t="s">
        <v>21</v>
      </c>
      <c r="F598" s="15"/>
      <c r="G598" s="15"/>
      <c r="I598" s="17"/>
      <c r="O598" s="11" t="s">
        <v>27</v>
      </c>
      <c r="Y598" s="64">
        <f t="shared" si="18"/>
        <v>0</v>
      </c>
      <c r="AA598" s="64">
        <f t="shared" si="19"/>
        <v>0</v>
      </c>
      <c r="AB598" s="64" t="str">
        <f>IF($B598="","",(COUNTIFS(Rships!$C$2:$C$9990,$A598,Rships!$D$2:$D$9990,1)))</f>
        <v/>
      </c>
      <c r="AC598" s="64" t="str">
        <f>IF($B598="","",(COUNTIFS(Rships!$C$2:$C$9990,$A598,Rships!$D$2:$D$9990,2)))</f>
        <v/>
      </c>
      <c r="AD598" s="64" t="str">
        <f>IF($B598="","",(COUNTIFS(Rships!$C$2:$C$9990,$A598,Rships!$D$2:$D$9990,3)))</f>
        <v/>
      </c>
      <c r="AE598" s="64" t="str">
        <f>IF($B598="","",(COUNTIFS(Rships!$C$2:$C$9990,$A598,Rships!$D$2:$D$9990,4)))</f>
        <v/>
      </c>
      <c r="AF598" s="64" t="str">
        <f>IF($B598="","",(COUNTIFS(Rships!$C$2:$C$9990,$A598,Rships!$D$2:$D$9990,5)))</f>
        <v/>
      </c>
      <c r="AG598" s="64" t="str">
        <f>IF($B598="","",(COUNTIFS(Rships!$C$2:$C$9990,$A598,Rships!$D$2:$D$9990,6)))</f>
        <v/>
      </c>
      <c r="AH598" s="64" t="str">
        <f>IF($B598="","",(COUNTIFS(Rships!$C$2:$C$9990,$A598,Rships!$D$2:$D$9990,7)))</f>
        <v/>
      </c>
    </row>
    <row r="599" spans="1:34" ht="15">
      <c r="A599" s="1" t="s">
        <v>850</v>
      </c>
      <c r="C599" s="11" t="s">
        <v>19</v>
      </c>
      <c r="D599" s="11" t="s">
        <v>21</v>
      </c>
      <c r="F599" s="30"/>
      <c r="G599" s="15"/>
      <c r="I599" s="17"/>
      <c r="J599" s="33"/>
      <c r="M599" s="29"/>
      <c r="O599" s="11" t="s">
        <v>27</v>
      </c>
      <c r="T599" s="29"/>
      <c r="W599" s="36"/>
      <c r="Y599" s="64">
        <f t="shared" si="18"/>
        <v>0</v>
      </c>
      <c r="AA599" s="64">
        <f t="shared" si="19"/>
        <v>0</v>
      </c>
      <c r="AB599" s="64" t="str">
        <f>IF($B599="","",(COUNTIFS(Rships!$C$2:$C$9990,$A599,Rships!$D$2:$D$9990,1)))</f>
        <v/>
      </c>
      <c r="AC599" s="64" t="str">
        <f>IF($B599="","",(COUNTIFS(Rships!$C$2:$C$9990,$A599,Rships!$D$2:$D$9990,2)))</f>
        <v/>
      </c>
      <c r="AD599" s="64" t="str">
        <f>IF($B599="","",(COUNTIFS(Rships!$C$2:$C$9990,$A599,Rships!$D$2:$D$9990,3)))</f>
        <v/>
      </c>
      <c r="AE599" s="64" t="str">
        <f>IF($B599="","",(COUNTIFS(Rships!$C$2:$C$9990,$A599,Rships!$D$2:$D$9990,4)))</f>
        <v/>
      </c>
      <c r="AF599" s="64" t="str">
        <f>IF($B599="","",(COUNTIFS(Rships!$C$2:$C$9990,$A599,Rships!$D$2:$D$9990,5)))</f>
        <v/>
      </c>
      <c r="AG599" s="64" t="str">
        <f>IF($B599="","",(COUNTIFS(Rships!$C$2:$C$9990,$A599,Rships!$D$2:$D$9990,6)))</f>
        <v/>
      </c>
      <c r="AH599" s="64" t="str">
        <f>IF($B599="","",(COUNTIFS(Rships!$C$2:$C$9990,$A599,Rships!$D$2:$D$9990,7)))</f>
        <v/>
      </c>
    </row>
    <row r="600" spans="1:34" ht="15">
      <c r="A600" s="1" t="s">
        <v>851</v>
      </c>
      <c r="C600" s="11" t="s">
        <v>19</v>
      </c>
      <c r="D600" s="11" t="s">
        <v>21</v>
      </c>
      <c r="F600" s="30"/>
      <c r="G600" s="15"/>
      <c r="I600" s="17"/>
      <c r="J600" s="33"/>
      <c r="M600" s="29"/>
      <c r="O600" s="11" t="s">
        <v>27</v>
      </c>
      <c r="T600" s="29"/>
      <c r="W600" s="36"/>
      <c r="Y600" s="64">
        <f t="shared" si="18"/>
        <v>0</v>
      </c>
      <c r="AA600" s="64">
        <f t="shared" si="19"/>
        <v>0</v>
      </c>
      <c r="AB600" s="64" t="str">
        <f>IF($B600="","",(COUNTIFS(Rships!$C$2:$C$9990,$A600,Rships!$D$2:$D$9990,1)))</f>
        <v/>
      </c>
      <c r="AC600" s="64" t="str">
        <f>IF($B600="","",(COUNTIFS(Rships!$C$2:$C$9990,$A600,Rships!$D$2:$D$9990,2)))</f>
        <v/>
      </c>
      <c r="AD600" s="64" t="str">
        <f>IF($B600="","",(COUNTIFS(Rships!$C$2:$C$9990,$A600,Rships!$D$2:$D$9990,3)))</f>
        <v/>
      </c>
      <c r="AE600" s="64" t="str">
        <f>IF($B600="","",(COUNTIFS(Rships!$C$2:$C$9990,$A600,Rships!$D$2:$D$9990,4)))</f>
        <v/>
      </c>
      <c r="AF600" s="64" t="str">
        <f>IF($B600="","",(COUNTIFS(Rships!$C$2:$C$9990,$A600,Rships!$D$2:$D$9990,5)))</f>
        <v/>
      </c>
      <c r="AG600" s="64" t="str">
        <f>IF($B600="","",(COUNTIFS(Rships!$C$2:$C$9990,$A600,Rships!$D$2:$D$9990,6)))</f>
        <v/>
      </c>
      <c r="AH600" s="64" t="str">
        <f>IF($B600="","",(COUNTIFS(Rships!$C$2:$C$9990,$A600,Rships!$D$2:$D$9990,7)))</f>
        <v/>
      </c>
    </row>
    <row r="601" spans="1:34" s="29" customFormat="1">
      <c r="A601" s="1" t="s">
        <v>852</v>
      </c>
      <c r="B601" s="35" t="s">
        <v>57</v>
      </c>
      <c r="C601" s="29" t="s">
        <v>19</v>
      </c>
      <c r="D601" s="29" t="s">
        <v>21</v>
      </c>
      <c r="E601" s="29" t="s">
        <v>232</v>
      </c>
      <c r="F601" s="29" t="s">
        <v>235</v>
      </c>
      <c r="G601" s="30" t="s">
        <v>236</v>
      </c>
      <c r="H601" s="31">
        <v>8603245943082</v>
      </c>
      <c r="I601" s="32">
        <v>792765259</v>
      </c>
      <c r="J601" s="29" t="s">
        <v>233</v>
      </c>
      <c r="K601" s="29" t="s">
        <v>234</v>
      </c>
      <c r="L601" s="31"/>
      <c r="M601" s="29" t="s">
        <v>237</v>
      </c>
      <c r="N601" s="31">
        <v>9944</v>
      </c>
      <c r="O601" s="29" t="s">
        <v>27</v>
      </c>
      <c r="P601" s="34"/>
      <c r="Q601" s="29" t="s">
        <v>164</v>
      </c>
      <c r="R601" s="29" t="s">
        <v>238</v>
      </c>
      <c r="S601" s="29" t="s">
        <v>123</v>
      </c>
      <c r="T601" s="29" t="s">
        <v>239</v>
      </c>
      <c r="U601" s="31">
        <v>1302383254</v>
      </c>
      <c r="V601" s="29" t="s">
        <v>31</v>
      </c>
      <c r="W601" s="36">
        <v>41609</v>
      </c>
      <c r="X601" s="48">
        <v>41591</v>
      </c>
      <c r="Y601" s="64">
        <f>SUMIF($B$2:$B$100,$A601,$AA$2:$AA$100)</f>
        <v>0</v>
      </c>
      <c r="Z601" s="29" t="s">
        <v>123</v>
      </c>
      <c r="AA601" s="64">
        <f>SUM($AB601:$AH601)</f>
        <v>0</v>
      </c>
      <c r="AB601" s="64">
        <f>IF($B601="","",(COUNTIFS(Rships!$C$2:$C$9990,$A601,Rships!$D$2:$D$9990,1)))</f>
        <v>0</v>
      </c>
      <c r="AC601" s="64">
        <f>IF($B601="","",(COUNTIFS(Rships!$C$2:$C$9990,$A601,Rships!$D$2:$D$9990,2)))</f>
        <v>0</v>
      </c>
      <c r="AD601" s="64">
        <f>IF($B601="","",(COUNTIFS(Rships!$C$2:$C$9990,$A601,Rships!$D$2:$D$9990,3)))</f>
        <v>0</v>
      </c>
      <c r="AE601" s="64">
        <f>IF($B601="","",(COUNTIFS(Rships!$C$2:$C$9990,$A601,Rships!$D$2:$D$9990,4)))</f>
        <v>0</v>
      </c>
      <c r="AF601" s="64">
        <f>IF($B601="","",(COUNTIFS(Rships!$C$2:$C$9990,$A601,Rships!$D$2:$D$9990,5)))</f>
        <v>0</v>
      </c>
      <c r="AG601" s="64">
        <f>IF($B601="","",(COUNTIFS(Rships!$C$2:$C$9990,$A601,Rships!$D$2:$D$9990,6)))</f>
        <v>0</v>
      </c>
      <c r="AH601" s="64">
        <f>IF($B601="","",(COUNTIFS(Rships!$C$2:$C$9990,$A601,Rships!$D$2:$D$9990,7)))</f>
        <v>0</v>
      </c>
    </row>
    <row r="602" spans="1:34">
      <c r="A602" s="1" t="s">
        <v>853</v>
      </c>
      <c r="B602" s="13" t="s">
        <v>262</v>
      </c>
      <c r="C602" s="11" t="s">
        <v>19</v>
      </c>
      <c r="D602" s="11" t="s">
        <v>20</v>
      </c>
      <c r="E602" s="11" t="s">
        <v>1381</v>
      </c>
      <c r="F602" s="15" t="s">
        <v>1382</v>
      </c>
      <c r="G602" s="15" t="s">
        <v>1383</v>
      </c>
      <c r="H602" s="16">
        <v>7405230266086</v>
      </c>
      <c r="I602" s="17">
        <v>719830896</v>
      </c>
      <c r="K602" s="11" t="s">
        <v>1384</v>
      </c>
      <c r="L602" s="16">
        <v>1759</v>
      </c>
      <c r="M602" s="11" t="s">
        <v>1384</v>
      </c>
      <c r="N602" s="16">
        <v>1759</v>
      </c>
      <c r="O602" s="11" t="s">
        <v>26</v>
      </c>
      <c r="Q602" s="11" t="s">
        <v>1385</v>
      </c>
      <c r="R602" s="11" t="s">
        <v>238</v>
      </c>
      <c r="S602" s="11" t="s">
        <v>1386</v>
      </c>
      <c r="T602" s="11" t="s">
        <v>1387</v>
      </c>
      <c r="U602" s="16">
        <v>1180777458</v>
      </c>
      <c r="V602" s="11" t="s">
        <v>31</v>
      </c>
      <c r="W602" s="26">
        <v>41633</v>
      </c>
      <c r="X602" s="46">
        <v>41583</v>
      </c>
      <c r="Y602" s="64">
        <f t="shared" si="18"/>
        <v>0</v>
      </c>
      <c r="Z602" s="11" t="s">
        <v>1386</v>
      </c>
      <c r="AA602" s="64">
        <f t="shared" si="19"/>
        <v>0</v>
      </c>
      <c r="AB602" s="64">
        <f>IF($B602="","",(COUNTIFS(Rships!$C$2:$C$9990,$A602,Rships!$D$2:$D$9990,1)))</f>
        <v>0</v>
      </c>
      <c r="AC602" s="64">
        <f>IF($B602="","",(COUNTIFS(Rships!$C$2:$C$9990,$A602,Rships!$D$2:$D$9990,2)))</f>
        <v>0</v>
      </c>
      <c r="AD602" s="64">
        <f>IF($B602="","",(COUNTIFS(Rships!$C$2:$C$9990,$A602,Rships!$D$2:$D$9990,3)))</f>
        <v>0</v>
      </c>
      <c r="AE602" s="64">
        <f>IF($B602="","",(COUNTIFS(Rships!$C$2:$C$9990,$A602,Rships!$D$2:$D$9990,4)))</f>
        <v>0</v>
      </c>
      <c r="AF602" s="64">
        <f>IF($B602="","",(COUNTIFS(Rships!$C$2:$C$9990,$A602,Rships!$D$2:$D$9990,5)))</f>
        <v>0</v>
      </c>
      <c r="AG602" s="64">
        <f>IF($B602="","",(COUNTIFS(Rships!$C$2:$C$9990,$A602,Rships!$D$2:$D$9990,6)))</f>
        <v>0</v>
      </c>
      <c r="AH602" s="64">
        <f>IF($B602="","",(COUNTIFS(Rships!$C$2:$C$9990,$A602,Rships!$D$2:$D$9990,7)))</f>
        <v>0</v>
      </c>
    </row>
    <row r="603" spans="1:34">
      <c r="A603" s="1" t="s">
        <v>854</v>
      </c>
      <c r="C603" s="11" t="s">
        <v>19</v>
      </c>
      <c r="D603" s="11" t="s">
        <v>21</v>
      </c>
      <c r="F603" s="15"/>
      <c r="G603" s="15"/>
      <c r="I603" s="17"/>
      <c r="O603" s="11" t="s">
        <v>27</v>
      </c>
      <c r="Y603" s="64">
        <f t="shared" si="18"/>
        <v>0</v>
      </c>
      <c r="AA603" s="64">
        <f t="shared" si="19"/>
        <v>0</v>
      </c>
      <c r="AB603" s="64" t="str">
        <f>IF($B603="","",(COUNTIFS(Rships!$C$2:$C$9990,$A603,Rships!$D$2:$D$9990,1)))</f>
        <v/>
      </c>
      <c r="AC603" s="64" t="str">
        <f>IF($B603="","",(COUNTIFS(Rships!$C$2:$C$9990,$A603,Rships!$D$2:$D$9990,2)))</f>
        <v/>
      </c>
      <c r="AD603" s="64" t="str">
        <f>IF($B603="","",(COUNTIFS(Rships!$C$2:$C$9990,$A603,Rships!$D$2:$D$9990,3)))</f>
        <v/>
      </c>
      <c r="AE603" s="64" t="str">
        <f>IF($B603="","",(COUNTIFS(Rships!$C$2:$C$9990,$A603,Rships!$D$2:$D$9990,4)))</f>
        <v/>
      </c>
      <c r="AF603" s="64" t="str">
        <f>IF($B603="","",(COUNTIFS(Rships!$C$2:$C$9990,$A603,Rships!$D$2:$D$9990,5)))</f>
        <v/>
      </c>
      <c r="AG603" s="64" t="str">
        <f>IF($B603="","",(COUNTIFS(Rships!$C$2:$C$9990,$A603,Rships!$D$2:$D$9990,6)))</f>
        <v/>
      </c>
      <c r="AH603" s="64" t="str">
        <f>IF($B603="","",(COUNTIFS(Rships!$C$2:$C$9990,$A603,Rships!$D$2:$D$9990,7)))</f>
        <v/>
      </c>
    </row>
    <row r="604" spans="1:34">
      <c r="A604" s="1" t="s">
        <v>855</v>
      </c>
      <c r="C604" s="11" t="s">
        <v>19</v>
      </c>
      <c r="D604" s="11" t="s">
        <v>21</v>
      </c>
      <c r="F604" s="15"/>
      <c r="G604" s="15"/>
      <c r="I604" s="17"/>
      <c r="O604" s="11" t="s">
        <v>27</v>
      </c>
      <c r="Y604" s="64">
        <f t="shared" si="18"/>
        <v>0</v>
      </c>
      <c r="AA604" s="64">
        <f t="shared" si="19"/>
        <v>0</v>
      </c>
      <c r="AB604" s="64" t="str">
        <f>IF($B604="","",(COUNTIFS(Rships!$C$2:$C$9990,$A604,Rships!$D$2:$D$9990,1)))</f>
        <v/>
      </c>
      <c r="AC604" s="64" t="str">
        <f>IF($B604="","",(COUNTIFS(Rships!$C$2:$C$9990,$A604,Rships!$D$2:$D$9990,2)))</f>
        <v/>
      </c>
      <c r="AD604" s="64" t="str">
        <f>IF($B604="","",(COUNTIFS(Rships!$C$2:$C$9990,$A604,Rships!$D$2:$D$9990,3)))</f>
        <v/>
      </c>
      <c r="AE604" s="64" t="str">
        <f>IF($B604="","",(COUNTIFS(Rships!$C$2:$C$9990,$A604,Rships!$D$2:$D$9990,4)))</f>
        <v/>
      </c>
      <c r="AF604" s="64" t="str">
        <f>IF($B604="","",(COUNTIFS(Rships!$C$2:$C$9990,$A604,Rships!$D$2:$D$9990,5)))</f>
        <v/>
      </c>
      <c r="AG604" s="64" t="str">
        <f>IF($B604="","",(COUNTIFS(Rships!$C$2:$C$9990,$A604,Rships!$D$2:$D$9990,6)))</f>
        <v/>
      </c>
      <c r="AH604" s="64" t="str">
        <f>IF($B604="","",(COUNTIFS(Rships!$C$2:$C$9990,$A604,Rships!$D$2:$D$9990,7)))</f>
        <v/>
      </c>
    </row>
    <row r="605" spans="1:34">
      <c r="A605" s="1" t="s">
        <v>856</v>
      </c>
      <c r="C605" s="11" t="s">
        <v>19</v>
      </c>
      <c r="D605" s="11" t="s">
        <v>21</v>
      </c>
      <c r="F605" s="15"/>
      <c r="G605" s="15"/>
      <c r="I605" s="17"/>
      <c r="O605" s="11" t="s">
        <v>27</v>
      </c>
      <c r="Y605" s="64">
        <f t="shared" si="18"/>
        <v>0</v>
      </c>
      <c r="AA605" s="64">
        <f t="shared" si="19"/>
        <v>0</v>
      </c>
      <c r="AB605" s="64" t="str">
        <f>IF($B605="","",(COUNTIFS(Rships!$C$2:$C$9990,$A605,Rships!$D$2:$D$9990,1)))</f>
        <v/>
      </c>
      <c r="AC605" s="64" t="str">
        <f>IF($B605="","",(COUNTIFS(Rships!$C$2:$C$9990,$A605,Rships!$D$2:$D$9990,2)))</f>
        <v/>
      </c>
      <c r="AD605" s="64" t="str">
        <f>IF($B605="","",(COUNTIFS(Rships!$C$2:$C$9990,$A605,Rships!$D$2:$D$9990,3)))</f>
        <v/>
      </c>
      <c r="AE605" s="64" t="str">
        <f>IF($B605="","",(COUNTIFS(Rships!$C$2:$C$9990,$A605,Rships!$D$2:$D$9990,4)))</f>
        <v/>
      </c>
      <c r="AF605" s="64" t="str">
        <f>IF($B605="","",(COUNTIFS(Rships!$C$2:$C$9990,$A605,Rships!$D$2:$D$9990,5)))</f>
        <v/>
      </c>
      <c r="AG605" s="64" t="str">
        <f>IF($B605="","",(COUNTIFS(Rships!$C$2:$C$9990,$A605,Rships!$D$2:$D$9990,6)))</f>
        <v/>
      </c>
      <c r="AH605" s="64" t="str">
        <f>IF($B605="","",(COUNTIFS(Rships!$C$2:$C$9990,$A605,Rships!$D$2:$D$9990,7)))</f>
        <v/>
      </c>
    </row>
    <row r="606" spans="1:34">
      <c r="A606" s="1" t="s">
        <v>857</v>
      </c>
      <c r="C606" s="11" t="s">
        <v>19</v>
      </c>
      <c r="D606" s="11" t="s">
        <v>21</v>
      </c>
      <c r="F606" s="15"/>
      <c r="G606" s="15"/>
      <c r="I606" s="17"/>
      <c r="O606" s="11" t="s">
        <v>27</v>
      </c>
      <c r="Y606" s="64">
        <f t="shared" si="18"/>
        <v>0</v>
      </c>
      <c r="AA606" s="64">
        <f t="shared" si="19"/>
        <v>0</v>
      </c>
      <c r="AB606" s="64" t="str">
        <f>IF($B606="","",(COUNTIFS(Rships!$C$2:$C$9990,$A606,Rships!$D$2:$D$9990,1)))</f>
        <v/>
      </c>
      <c r="AC606" s="64" t="str">
        <f>IF($B606="","",(COUNTIFS(Rships!$C$2:$C$9990,$A606,Rships!$D$2:$D$9990,2)))</f>
        <v/>
      </c>
      <c r="AD606" s="64" t="str">
        <f>IF($B606="","",(COUNTIFS(Rships!$C$2:$C$9990,$A606,Rships!$D$2:$D$9990,3)))</f>
        <v/>
      </c>
      <c r="AE606" s="64" t="str">
        <f>IF($B606="","",(COUNTIFS(Rships!$C$2:$C$9990,$A606,Rships!$D$2:$D$9990,4)))</f>
        <v/>
      </c>
      <c r="AF606" s="64" t="str">
        <f>IF($B606="","",(COUNTIFS(Rships!$C$2:$C$9990,$A606,Rships!$D$2:$D$9990,5)))</f>
        <v/>
      </c>
      <c r="AG606" s="64" t="str">
        <f>IF($B606="","",(COUNTIFS(Rships!$C$2:$C$9990,$A606,Rships!$D$2:$D$9990,6)))</f>
        <v/>
      </c>
      <c r="AH606" s="64" t="str">
        <f>IF($B606="","",(COUNTIFS(Rships!$C$2:$C$9990,$A606,Rships!$D$2:$D$9990,7)))</f>
        <v/>
      </c>
    </row>
    <row r="607" spans="1:34">
      <c r="A607" s="1" t="s">
        <v>858</v>
      </c>
      <c r="C607" s="11" t="s">
        <v>19</v>
      </c>
      <c r="D607" s="11" t="s">
        <v>21</v>
      </c>
      <c r="F607" s="15"/>
      <c r="G607" s="15"/>
      <c r="I607" s="17"/>
      <c r="O607" s="11" t="s">
        <v>27</v>
      </c>
      <c r="Y607" s="64">
        <f t="shared" si="18"/>
        <v>0</v>
      </c>
      <c r="AA607" s="64">
        <f t="shared" si="19"/>
        <v>0</v>
      </c>
      <c r="AB607" s="64" t="str">
        <f>IF($B607="","",(COUNTIFS(Rships!$C$2:$C$9990,$A607,Rships!$D$2:$D$9990,1)))</f>
        <v/>
      </c>
      <c r="AC607" s="64" t="str">
        <f>IF($B607="","",(COUNTIFS(Rships!$C$2:$C$9990,$A607,Rships!$D$2:$D$9990,2)))</f>
        <v/>
      </c>
      <c r="AD607" s="64" t="str">
        <f>IF($B607="","",(COUNTIFS(Rships!$C$2:$C$9990,$A607,Rships!$D$2:$D$9990,3)))</f>
        <v/>
      </c>
      <c r="AE607" s="64" t="str">
        <f>IF($B607="","",(COUNTIFS(Rships!$C$2:$C$9990,$A607,Rships!$D$2:$D$9990,4)))</f>
        <v/>
      </c>
      <c r="AF607" s="64" t="str">
        <f>IF($B607="","",(COUNTIFS(Rships!$C$2:$C$9990,$A607,Rships!$D$2:$D$9990,5)))</f>
        <v/>
      </c>
      <c r="AG607" s="64" t="str">
        <f>IF($B607="","",(COUNTIFS(Rships!$C$2:$C$9990,$A607,Rships!$D$2:$D$9990,6)))</f>
        <v/>
      </c>
      <c r="AH607" s="64" t="str">
        <f>IF($B607="","",(COUNTIFS(Rships!$C$2:$C$9990,$A607,Rships!$D$2:$D$9990,7)))</f>
        <v/>
      </c>
    </row>
    <row r="608" spans="1:34">
      <c r="A608" s="1" t="s">
        <v>859</v>
      </c>
      <c r="C608" s="11" t="s">
        <v>19</v>
      </c>
      <c r="D608" s="11" t="s">
        <v>21</v>
      </c>
      <c r="F608" s="15"/>
      <c r="G608" s="15"/>
      <c r="I608" s="17"/>
      <c r="O608" s="11" t="s">
        <v>27</v>
      </c>
      <c r="Y608" s="64">
        <f t="shared" si="18"/>
        <v>0</v>
      </c>
      <c r="AA608" s="64">
        <f t="shared" si="19"/>
        <v>0</v>
      </c>
      <c r="AB608" s="64" t="str">
        <f>IF($B608="","",(COUNTIFS(Rships!$C$2:$C$9990,$A608,Rships!$D$2:$D$9990,1)))</f>
        <v/>
      </c>
      <c r="AC608" s="64" t="str">
        <f>IF($B608="","",(COUNTIFS(Rships!$C$2:$C$9990,$A608,Rships!$D$2:$D$9990,2)))</f>
        <v/>
      </c>
      <c r="AD608" s="64" t="str">
        <f>IF($B608="","",(COUNTIFS(Rships!$C$2:$C$9990,$A608,Rships!$D$2:$D$9990,3)))</f>
        <v/>
      </c>
      <c r="AE608" s="64" t="str">
        <f>IF($B608="","",(COUNTIFS(Rships!$C$2:$C$9990,$A608,Rships!$D$2:$D$9990,4)))</f>
        <v/>
      </c>
      <c r="AF608" s="64" t="str">
        <f>IF($B608="","",(COUNTIFS(Rships!$C$2:$C$9990,$A608,Rships!$D$2:$D$9990,5)))</f>
        <v/>
      </c>
      <c r="AG608" s="64" t="str">
        <f>IF($B608="","",(COUNTIFS(Rships!$C$2:$C$9990,$A608,Rships!$D$2:$D$9990,6)))</f>
        <v/>
      </c>
      <c r="AH608" s="64" t="str">
        <f>IF($B608="","",(COUNTIFS(Rships!$C$2:$C$9990,$A608,Rships!$D$2:$D$9990,7)))</f>
        <v/>
      </c>
    </row>
    <row r="609" spans="1:34">
      <c r="A609" s="1" t="s">
        <v>860</v>
      </c>
      <c r="C609" s="11" t="s">
        <v>19</v>
      </c>
      <c r="D609" s="11" t="s">
        <v>21</v>
      </c>
      <c r="F609" s="15"/>
      <c r="G609" s="15"/>
      <c r="I609" s="17"/>
      <c r="O609" s="11" t="s">
        <v>27</v>
      </c>
      <c r="Y609" s="64">
        <f t="shared" si="18"/>
        <v>0</v>
      </c>
      <c r="AA609" s="64">
        <f t="shared" si="19"/>
        <v>0</v>
      </c>
      <c r="AB609" s="64" t="str">
        <f>IF($B609="","",(COUNTIFS(Rships!$C$2:$C$9990,$A609,Rships!$D$2:$D$9990,1)))</f>
        <v/>
      </c>
      <c r="AC609" s="64" t="str">
        <f>IF($B609="","",(COUNTIFS(Rships!$C$2:$C$9990,$A609,Rships!$D$2:$D$9990,2)))</f>
        <v/>
      </c>
      <c r="AD609" s="64" t="str">
        <f>IF($B609="","",(COUNTIFS(Rships!$C$2:$C$9990,$A609,Rships!$D$2:$D$9990,3)))</f>
        <v/>
      </c>
      <c r="AE609" s="64" t="str">
        <f>IF($B609="","",(COUNTIFS(Rships!$C$2:$C$9990,$A609,Rships!$D$2:$D$9990,4)))</f>
        <v/>
      </c>
      <c r="AF609" s="64" t="str">
        <f>IF($B609="","",(COUNTIFS(Rships!$C$2:$C$9990,$A609,Rships!$D$2:$D$9990,5)))</f>
        <v/>
      </c>
      <c r="AG609" s="64" t="str">
        <f>IF($B609="","",(COUNTIFS(Rships!$C$2:$C$9990,$A609,Rships!$D$2:$D$9990,6)))</f>
        <v/>
      </c>
      <c r="AH609" s="64" t="str">
        <f>IF($B609="","",(COUNTIFS(Rships!$C$2:$C$9990,$A609,Rships!$D$2:$D$9990,7)))</f>
        <v/>
      </c>
    </row>
    <row r="610" spans="1:34">
      <c r="A610" s="1" t="s">
        <v>861</v>
      </c>
      <c r="C610" s="11" t="s">
        <v>19</v>
      </c>
      <c r="D610" s="11" t="s">
        <v>21</v>
      </c>
      <c r="F610" s="15"/>
      <c r="G610" s="15"/>
      <c r="I610" s="17"/>
      <c r="O610" s="11" t="s">
        <v>27</v>
      </c>
      <c r="Y610" s="64">
        <f t="shared" si="18"/>
        <v>0</v>
      </c>
      <c r="AA610" s="64">
        <f t="shared" si="19"/>
        <v>0</v>
      </c>
      <c r="AB610" s="64" t="str">
        <f>IF($B610="","",(COUNTIFS(Rships!$C$2:$C$9990,$A610,Rships!$D$2:$D$9990,1)))</f>
        <v/>
      </c>
      <c r="AC610" s="64" t="str">
        <f>IF($B610="","",(COUNTIFS(Rships!$C$2:$C$9990,$A610,Rships!$D$2:$D$9990,2)))</f>
        <v/>
      </c>
      <c r="AD610" s="64" t="str">
        <f>IF($B610="","",(COUNTIFS(Rships!$C$2:$C$9990,$A610,Rships!$D$2:$D$9990,3)))</f>
        <v/>
      </c>
      <c r="AE610" s="64" t="str">
        <f>IF($B610="","",(COUNTIFS(Rships!$C$2:$C$9990,$A610,Rships!$D$2:$D$9990,4)))</f>
        <v/>
      </c>
      <c r="AF610" s="64" t="str">
        <f>IF($B610="","",(COUNTIFS(Rships!$C$2:$C$9990,$A610,Rships!$D$2:$D$9990,5)))</f>
        <v/>
      </c>
      <c r="AG610" s="64" t="str">
        <f>IF($B610="","",(COUNTIFS(Rships!$C$2:$C$9990,$A610,Rships!$D$2:$D$9990,6)))</f>
        <v/>
      </c>
      <c r="AH610" s="64" t="str">
        <f>IF($B610="","",(COUNTIFS(Rships!$C$2:$C$9990,$A610,Rships!$D$2:$D$9990,7)))</f>
        <v/>
      </c>
    </row>
    <row r="611" spans="1:34">
      <c r="A611" s="1" t="s">
        <v>862</v>
      </c>
      <c r="C611" s="11" t="s">
        <v>19</v>
      </c>
      <c r="D611" s="11" t="s">
        <v>21</v>
      </c>
      <c r="F611" s="15"/>
      <c r="G611" s="15"/>
      <c r="I611" s="17"/>
      <c r="O611" s="11" t="s">
        <v>27</v>
      </c>
      <c r="Y611" s="64">
        <f t="shared" si="18"/>
        <v>0</v>
      </c>
      <c r="AA611" s="64">
        <f t="shared" si="19"/>
        <v>0</v>
      </c>
      <c r="AB611" s="64" t="str">
        <f>IF($B611="","",(COUNTIFS(Rships!$C$2:$C$9990,$A611,Rships!$D$2:$D$9990,1)))</f>
        <v/>
      </c>
      <c r="AC611" s="64" t="str">
        <f>IF($B611="","",(COUNTIFS(Rships!$C$2:$C$9990,$A611,Rships!$D$2:$D$9990,2)))</f>
        <v/>
      </c>
      <c r="AD611" s="64" t="str">
        <f>IF($B611="","",(COUNTIFS(Rships!$C$2:$C$9990,$A611,Rships!$D$2:$D$9990,3)))</f>
        <v/>
      </c>
      <c r="AE611" s="64" t="str">
        <f>IF($B611="","",(COUNTIFS(Rships!$C$2:$C$9990,$A611,Rships!$D$2:$D$9990,4)))</f>
        <v/>
      </c>
      <c r="AF611" s="64" t="str">
        <f>IF($B611="","",(COUNTIFS(Rships!$C$2:$C$9990,$A611,Rships!$D$2:$D$9990,5)))</f>
        <v/>
      </c>
      <c r="AG611" s="64" t="str">
        <f>IF($B611="","",(COUNTIFS(Rships!$C$2:$C$9990,$A611,Rships!$D$2:$D$9990,6)))</f>
        <v/>
      </c>
      <c r="AH611" s="64" t="str">
        <f>IF($B611="","",(COUNTIFS(Rships!$C$2:$C$9990,$A611,Rships!$D$2:$D$9990,7)))</f>
        <v/>
      </c>
    </row>
    <row r="612" spans="1:34">
      <c r="A612" s="1" t="s">
        <v>863</v>
      </c>
      <c r="C612" s="11" t="s">
        <v>19</v>
      </c>
      <c r="D612" s="11" t="s">
        <v>21</v>
      </c>
      <c r="F612" s="15"/>
      <c r="G612" s="15"/>
      <c r="I612" s="17"/>
      <c r="O612" s="11" t="s">
        <v>27</v>
      </c>
      <c r="Y612" s="64">
        <f t="shared" si="18"/>
        <v>0</v>
      </c>
      <c r="AA612" s="64">
        <f t="shared" si="19"/>
        <v>0</v>
      </c>
      <c r="AB612" s="64" t="str">
        <f>IF($B612="","",(COUNTIFS(Rships!$C$2:$C$9990,$A612,Rships!$D$2:$D$9990,1)))</f>
        <v/>
      </c>
      <c r="AC612" s="64" t="str">
        <f>IF($B612="","",(COUNTIFS(Rships!$C$2:$C$9990,$A612,Rships!$D$2:$D$9990,2)))</f>
        <v/>
      </c>
      <c r="AD612" s="64" t="str">
        <f>IF($B612="","",(COUNTIFS(Rships!$C$2:$C$9990,$A612,Rships!$D$2:$D$9990,3)))</f>
        <v/>
      </c>
      <c r="AE612" s="64" t="str">
        <f>IF($B612="","",(COUNTIFS(Rships!$C$2:$C$9990,$A612,Rships!$D$2:$D$9990,4)))</f>
        <v/>
      </c>
      <c r="AF612" s="64" t="str">
        <f>IF($B612="","",(COUNTIFS(Rships!$C$2:$C$9990,$A612,Rships!$D$2:$D$9990,5)))</f>
        <v/>
      </c>
      <c r="AG612" s="64" t="str">
        <f>IF($B612="","",(COUNTIFS(Rships!$C$2:$C$9990,$A612,Rships!$D$2:$D$9990,6)))</f>
        <v/>
      </c>
      <c r="AH612" s="64" t="str">
        <f>IF($B612="","",(COUNTIFS(Rships!$C$2:$C$9990,$A612,Rships!$D$2:$D$9990,7)))</f>
        <v/>
      </c>
    </row>
    <row r="613" spans="1:34">
      <c r="A613" s="1" t="s">
        <v>864</v>
      </c>
      <c r="C613" s="11" t="s">
        <v>19</v>
      </c>
      <c r="D613" s="11" t="s">
        <v>21</v>
      </c>
      <c r="F613" s="15"/>
      <c r="G613" s="15"/>
      <c r="I613" s="17"/>
      <c r="O613" s="11" t="s">
        <v>27</v>
      </c>
      <c r="Y613" s="64">
        <f t="shared" si="18"/>
        <v>0</v>
      </c>
      <c r="AA613" s="64">
        <f t="shared" si="19"/>
        <v>0</v>
      </c>
      <c r="AB613" s="64" t="str">
        <f>IF($B613="","",(COUNTIFS(Rships!$C$2:$C$9990,$A613,Rships!$D$2:$D$9990,1)))</f>
        <v/>
      </c>
      <c r="AC613" s="64" t="str">
        <f>IF($B613="","",(COUNTIFS(Rships!$C$2:$C$9990,$A613,Rships!$D$2:$D$9990,2)))</f>
        <v/>
      </c>
      <c r="AD613" s="64" t="str">
        <f>IF($B613="","",(COUNTIFS(Rships!$C$2:$C$9990,$A613,Rships!$D$2:$D$9990,3)))</f>
        <v/>
      </c>
      <c r="AE613" s="64" t="str">
        <f>IF($B613="","",(COUNTIFS(Rships!$C$2:$C$9990,$A613,Rships!$D$2:$D$9990,4)))</f>
        <v/>
      </c>
      <c r="AF613" s="64" t="str">
        <f>IF($B613="","",(COUNTIFS(Rships!$C$2:$C$9990,$A613,Rships!$D$2:$D$9990,5)))</f>
        <v/>
      </c>
      <c r="AG613" s="64" t="str">
        <f>IF($B613="","",(COUNTIFS(Rships!$C$2:$C$9990,$A613,Rships!$D$2:$D$9990,6)))</f>
        <v/>
      </c>
      <c r="AH613" s="64" t="str">
        <f>IF($B613="","",(COUNTIFS(Rships!$C$2:$C$9990,$A613,Rships!$D$2:$D$9990,7)))</f>
        <v/>
      </c>
    </row>
    <row r="614" spans="1:34">
      <c r="A614" s="1" t="s">
        <v>865</v>
      </c>
      <c r="C614" s="11" t="s">
        <v>19</v>
      </c>
      <c r="D614" s="11" t="s">
        <v>21</v>
      </c>
      <c r="F614" s="15"/>
      <c r="G614" s="15"/>
      <c r="I614" s="17"/>
      <c r="O614" s="11" t="s">
        <v>27</v>
      </c>
      <c r="Y614" s="64">
        <f t="shared" si="18"/>
        <v>0</v>
      </c>
      <c r="AA614" s="64">
        <f t="shared" si="19"/>
        <v>0</v>
      </c>
      <c r="AB614" s="64" t="str">
        <f>IF($B614="","",(COUNTIFS(Rships!$C$2:$C$9990,$A614,Rships!$D$2:$D$9990,1)))</f>
        <v/>
      </c>
      <c r="AC614" s="64" t="str">
        <f>IF($B614="","",(COUNTIFS(Rships!$C$2:$C$9990,$A614,Rships!$D$2:$D$9990,2)))</f>
        <v/>
      </c>
      <c r="AD614" s="64" t="str">
        <f>IF($B614="","",(COUNTIFS(Rships!$C$2:$C$9990,$A614,Rships!$D$2:$D$9990,3)))</f>
        <v/>
      </c>
      <c r="AE614" s="64" t="str">
        <f>IF($B614="","",(COUNTIFS(Rships!$C$2:$C$9990,$A614,Rships!$D$2:$D$9990,4)))</f>
        <v/>
      </c>
      <c r="AF614" s="64" t="str">
        <f>IF($B614="","",(COUNTIFS(Rships!$C$2:$C$9990,$A614,Rships!$D$2:$D$9990,5)))</f>
        <v/>
      </c>
      <c r="AG614" s="64" t="str">
        <f>IF($B614="","",(COUNTIFS(Rships!$C$2:$C$9990,$A614,Rships!$D$2:$D$9990,6)))</f>
        <v/>
      </c>
      <c r="AH614" s="64" t="str">
        <f>IF($B614="","",(COUNTIFS(Rships!$C$2:$C$9990,$A614,Rships!$D$2:$D$9990,7)))</f>
        <v/>
      </c>
    </row>
    <row r="615" spans="1:34">
      <c r="A615" s="1" t="s">
        <v>866</v>
      </c>
      <c r="C615" s="11" t="s">
        <v>19</v>
      </c>
      <c r="D615" s="11" t="s">
        <v>21</v>
      </c>
      <c r="F615" s="15"/>
      <c r="G615" s="15"/>
      <c r="I615" s="17"/>
      <c r="O615" s="11" t="s">
        <v>27</v>
      </c>
      <c r="Y615" s="64">
        <f t="shared" si="18"/>
        <v>0</v>
      </c>
      <c r="AA615" s="64">
        <f t="shared" si="19"/>
        <v>0</v>
      </c>
      <c r="AB615" s="64" t="str">
        <f>IF($B615="","",(COUNTIFS(Rships!$C$2:$C$9990,$A615,Rships!$D$2:$D$9990,1)))</f>
        <v/>
      </c>
      <c r="AC615" s="64" t="str">
        <f>IF($B615="","",(COUNTIFS(Rships!$C$2:$C$9990,$A615,Rships!$D$2:$D$9990,2)))</f>
        <v/>
      </c>
      <c r="AD615" s="64" t="str">
        <f>IF($B615="","",(COUNTIFS(Rships!$C$2:$C$9990,$A615,Rships!$D$2:$D$9990,3)))</f>
        <v/>
      </c>
      <c r="AE615" s="64" t="str">
        <f>IF($B615="","",(COUNTIFS(Rships!$C$2:$C$9990,$A615,Rships!$D$2:$D$9990,4)))</f>
        <v/>
      </c>
      <c r="AF615" s="64" t="str">
        <f>IF($B615="","",(COUNTIFS(Rships!$C$2:$C$9990,$A615,Rships!$D$2:$D$9990,5)))</f>
        <v/>
      </c>
      <c r="AG615" s="64" t="str">
        <f>IF($B615="","",(COUNTIFS(Rships!$C$2:$C$9990,$A615,Rships!$D$2:$D$9990,6)))</f>
        <v/>
      </c>
      <c r="AH615" s="64" t="str">
        <f>IF($B615="","",(COUNTIFS(Rships!$C$2:$C$9990,$A615,Rships!$D$2:$D$9990,7)))</f>
        <v/>
      </c>
    </row>
    <row r="616" spans="1:34">
      <c r="A616" s="1" t="s">
        <v>867</v>
      </c>
      <c r="C616" s="11" t="s">
        <v>19</v>
      </c>
      <c r="D616" s="11" t="s">
        <v>21</v>
      </c>
      <c r="F616" s="15"/>
      <c r="G616" s="15"/>
      <c r="I616" s="17"/>
      <c r="O616" s="11" t="s">
        <v>27</v>
      </c>
      <c r="Y616" s="64">
        <f t="shared" si="18"/>
        <v>0</v>
      </c>
      <c r="AA616" s="64">
        <f t="shared" si="19"/>
        <v>0</v>
      </c>
      <c r="AB616" s="64" t="str">
        <f>IF($B616="","",(COUNTIFS(Rships!$C$2:$C$9990,$A616,Rships!$D$2:$D$9990,1)))</f>
        <v/>
      </c>
      <c r="AC616" s="64" t="str">
        <f>IF($B616="","",(COUNTIFS(Rships!$C$2:$C$9990,$A616,Rships!$D$2:$D$9990,2)))</f>
        <v/>
      </c>
      <c r="AD616" s="64" t="str">
        <f>IF($B616="","",(COUNTIFS(Rships!$C$2:$C$9990,$A616,Rships!$D$2:$D$9990,3)))</f>
        <v/>
      </c>
      <c r="AE616" s="64" t="str">
        <f>IF($B616="","",(COUNTIFS(Rships!$C$2:$C$9990,$A616,Rships!$D$2:$D$9990,4)))</f>
        <v/>
      </c>
      <c r="AF616" s="64" t="str">
        <f>IF($B616="","",(COUNTIFS(Rships!$C$2:$C$9990,$A616,Rships!$D$2:$D$9990,5)))</f>
        <v/>
      </c>
      <c r="AG616" s="64" t="str">
        <f>IF($B616="","",(COUNTIFS(Rships!$C$2:$C$9990,$A616,Rships!$D$2:$D$9990,6)))</f>
        <v/>
      </c>
      <c r="AH616" s="64" t="str">
        <f>IF($B616="","",(COUNTIFS(Rships!$C$2:$C$9990,$A616,Rships!$D$2:$D$9990,7)))</f>
        <v/>
      </c>
    </row>
    <row r="617" spans="1:34">
      <c r="A617" s="1" t="s">
        <v>868</v>
      </c>
      <c r="C617" s="11" t="s">
        <v>19</v>
      </c>
      <c r="D617" s="11" t="s">
        <v>21</v>
      </c>
      <c r="F617" s="15"/>
      <c r="G617" s="15"/>
      <c r="I617" s="17"/>
      <c r="O617" s="11" t="s">
        <v>27</v>
      </c>
      <c r="Y617" s="64">
        <f t="shared" si="18"/>
        <v>0</v>
      </c>
      <c r="AA617" s="64">
        <f t="shared" si="19"/>
        <v>0</v>
      </c>
      <c r="AB617" s="64" t="str">
        <f>IF($B617="","",(COUNTIFS(Rships!$C$2:$C$9990,$A617,Rships!$D$2:$D$9990,1)))</f>
        <v/>
      </c>
      <c r="AC617" s="64" t="str">
        <f>IF($B617="","",(COUNTIFS(Rships!$C$2:$C$9990,$A617,Rships!$D$2:$D$9990,2)))</f>
        <v/>
      </c>
      <c r="AD617" s="64" t="str">
        <f>IF($B617="","",(COUNTIFS(Rships!$C$2:$C$9990,$A617,Rships!$D$2:$D$9990,3)))</f>
        <v/>
      </c>
      <c r="AE617" s="64" t="str">
        <f>IF($B617="","",(COUNTIFS(Rships!$C$2:$C$9990,$A617,Rships!$D$2:$D$9990,4)))</f>
        <v/>
      </c>
      <c r="AF617" s="64" t="str">
        <f>IF($B617="","",(COUNTIFS(Rships!$C$2:$C$9990,$A617,Rships!$D$2:$D$9990,5)))</f>
        <v/>
      </c>
      <c r="AG617" s="64" t="str">
        <f>IF($B617="","",(COUNTIFS(Rships!$C$2:$C$9990,$A617,Rships!$D$2:$D$9990,6)))</f>
        <v/>
      </c>
      <c r="AH617" s="64" t="str">
        <f>IF($B617="","",(COUNTIFS(Rships!$C$2:$C$9990,$A617,Rships!$D$2:$D$9990,7)))</f>
        <v/>
      </c>
    </row>
    <row r="618" spans="1:34">
      <c r="A618" s="1" t="s">
        <v>869</v>
      </c>
      <c r="C618" s="11" t="s">
        <v>19</v>
      </c>
      <c r="D618" s="11" t="s">
        <v>21</v>
      </c>
      <c r="F618" s="15"/>
      <c r="G618" s="15"/>
      <c r="I618" s="17"/>
      <c r="O618" s="11" t="s">
        <v>27</v>
      </c>
      <c r="Y618" s="64">
        <f t="shared" si="18"/>
        <v>0</v>
      </c>
      <c r="AA618" s="64">
        <f t="shared" si="19"/>
        <v>0</v>
      </c>
      <c r="AB618" s="64" t="str">
        <f>IF($B618="","",(COUNTIFS(Rships!$C$2:$C$9990,$A618,Rships!$D$2:$D$9990,1)))</f>
        <v/>
      </c>
      <c r="AC618" s="64" t="str">
        <f>IF($B618="","",(COUNTIFS(Rships!$C$2:$C$9990,$A618,Rships!$D$2:$D$9990,2)))</f>
        <v/>
      </c>
      <c r="AD618" s="64" t="str">
        <f>IF($B618="","",(COUNTIFS(Rships!$C$2:$C$9990,$A618,Rships!$D$2:$D$9990,3)))</f>
        <v/>
      </c>
      <c r="AE618" s="64" t="str">
        <f>IF($B618="","",(COUNTIFS(Rships!$C$2:$C$9990,$A618,Rships!$D$2:$D$9990,4)))</f>
        <v/>
      </c>
      <c r="AF618" s="64" t="str">
        <f>IF($B618="","",(COUNTIFS(Rships!$C$2:$C$9990,$A618,Rships!$D$2:$D$9990,5)))</f>
        <v/>
      </c>
      <c r="AG618" s="64" t="str">
        <f>IF($B618="","",(COUNTIFS(Rships!$C$2:$C$9990,$A618,Rships!$D$2:$D$9990,6)))</f>
        <v/>
      </c>
      <c r="AH618" s="64" t="str">
        <f>IF($B618="","",(COUNTIFS(Rships!$C$2:$C$9990,$A618,Rships!$D$2:$D$9990,7)))</f>
        <v/>
      </c>
    </row>
    <row r="619" spans="1:34">
      <c r="A619" s="1" t="s">
        <v>870</v>
      </c>
      <c r="C619" s="11" t="s">
        <v>19</v>
      </c>
      <c r="D619" s="11" t="s">
        <v>21</v>
      </c>
      <c r="F619" s="15"/>
      <c r="G619" s="15"/>
      <c r="I619" s="17"/>
      <c r="O619" s="11" t="s">
        <v>27</v>
      </c>
      <c r="Y619" s="64">
        <f t="shared" si="18"/>
        <v>0</v>
      </c>
      <c r="AA619" s="64">
        <f t="shared" si="19"/>
        <v>0</v>
      </c>
      <c r="AB619" s="64" t="str">
        <f>IF($B619="","",(COUNTIFS(Rships!$C$2:$C$9990,$A619,Rships!$D$2:$D$9990,1)))</f>
        <v/>
      </c>
      <c r="AC619" s="64" t="str">
        <f>IF($B619="","",(COUNTIFS(Rships!$C$2:$C$9990,$A619,Rships!$D$2:$D$9990,2)))</f>
        <v/>
      </c>
      <c r="AD619" s="64" t="str">
        <f>IF($B619="","",(COUNTIFS(Rships!$C$2:$C$9990,$A619,Rships!$D$2:$D$9990,3)))</f>
        <v/>
      </c>
      <c r="AE619" s="64" t="str">
        <f>IF($B619="","",(COUNTIFS(Rships!$C$2:$C$9990,$A619,Rships!$D$2:$D$9990,4)))</f>
        <v/>
      </c>
      <c r="AF619" s="64" t="str">
        <f>IF($B619="","",(COUNTIFS(Rships!$C$2:$C$9990,$A619,Rships!$D$2:$D$9990,5)))</f>
        <v/>
      </c>
      <c r="AG619" s="64" t="str">
        <f>IF($B619="","",(COUNTIFS(Rships!$C$2:$C$9990,$A619,Rships!$D$2:$D$9990,6)))</f>
        <v/>
      </c>
      <c r="AH619" s="64" t="str">
        <f>IF($B619="","",(COUNTIFS(Rships!$C$2:$C$9990,$A619,Rships!$D$2:$D$9990,7)))</f>
        <v/>
      </c>
    </row>
    <row r="620" spans="1:34">
      <c r="A620" s="1" t="s">
        <v>871</v>
      </c>
      <c r="C620" s="11" t="s">
        <v>19</v>
      </c>
      <c r="D620" s="11" t="s">
        <v>21</v>
      </c>
      <c r="F620" s="15"/>
      <c r="G620" s="15"/>
      <c r="I620" s="17"/>
      <c r="O620" s="11" t="s">
        <v>27</v>
      </c>
      <c r="Y620" s="64">
        <f t="shared" si="18"/>
        <v>0</v>
      </c>
      <c r="AA620" s="64">
        <f t="shared" si="19"/>
        <v>0</v>
      </c>
      <c r="AB620" s="64" t="str">
        <f>IF($B620="","",(COUNTIFS(Rships!$C$2:$C$9990,$A620,Rships!$D$2:$D$9990,1)))</f>
        <v/>
      </c>
      <c r="AC620" s="64" t="str">
        <f>IF($B620="","",(COUNTIFS(Rships!$C$2:$C$9990,$A620,Rships!$D$2:$D$9990,2)))</f>
        <v/>
      </c>
      <c r="AD620" s="64" t="str">
        <f>IF($B620="","",(COUNTIFS(Rships!$C$2:$C$9990,$A620,Rships!$D$2:$D$9990,3)))</f>
        <v/>
      </c>
      <c r="AE620" s="64" t="str">
        <f>IF($B620="","",(COUNTIFS(Rships!$C$2:$C$9990,$A620,Rships!$D$2:$D$9990,4)))</f>
        <v/>
      </c>
      <c r="AF620" s="64" t="str">
        <f>IF($B620="","",(COUNTIFS(Rships!$C$2:$C$9990,$A620,Rships!$D$2:$D$9990,5)))</f>
        <v/>
      </c>
      <c r="AG620" s="64" t="str">
        <f>IF($B620="","",(COUNTIFS(Rships!$C$2:$C$9990,$A620,Rships!$D$2:$D$9990,6)))</f>
        <v/>
      </c>
      <c r="AH620" s="64" t="str">
        <f>IF($B620="","",(COUNTIFS(Rships!$C$2:$C$9990,$A620,Rships!$D$2:$D$9990,7)))</f>
        <v/>
      </c>
    </row>
    <row r="621" spans="1:34">
      <c r="A621" s="1" t="s">
        <v>872</v>
      </c>
      <c r="C621" s="11" t="s">
        <v>19</v>
      </c>
      <c r="D621" s="11" t="s">
        <v>21</v>
      </c>
      <c r="F621" s="15"/>
      <c r="G621" s="15"/>
      <c r="I621" s="17"/>
      <c r="O621" s="11" t="s">
        <v>27</v>
      </c>
      <c r="Y621" s="64">
        <f t="shared" si="18"/>
        <v>0</v>
      </c>
      <c r="AA621" s="64">
        <f t="shared" si="19"/>
        <v>0</v>
      </c>
      <c r="AB621" s="64" t="str">
        <f>IF($B621="","",(COUNTIFS(Rships!$C$2:$C$9990,$A621,Rships!$D$2:$D$9990,1)))</f>
        <v/>
      </c>
      <c r="AC621" s="64" t="str">
        <f>IF($B621="","",(COUNTIFS(Rships!$C$2:$C$9990,$A621,Rships!$D$2:$D$9990,2)))</f>
        <v/>
      </c>
      <c r="AD621" s="64" t="str">
        <f>IF($B621="","",(COUNTIFS(Rships!$C$2:$C$9990,$A621,Rships!$D$2:$D$9990,3)))</f>
        <v/>
      </c>
      <c r="AE621" s="64" t="str">
        <f>IF($B621="","",(COUNTIFS(Rships!$C$2:$C$9990,$A621,Rships!$D$2:$D$9990,4)))</f>
        <v/>
      </c>
      <c r="AF621" s="64" t="str">
        <f>IF($B621="","",(COUNTIFS(Rships!$C$2:$C$9990,$A621,Rships!$D$2:$D$9990,5)))</f>
        <v/>
      </c>
      <c r="AG621" s="64" t="str">
        <f>IF($B621="","",(COUNTIFS(Rships!$C$2:$C$9990,$A621,Rships!$D$2:$D$9990,6)))</f>
        <v/>
      </c>
      <c r="AH621" s="64" t="str">
        <f>IF($B621="","",(COUNTIFS(Rships!$C$2:$C$9990,$A621,Rships!$D$2:$D$9990,7)))</f>
        <v/>
      </c>
    </row>
    <row r="622" spans="1:34">
      <c r="A622" s="1" t="s">
        <v>873</v>
      </c>
      <c r="C622" s="11" t="s">
        <v>19</v>
      </c>
      <c r="D622" s="11" t="s">
        <v>21</v>
      </c>
      <c r="F622" s="15"/>
      <c r="G622" s="15"/>
      <c r="I622" s="17"/>
      <c r="O622" s="11" t="s">
        <v>27</v>
      </c>
      <c r="Y622" s="64">
        <f t="shared" si="18"/>
        <v>0</v>
      </c>
      <c r="AA622" s="64">
        <f t="shared" si="19"/>
        <v>0</v>
      </c>
      <c r="AB622" s="64" t="str">
        <f>IF($B622="","",(COUNTIFS(Rships!$C$2:$C$9990,$A622,Rships!$D$2:$D$9990,1)))</f>
        <v/>
      </c>
      <c r="AC622" s="64" t="str">
        <f>IF($B622="","",(COUNTIFS(Rships!$C$2:$C$9990,$A622,Rships!$D$2:$D$9990,2)))</f>
        <v/>
      </c>
      <c r="AD622" s="64" t="str">
        <f>IF($B622="","",(COUNTIFS(Rships!$C$2:$C$9990,$A622,Rships!$D$2:$D$9990,3)))</f>
        <v/>
      </c>
      <c r="AE622" s="64" t="str">
        <f>IF($B622="","",(COUNTIFS(Rships!$C$2:$C$9990,$A622,Rships!$D$2:$D$9990,4)))</f>
        <v/>
      </c>
      <c r="AF622" s="64" t="str">
        <f>IF($B622="","",(COUNTIFS(Rships!$C$2:$C$9990,$A622,Rships!$D$2:$D$9990,5)))</f>
        <v/>
      </c>
      <c r="AG622" s="64" t="str">
        <f>IF($B622="","",(COUNTIFS(Rships!$C$2:$C$9990,$A622,Rships!$D$2:$D$9990,6)))</f>
        <v/>
      </c>
      <c r="AH622" s="64" t="str">
        <f>IF($B622="","",(COUNTIFS(Rships!$C$2:$C$9990,$A622,Rships!$D$2:$D$9990,7)))</f>
        <v/>
      </c>
    </row>
    <row r="623" spans="1:34">
      <c r="A623" s="1" t="s">
        <v>874</v>
      </c>
      <c r="C623" s="11" t="s">
        <v>19</v>
      </c>
      <c r="D623" s="11" t="s">
        <v>21</v>
      </c>
      <c r="F623" s="15"/>
      <c r="G623" s="15"/>
      <c r="I623" s="17"/>
      <c r="O623" s="11" t="s">
        <v>27</v>
      </c>
      <c r="Y623" s="64">
        <f t="shared" si="18"/>
        <v>0</v>
      </c>
      <c r="AA623" s="64">
        <f t="shared" si="19"/>
        <v>0</v>
      </c>
      <c r="AB623" s="64" t="str">
        <f>IF($B623="","",(COUNTIFS(Rships!$C$2:$C$9990,$A623,Rships!$D$2:$D$9990,1)))</f>
        <v/>
      </c>
      <c r="AC623" s="64" t="str">
        <f>IF($B623="","",(COUNTIFS(Rships!$C$2:$C$9990,$A623,Rships!$D$2:$D$9990,2)))</f>
        <v/>
      </c>
      <c r="AD623" s="64" t="str">
        <f>IF($B623="","",(COUNTIFS(Rships!$C$2:$C$9990,$A623,Rships!$D$2:$D$9990,3)))</f>
        <v/>
      </c>
      <c r="AE623" s="64" t="str">
        <f>IF($B623="","",(COUNTIFS(Rships!$C$2:$C$9990,$A623,Rships!$D$2:$D$9990,4)))</f>
        <v/>
      </c>
      <c r="AF623" s="64" t="str">
        <f>IF($B623="","",(COUNTIFS(Rships!$C$2:$C$9990,$A623,Rships!$D$2:$D$9990,5)))</f>
        <v/>
      </c>
      <c r="AG623" s="64" t="str">
        <f>IF($B623="","",(COUNTIFS(Rships!$C$2:$C$9990,$A623,Rships!$D$2:$D$9990,6)))</f>
        <v/>
      </c>
      <c r="AH623" s="64" t="str">
        <f>IF($B623="","",(COUNTIFS(Rships!$C$2:$C$9990,$A623,Rships!$D$2:$D$9990,7)))</f>
        <v/>
      </c>
    </row>
    <row r="624" spans="1:34">
      <c r="A624" s="1" t="s">
        <v>875</v>
      </c>
      <c r="C624" s="11" t="s">
        <v>19</v>
      </c>
      <c r="D624" s="11" t="s">
        <v>21</v>
      </c>
      <c r="F624" s="15"/>
      <c r="G624" s="15"/>
      <c r="I624" s="17"/>
      <c r="O624" s="11" t="s">
        <v>27</v>
      </c>
      <c r="Y624" s="64">
        <f t="shared" si="18"/>
        <v>0</v>
      </c>
      <c r="AA624" s="64">
        <f t="shared" si="19"/>
        <v>0</v>
      </c>
      <c r="AB624" s="64" t="str">
        <f>IF($B624="","",(COUNTIFS(Rships!$C$2:$C$9990,$A624,Rships!$D$2:$D$9990,1)))</f>
        <v/>
      </c>
      <c r="AC624" s="64" t="str">
        <f>IF($B624="","",(COUNTIFS(Rships!$C$2:$C$9990,$A624,Rships!$D$2:$D$9990,2)))</f>
        <v/>
      </c>
      <c r="AD624" s="64" t="str">
        <f>IF($B624="","",(COUNTIFS(Rships!$C$2:$C$9990,$A624,Rships!$D$2:$D$9990,3)))</f>
        <v/>
      </c>
      <c r="AE624" s="64" t="str">
        <f>IF($B624="","",(COUNTIFS(Rships!$C$2:$C$9990,$A624,Rships!$D$2:$D$9990,4)))</f>
        <v/>
      </c>
      <c r="AF624" s="64" t="str">
        <f>IF($B624="","",(COUNTIFS(Rships!$C$2:$C$9990,$A624,Rships!$D$2:$D$9990,5)))</f>
        <v/>
      </c>
      <c r="AG624" s="64" t="str">
        <f>IF($B624="","",(COUNTIFS(Rships!$C$2:$C$9990,$A624,Rships!$D$2:$D$9990,6)))</f>
        <v/>
      </c>
      <c r="AH624" s="64" t="str">
        <f>IF($B624="","",(COUNTIFS(Rships!$C$2:$C$9990,$A624,Rships!$D$2:$D$9990,7)))</f>
        <v/>
      </c>
    </row>
    <row r="625" spans="1:34">
      <c r="A625" s="1" t="s">
        <v>876</v>
      </c>
      <c r="C625" s="11" t="s">
        <v>19</v>
      </c>
      <c r="D625" s="11" t="s">
        <v>21</v>
      </c>
      <c r="F625" s="15"/>
      <c r="G625" s="15"/>
      <c r="I625" s="17"/>
      <c r="O625" s="11" t="s">
        <v>27</v>
      </c>
      <c r="Y625" s="64">
        <f t="shared" si="18"/>
        <v>0</v>
      </c>
      <c r="AA625" s="64">
        <f t="shared" si="19"/>
        <v>0</v>
      </c>
      <c r="AB625" s="64" t="str">
        <f>IF($B625="","",(COUNTIFS(Rships!$C$2:$C$9990,$A625,Rships!$D$2:$D$9990,1)))</f>
        <v/>
      </c>
      <c r="AC625" s="64" t="str">
        <f>IF($B625="","",(COUNTIFS(Rships!$C$2:$C$9990,$A625,Rships!$D$2:$D$9990,2)))</f>
        <v/>
      </c>
      <c r="AD625" s="64" t="str">
        <f>IF($B625="","",(COUNTIFS(Rships!$C$2:$C$9990,$A625,Rships!$D$2:$D$9990,3)))</f>
        <v/>
      </c>
      <c r="AE625" s="64" t="str">
        <f>IF($B625="","",(COUNTIFS(Rships!$C$2:$C$9990,$A625,Rships!$D$2:$D$9990,4)))</f>
        <v/>
      </c>
      <c r="AF625" s="64" t="str">
        <f>IF($B625="","",(COUNTIFS(Rships!$C$2:$C$9990,$A625,Rships!$D$2:$D$9990,5)))</f>
        <v/>
      </c>
      <c r="AG625" s="64" t="str">
        <f>IF($B625="","",(COUNTIFS(Rships!$C$2:$C$9990,$A625,Rships!$D$2:$D$9990,6)))</f>
        <v/>
      </c>
      <c r="AH625" s="64" t="str">
        <f>IF($B625="","",(COUNTIFS(Rships!$C$2:$C$9990,$A625,Rships!$D$2:$D$9990,7)))</f>
        <v/>
      </c>
    </row>
    <row r="626" spans="1:34">
      <c r="A626" s="1" t="s">
        <v>877</v>
      </c>
      <c r="C626" s="11" t="s">
        <v>19</v>
      </c>
      <c r="D626" s="11" t="s">
        <v>21</v>
      </c>
      <c r="F626" s="15"/>
      <c r="G626" s="15"/>
      <c r="I626" s="17"/>
      <c r="O626" s="11" t="s">
        <v>27</v>
      </c>
      <c r="Y626" s="64">
        <f t="shared" si="18"/>
        <v>0</v>
      </c>
      <c r="AA626" s="64">
        <f t="shared" si="19"/>
        <v>0</v>
      </c>
      <c r="AB626" s="64" t="str">
        <f>IF($B626="","",(COUNTIFS(Rships!$C$2:$C$9990,$A626,Rships!$D$2:$D$9990,1)))</f>
        <v/>
      </c>
      <c r="AC626" s="64" t="str">
        <f>IF($B626="","",(COUNTIFS(Rships!$C$2:$C$9990,$A626,Rships!$D$2:$D$9990,2)))</f>
        <v/>
      </c>
      <c r="AD626" s="64" t="str">
        <f>IF($B626="","",(COUNTIFS(Rships!$C$2:$C$9990,$A626,Rships!$D$2:$D$9990,3)))</f>
        <v/>
      </c>
      <c r="AE626" s="64" t="str">
        <f>IF($B626="","",(COUNTIFS(Rships!$C$2:$C$9990,$A626,Rships!$D$2:$D$9990,4)))</f>
        <v/>
      </c>
      <c r="AF626" s="64" t="str">
        <f>IF($B626="","",(COUNTIFS(Rships!$C$2:$C$9990,$A626,Rships!$D$2:$D$9990,5)))</f>
        <v/>
      </c>
      <c r="AG626" s="64" t="str">
        <f>IF($B626="","",(COUNTIFS(Rships!$C$2:$C$9990,$A626,Rships!$D$2:$D$9990,6)))</f>
        <v/>
      </c>
      <c r="AH626" s="64" t="str">
        <f>IF($B626="","",(COUNTIFS(Rships!$C$2:$C$9990,$A626,Rships!$D$2:$D$9990,7)))</f>
        <v/>
      </c>
    </row>
    <row r="627" spans="1:34">
      <c r="A627" s="1" t="s">
        <v>878</v>
      </c>
      <c r="C627" s="11" t="s">
        <v>19</v>
      </c>
      <c r="D627" s="11" t="s">
        <v>21</v>
      </c>
      <c r="F627" s="15"/>
      <c r="G627" s="15"/>
      <c r="I627" s="17"/>
      <c r="O627" s="11" t="s">
        <v>27</v>
      </c>
      <c r="Y627" s="64">
        <f t="shared" ref="Y627:Y690" si="20">SUMIF($B$2:$B$100,$A627,$AA$2:$AA$100)</f>
        <v>0</v>
      </c>
      <c r="AA627" s="64">
        <f t="shared" si="19"/>
        <v>0</v>
      </c>
      <c r="AB627" s="64" t="str">
        <f>IF($B627="","",(COUNTIFS(Rships!$C$2:$C$9990,$A627,Rships!$D$2:$D$9990,1)))</f>
        <v/>
      </c>
      <c r="AC627" s="64" t="str">
        <f>IF($B627="","",(COUNTIFS(Rships!$C$2:$C$9990,$A627,Rships!$D$2:$D$9990,2)))</f>
        <v/>
      </c>
      <c r="AD627" s="64" t="str">
        <f>IF($B627="","",(COUNTIFS(Rships!$C$2:$C$9990,$A627,Rships!$D$2:$D$9990,3)))</f>
        <v/>
      </c>
      <c r="AE627" s="64" t="str">
        <f>IF($B627="","",(COUNTIFS(Rships!$C$2:$C$9990,$A627,Rships!$D$2:$D$9990,4)))</f>
        <v/>
      </c>
      <c r="AF627" s="64" t="str">
        <f>IF($B627="","",(COUNTIFS(Rships!$C$2:$C$9990,$A627,Rships!$D$2:$D$9990,5)))</f>
        <v/>
      </c>
      <c r="AG627" s="64" t="str">
        <f>IF($B627="","",(COUNTIFS(Rships!$C$2:$C$9990,$A627,Rships!$D$2:$D$9990,6)))</f>
        <v/>
      </c>
      <c r="AH627" s="64" t="str">
        <f>IF($B627="","",(COUNTIFS(Rships!$C$2:$C$9990,$A627,Rships!$D$2:$D$9990,7)))</f>
        <v/>
      </c>
    </row>
    <row r="628" spans="1:34">
      <c r="A628" s="1" t="s">
        <v>879</v>
      </c>
      <c r="C628" s="11" t="s">
        <v>19</v>
      </c>
      <c r="D628" s="11" t="s">
        <v>21</v>
      </c>
      <c r="F628" s="15"/>
      <c r="G628" s="15"/>
      <c r="I628" s="17"/>
      <c r="O628" s="11" t="s">
        <v>27</v>
      </c>
      <c r="Y628" s="64">
        <f t="shared" si="20"/>
        <v>0</v>
      </c>
      <c r="AA628" s="64">
        <f t="shared" si="19"/>
        <v>0</v>
      </c>
      <c r="AB628" s="64" t="str">
        <f>IF($B628="","",(COUNTIFS(Rships!$C$2:$C$9990,$A628,Rships!$D$2:$D$9990,1)))</f>
        <v/>
      </c>
      <c r="AC628" s="64" t="str">
        <f>IF($B628="","",(COUNTIFS(Rships!$C$2:$C$9990,$A628,Rships!$D$2:$D$9990,2)))</f>
        <v/>
      </c>
      <c r="AD628" s="64" t="str">
        <f>IF($B628="","",(COUNTIFS(Rships!$C$2:$C$9990,$A628,Rships!$D$2:$D$9990,3)))</f>
        <v/>
      </c>
      <c r="AE628" s="64" t="str">
        <f>IF($B628="","",(COUNTIFS(Rships!$C$2:$C$9990,$A628,Rships!$D$2:$D$9990,4)))</f>
        <v/>
      </c>
      <c r="AF628" s="64" t="str">
        <f>IF($B628="","",(COUNTIFS(Rships!$C$2:$C$9990,$A628,Rships!$D$2:$D$9990,5)))</f>
        <v/>
      </c>
      <c r="AG628" s="64" t="str">
        <f>IF($B628="","",(COUNTIFS(Rships!$C$2:$C$9990,$A628,Rships!$D$2:$D$9990,6)))</f>
        <v/>
      </c>
      <c r="AH628" s="64" t="str">
        <f>IF($B628="","",(COUNTIFS(Rships!$C$2:$C$9990,$A628,Rships!$D$2:$D$9990,7)))</f>
        <v/>
      </c>
    </row>
    <row r="629" spans="1:34">
      <c r="A629" s="1" t="s">
        <v>880</v>
      </c>
      <c r="C629" s="11" t="s">
        <v>19</v>
      </c>
      <c r="D629" s="11" t="s">
        <v>21</v>
      </c>
      <c r="F629" s="15"/>
      <c r="G629" s="15"/>
      <c r="I629" s="17"/>
      <c r="O629" s="11" t="s">
        <v>27</v>
      </c>
      <c r="Y629" s="64">
        <f t="shared" si="20"/>
        <v>0</v>
      </c>
      <c r="AA629" s="64">
        <f t="shared" si="19"/>
        <v>0</v>
      </c>
      <c r="AB629" s="64" t="str">
        <f>IF($B629="","",(COUNTIFS(Rships!$C$2:$C$9990,$A629,Rships!$D$2:$D$9990,1)))</f>
        <v/>
      </c>
      <c r="AC629" s="64" t="str">
        <f>IF($B629="","",(COUNTIFS(Rships!$C$2:$C$9990,$A629,Rships!$D$2:$D$9990,2)))</f>
        <v/>
      </c>
      <c r="AD629" s="64" t="str">
        <f>IF($B629="","",(COUNTIFS(Rships!$C$2:$C$9990,$A629,Rships!$D$2:$D$9990,3)))</f>
        <v/>
      </c>
      <c r="AE629" s="64" t="str">
        <f>IF($B629="","",(COUNTIFS(Rships!$C$2:$C$9990,$A629,Rships!$D$2:$D$9990,4)))</f>
        <v/>
      </c>
      <c r="AF629" s="64" t="str">
        <f>IF($B629="","",(COUNTIFS(Rships!$C$2:$C$9990,$A629,Rships!$D$2:$D$9990,5)))</f>
        <v/>
      </c>
      <c r="AG629" s="64" t="str">
        <f>IF($B629="","",(COUNTIFS(Rships!$C$2:$C$9990,$A629,Rships!$D$2:$D$9990,6)))</f>
        <v/>
      </c>
      <c r="AH629" s="64" t="str">
        <f>IF($B629="","",(COUNTIFS(Rships!$C$2:$C$9990,$A629,Rships!$D$2:$D$9990,7)))</f>
        <v/>
      </c>
    </row>
    <row r="630" spans="1:34">
      <c r="A630" s="1" t="s">
        <v>881</v>
      </c>
      <c r="C630" s="11" t="s">
        <v>19</v>
      </c>
      <c r="D630" s="11" t="s">
        <v>21</v>
      </c>
      <c r="F630" s="15"/>
      <c r="G630" s="15"/>
      <c r="I630" s="17"/>
      <c r="O630" s="11" t="s">
        <v>27</v>
      </c>
      <c r="Y630" s="64">
        <f t="shared" si="20"/>
        <v>0</v>
      </c>
      <c r="AA630" s="64">
        <f t="shared" si="19"/>
        <v>0</v>
      </c>
      <c r="AB630" s="64" t="str">
        <f>IF($B630="","",(COUNTIFS(Rships!$C$2:$C$9990,$A630,Rships!$D$2:$D$9990,1)))</f>
        <v/>
      </c>
      <c r="AC630" s="64" t="str">
        <f>IF($B630="","",(COUNTIFS(Rships!$C$2:$C$9990,$A630,Rships!$D$2:$D$9990,2)))</f>
        <v/>
      </c>
      <c r="AD630" s="64" t="str">
        <f>IF($B630="","",(COUNTIFS(Rships!$C$2:$C$9990,$A630,Rships!$D$2:$D$9990,3)))</f>
        <v/>
      </c>
      <c r="AE630" s="64" t="str">
        <f>IF($B630="","",(COUNTIFS(Rships!$C$2:$C$9990,$A630,Rships!$D$2:$D$9990,4)))</f>
        <v/>
      </c>
      <c r="AF630" s="64" t="str">
        <f>IF($B630="","",(COUNTIFS(Rships!$C$2:$C$9990,$A630,Rships!$D$2:$D$9990,5)))</f>
        <v/>
      </c>
      <c r="AG630" s="64" t="str">
        <f>IF($B630="","",(COUNTIFS(Rships!$C$2:$C$9990,$A630,Rships!$D$2:$D$9990,6)))</f>
        <v/>
      </c>
      <c r="AH630" s="64" t="str">
        <f>IF($B630="","",(COUNTIFS(Rships!$C$2:$C$9990,$A630,Rships!$D$2:$D$9990,7)))</f>
        <v/>
      </c>
    </row>
    <row r="631" spans="1:34">
      <c r="A631" s="1" t="s">
        <v>882</v>
      </c>
      <c r="C631" s="11" t="s">
        <v>19</v>
      </c>
      <c r="D631" s="11" t="s">
        <v>21</v>
      </c>
      <c r="F631" s="15"/>
      <c r="G631" s="15"/>
      <c r="I631" s="17"/>
      <c r="O631" s="11" t="s">
        <v>27</v>
      </c>
      <c r="Y631" s="64">
        <f t="shared" si="20"/>
        <v>0</v>
      </c>
      <c r="AA631" s="64">
        <f t="shared" si="19"/>
        <v>0</v>
      </c>
      <c r="AB631" s="64" t="str">
        <f>IF($B631="","",(COUNTIFS(Rships!$C$2:$C$9990,$A631,Rships!$D$2:$D$9990,1)))</f>
        <v/>
      </c>
      <c r="AC631" s="64" t="str">
        <f>IF($B631="","",(COUNTIFS(Rships!$C$2:$C$9990,$A631,Rships!$D$2:$D$9990,2)))</f>
        <v/>
      </c>
      <c r="AD631" s="64" t="str">
        <f>IF($B631="","",(COUNTIFS(Rships!$C$2:$C$9990,$A631,Rships!$D$2:$D$9990,3)))</f>
        <v/>
      </c>
      <c r="AE631" s="64" t="str">
        <f>IF($B631="","",(COUNTIFS(Rships!$C$2:$C$9990,$A631,Rships!$D$2:$D$9990,4)))</f>
        <v/>
      </c>
      <c r="AF631" s="64" t="str">
        <f>IF($B631="","",(COUNTIFS(Rships!$C$2:$C$9990,$A631,Rships!$D$2:$D$9990,5)))</f>
        <v/>
      </c>
      <c r="AG631" s="64" t="str">
        <f>IF($B631="","",(COUNTIFS(Rships!$C$2:$C$9990,$A631,Rships!$D$2:$D$9990,6)))</f>
        <v/>
      </c>
      <c r="AH631" s="64" t="str">
        <f>IF($B631="","",(COUNTIFS(Rships!$C$2:$C$9990,$A631,Rships!$D$2:$D$9990,7)))</f>
        <v/>
      </c>
    </row>
    <row r="632" spans="1:34">
      <c r="A632" s="1" t="s">
        <v>883</v>
      </c>
      <c r="C632" s="11" t="s">
        <v>19</v>
      </c>
      <c r="D632" s="11" t="s">
        <v>21</v>
      </c>
      <c r="F632" s="15"/>
      <c r="G632" s="15"/>
      <c r="I632" s="17"/>
      <c r="O632" s="11" t="s">
        <v>27</v>
      </c>
      <c r="Y632" s="64">
        <f t="shared" si="20"/>
        <v>0</v>
      </c>
      <c r="AA632" s="64">
        <f t="shared" si="19"/>
        <v>0</v>
      </c>
      <c r="AB632" s="64" t="str">
        <f>IF($B632="","",(COUNTIFS(Rships!$C$2:$C$9990,$A632,Rships!$D$2:$D$9990,1)))</f>
        <v/>
      </c>
      <c r="AC632" s="64" t="str">
        <f>IF($B632="","",(COUNTIFS(Rships!$C$2:$C$9990,$A632,Rships!$D$2:$D$9990,2)))</f>
        <v/>
      </c>
      <c r="AD632" s="64" t="str">
        <f>IF($B632="","",(COUNTIFS(Rships!$C$2:$C$9990,$A632,Rships!$D$2:$D$9990,3)))</f>
        <v/>
      </c>
      <c r="AE632" s="64" t="str">
        <f>IF($B632="","",(COUNTIFS(Rships!$C$2:$C$9990,$A632,Rships!$D$2:$D$9990,4)))</f>
        <v/>
      </c>
      <c r="AF632" s="64" t="str">
        <f>IF($B632="","",(COUNTIFS(Rships!$C$2:$C$9990,$A632,Rships!$D$2:$D$9990,5)))</f>
        <v/>
      </c>
      <c r="AG632" s="64" t="str">
        <f>IF($B632="","",(COUNTIFS(Rships!$C$2:$C$9990,$A632,Rships!$D$2:$D$9990,6)))</f>
        <v/>
      </c>
      <c r="AH632" s="64" t="str">
        <f>IF($B632="","",(COUNTIFS(Rships!$C$2:$C$9990,$A632,Rships!$D$2:$D$9990,7)))</f>
        <v/>
      </c>
    </row>
    <row r="633" spans="1:34">
      <c r="A633" s="1" t="s">
        <v>884</v>
      </c>
      <c r="C633" s="11" t="s">
        <v>19</v>
      </c>
      <c r="D633" s="11" t="s">
        <v>21</v>
      </c>
      <c r="F633" s="15"/>
      <c r="G633" s="15"/>
      <c r="I633" s="17"/>
      <c r="O633" s="11" t="s">
        <v>27</v>
      </c>
      <c r="Y633" s="64">
        <f t="shared" si="20"/>
        <v>0</v>
      </c>
      <c r="AA633" s="64">
        <f t="shared" si="19"/>
        <v>0</v>
      </c>
      <c r="AB633" s="64" t="str">
        <f>IF($B633="","",(COUNTIFS(Rships!$C$2:$C$9990,$A633,Rships!$D$2:$D$9990,1)))</f>
        <v/>
      </c>
      <c r="AC633" s="64" t="str">
        <f>IF($B633="","",(COUNTIFS(Rships!$C$2:$C$9990,$A633,Rships!$D$2:$D$9990,2)))</f>
        <v/>
      </c>
      <c r="AD633" s="64" t="str">
        <f>IF($B633="","",(COUNTIFS(Rships!$C$2:$C$9990,$A633,Rships!$D$2:$D$9990,3)))</f>
        <v/>
      </c>
      <c r="AE633" s="64" t="str">
        <f>IF($B633="","",(COUNTIFS(Rships!$C$2:$C$9990,$A633,Rships!$D$2:$D$9990,4)))</f>
        <v/>
      </c>
      <c r="AF633" s="64" t="str">
        <f>IF($B633="","",(COUNTIFS(Rships!$C$2:$C$9990,$A633,Rships!$D$2:$D$9990,5)))</f>
        <v/>
      </c>
      <c r="AG633" s="64" t="str">
        <f>IF($B633="","",(COUNTIFS(Rships!$C$2:$C$9990,$A633,Rships!$D$2:$D$9990,6)))</f>
        <v/>
      </c>
      <c r="AH633" s="64" t="str">
        <f>IF($B633="","",(COUNTIFS(Rships!$C$2:$C$9990,$A633,Rships!$D$2:$D$9990,7)))</f>
        <v/>
      </c>
    </row>
    <row r="634" spans="1:34">
      <c r="A634" s="1" t="s">
        <v>885</v>
      </c>
      <c r="C634" s="11" t="s">
        <v>19</v>
      </c>
      <c r="D634" s="11" t="s">
        <v>21</v>
      </c>
      <c r="F634" s="15"/>
      <c r="G634" s="15"/>
      <c r="I634" s="17"/>
      <c r="O634" s="11" t="s">
        <v>27</v>
      </c>
      <c r="Y634" s="64">
        <f t="shared" si="20"/>
        <v>0</v>
      </c>
      <c r="AA634" s="64">
        <f t="shared" si="19"/>
        <v>0</v>
      </c>
      <c r="AB634" s="64" t="str">
        <f>IF($B634="","",(COUNTIFS(Rships!$C$2:$C$9990,$A634,Rships!$D$2:$D$9990,1)))</f>
        <v/>
      </c>
      <c r="AC634" s="64" t="str">
        <f>IF($B634="","",(COUNTIFS(Rships!$C$2:$C$9990,$A634,Rships!$D$2:$D$9990,2)))</f>
        <v/>
      </c>
      <c r="AD634" s="64" t="str">
        <f>IF($B634="","",(COUNTIFS(Rships!$C$2:$C$9990,$A634,Rships!$D$2:$D$9990,3)))</f>
        <v/>
      </c>
      <c r="AE634" s="64" t="str">
        <f>IF($B634="","",(COUNTIFS(Rships!$C$2:$C$9990,$A634,Rships!$D$2:$D$9990,4)))</f>
        <v/>
      </c>
      <c r="AF634" s="64" t="str">
        <f>IF($B634="","",(COUNTIFS(Rships!$C$2:$C$9990,$A634,Rships!$D$2:$D$9990,5)))</f>
        <v/>
      </c>
      <c r="AG634" s="64" t="str">
        <f>IF($B634="","",(COUNTIFS(Rships!$C$2:$C$9990,$A634,Rships!$D$2:$D$9990,6)))</f>
        <v/>
      </c>
      <c r="AH634" s="64" t="str">
        <f>IF($B634="","",(COUNTIFS(Rships!$C$2:$C$9990,$A634,Rships!$D$2:$D$9990,7)))</f>
        <v/>
      </c>
    </row>
    <row r="635" spans="1:34">
      <c r="A635" s="1" t="s">
        <v>886</v>
      </c>
      <c r="C635" s="11" t="s">
        <v>19</v>
      </c>
      <c r="D635" s="11" t="s">
        <v>21</v>
      </c>
      <c r="F635" s="15"/>
      <c r="G635" s="15"/>
      <c r="I635" s="17"/>
      <c r="O635" s="11" t="s">
        <v>27</v>
      </c>
      <c r="Y635" s="64">
        <f t="shared" si="20"/>
        <v>0</v>
      </c>
      <c r="AA635" s="64">
        <f t="shared" si="19"/>
        <v>0</v>
      </c>
      <c r="AB635" s="64" t="str">
        <f>IF($B635="","",(COUNTIFS(Rships!$C$2:$C$9990,$A635,Rships!$D$2:$D$9990,1)))</f>
        <v/>
      </c>
      <c r="AC635" s="64" t="str">
        <f>IF($B635="","",(COUNTIFS(Rships!$C$2:$C$9990,$A635,Rships!$D$2:$D$9990,2)))</f>
        <v/>
      </c>
      <c r="AD635" s="64" t="str">
        <f>IF($B635="","",(COUNTIFS(Rships!$C$2:$C$9990,$A635,Rships!$D$2:$D$9990,3)))</f>
        <v/>
      </c>
      <c r="AE635" s="64" t="str">
        <f>IF($B635="","",(COUNTIFS(Rships!$C$2:$C$9990,$A635,Rships!$D$2:$D$9990,4)))</f>
        <v/>
      </c>
      <c r="AF635" s="64" t="str">
        <f>IF($B635="","",(COUNTIFS(Rships!$C$2:$C$9990,$A635,Rships!$D$2:$D$9990,5)))</f>
        <v/>
      </c>
      <c r="AG635" s="64" t="str">
        <f>IF($B635="","",(COUNTIFS(Rships!$C$2:$C$9990,$A635,Rships!$D$2:$D$9990,6)))</f>
        <v/>
      </c>
      <c r="AH635" s="64" t="str">
        <f>IF($B635="","",(COUNTIFS(Rships!$C$2:$C$9990,$A635,Rships!$D$2:$D$9990,7)))</f>
        <v/>
      </c>
    </row>
    <row r="636" spans="1:34">
      <c r="A636" s="1" t="s">
        <v>887</v>
      </c>
      <c r="C636" s="11" t="s">
        <v>19</v>
      </c>
      <c r="D636" s="11" t="s">
        <v>21</v>
      </c>
      <c r="F636" s="15"/>
      <c r="G636" s="15"/>
      <c r="I636" s="17"/>
      <c r="O636" s="11" t="s">
        <v>27</v>
      </c>
      <c r="Y636" s="64">
        <f t="shared" si="20"/>
        <v>0</v>
      </c>
      <c r="AA636" s="64">
        <f t="shared" si="19"/>
        <v>0</v>
      </c>
      <c r="AB636" s="64" t="str">
        <f>IF($B636="","",(COUNTIFS(Rships!$C$2:$C$9990,$A636,Rships!$D$2:$D$9990,1)))</f>
        <v/>
      </c>
      <c r="AC636" s="64" t="str">
        <f>IF($B636="","",(COUNTIFS(Rships!$C$2:$C$9990,$A636,Rships!$D$2:$D$9990,2)))</f>
        <v/>
      </c>
      <c r="AD636" s="64" t="str">
        <f>IF($B636="","",(COUNTIFS(Rships!$C$2:$C$9990,$A636,Rships!$D$2:$D$9990,3)))</f>
        <v/>
      </c>
      <c r="AE636" s="64" t="str">
        <f>IF($B636="","",(COUNTIFS(Rships!$C$2:$C$9990,$A636,Rships!$D$2:$D$9990,4)))</f>
        <v/>
      </c>
      <c r="AF636" s="64" t="str">
        <f>IF($B636="","",(COUNTIFS(Rships!$C$2:$C$9990,$A636,Rships!$D$2:$D$9990,5)))</f>
        <v/>
      </c>
      <c r="AG636" s="64" t="str">
        <f>IF($B636="","",(COUNTIFS(Rships!$C$2:$C$9990,$A636,Rships!$D$2:$D$9990,6)))</f>
        <v/>
      </c>
      <c r="AH636" s="64" t="str">
        <f>IF($B636="","",(COUNTIFS(Rships!$C$2:$C$9990,$A636,Rships!$D$2:$D$9990,7)))</f>
        <v/>
      </c>
    </row>
    <row r="637" spans="1:34">
      <c r="A637" s="1" t="s">
        <v>888</v>
      </c>
      <c r="C637" s="11" t="s">
        <v>19</v>
      </c>
      <c r="D637" s="11" t="s">
        <v>21</v>
      </c>
      <c r="F637" s="15"/>
      <c r="G637" s="15"/>
      <c r="I637" s="17"/>
      <c r="O637" s="11" t="s">
        <v>27</v>
      </c>
      <c r="Y637" s="64">
        <f t="shared" si="20"/>
        <v>0</v>
      </c>
      <c r="AA637" s="64">
        <f t="shared" si="19"/>
        <v>0</v>
      </c>
      <c r="AB637" s="64" t="str">
        <f>IF($B637="","",(COUNTIFS(Rships!$C$2:$C$9990,$A637,Rships!$D$2:$D$9990,1)))</f>
        <v/>
      </c>
      <c r="AC637" s="64" t="str">
        <f>IF($B637="","",(COUNTIFS(Rships!$C$2:$C$9990,$A637,Rships!$D$2:$D$9990,2)))</f>
        <v/>
      </c>
      <c r="AD637" s="64" t="str">
        <f>IF($B637="","",(COUNTIFS(Rships!$C$2:$C$9990,$A637,Rships!$D$2:$D$9990,3)))</f>
        <v/>
      </c>
      <c r="AE637" s="64" t="str">
        <f>IF($B637="","",(COUNTIFS(Rships!$C$2:$C$9990,$A637,Rships!$D$2:$D$9990,4)))</f>
        <v/>
      </c>
      <c r="AF637" s="64" t="str">
        <f>IF($B637="","",(COUNTIFS(Rships!$C$2:$C$9990,$A637,Rships!$D$2:$D$9990,5)))</f>
        <v/>
      </c>
      <c r="AG637" s="64" t="str">
        <f>IF($B637="","",(COUNTIFS(Rships!$C$2:$C$9990,$A637,Rships!$D$2:$D$9990,6)))</f>
        <v/>
      </c>
      <c r="AH637" s="64" t="str">
        <f>IF($B637="","",(COUNTIFS(Rships!$C$2:$C$9990,$A637,Rships!$D$2:$D$9990,7)))</f>
        <v/>
      </c>
    </row>
    <row r="638" spans="1:34">
      <c r="A638" s="1" t="s">
        <v>889</v>
      </c>
      <c r="C638" s="11" t="s">
        <v>19</v>
      </c>
      <c r="D638" s="11" t="s">
        <v>21</v>
      </c>
      <c r="F638" s="15"/>
      <c r="G638" s="15"/>
      <c r="I638" s="17"/>
      <c r="O638" s="11" t="s">
        <v>27</v>
      </c>
      <c r="Y638" s="64">
        <f t="shared" si="20"/>
        <v>0</v>
      </c>
      <c r="AA638" s="64">
        <f t="shared" si="19"/>
        <v>0</v>
      </c>
      <c r="AB638" s="64" t="str">
        <f>IF($B638="","",(COUNTIFS(Rships!$C$2:$C$9990,$A638,Rships!$D$2:$D$9990,1)))</f>
        <v/>
      </c>
      <c r="AC638" s="64" t="str">
        <f>IF($B638="","",(COUNTIFS(Rships!$C$2:$C$9990,$A638,Rships!$D$2:$D$9990,2)))</f>
        <v/>
      </c>
      <c r="AD638" s="64" t="str">
        <f>IF($B638="","",(COUNTIFS(Rships!$C$2:$C$9990,$A638,Rships!$D$2:$D$9990,3)))</f>
        <v/>
      </c>
      <c r="AE638" s="64" t="str">
        <f>IF($B638="","",(COUNTIFS(Rships!$C$2:$C$9990,$A638,Rships!$D$2:$D$9990,4)))</f>
        <v/>
      </c>
      <c r="AF638" s="64" t="str">
        <f>IF($B638="","",(COUNTIFS(Rships!$C$2:$C$9990,$A638,Rships!$D$2:$D$9990,5)))</f>
        <v/>
      </c>
      <c r="AG638" s="64" t="str">
        <f>IF($B638="","",(COUNTIFS(Rships!$C$2:$C$9990,$A638,Rships!$D$2:$D$9990,6)))</f>
        <v/>
      </c>
      <c r="AH638" s="64" t="str">
        <f>IF($B638="","",(COUNTIFS(Rships!$C$2:$C$9990,$A638,Rships!$D$2:$D$9990,7)))</f>
        <v/>
      </c>
    </row>
    <row r="639" spans="1:34">
      <c r="A639" s="1" t="s">
        <v>890</v>
      </c>
      <c r="C639" s="11" t="s">
        <v>19</v>
      </c>
      <c r="D639" s="11" t="s">
        <v>21</v>
      </c>
      <c r="F639" s="15"/>
      <c r="G639" s="15"/>
      <c r="I639" s="17"/>
      <c r="O639" s="11" t="s">
        <v>27</v>
      </c>
      <c r="Y639" s="64">
        <f t="shared" si="20"/>
        <v>0</v>
      </c>
      <c r="AA639" s="64">
        <f t="shared" si="19"/>
        <v>0</v>
      </c>
      <c r="AB639" s="64" t="str">
        <f>IF($B639="","",(COUNTIFS(Rships!$C$2:$C$9990,$A639,Rships!$D$2:$D$9990,1)))</f>
        <v/>
      </c>
      <c r="AC639" s="64" t="str">
        <f>IF($B639="","",(COUNTIFS(Rships!$C$2:$C$9990,$A639,Rships!$D$2:$D$9990,2)))</f>
        <v/>
      </c>
      <c r="AD639" s="64" t="str">
        <f>IF($B639="","",(COUNTIFS(Rships!$C$2:$C$9990,$A639,Rships!$D$2:$D$9990,3)))</f>
        <v/>
      </c>
      <c r="AE639" s="64" t="str">
        <f>IF($B639="","",(COUNTIFS(Rships!$C$2:$C$9990,$A639,Rships!$D$2:$D$9990,4)))</f>
        <v/>
      </c>
      <c r="AF639" s="64" t="str">
        <f>IF($B639="","",(COUNTIFS(Rships!$C$2:$C$9990,$A639,Rships!$D$2:$D$9990,5)))</f>
        <v/>
      </c>
      <c r="AG639" s="64" t="str">
        <f>IF($B639="","",(COUNTIFS(Rships!$C$2:$C$9990,$A639,Rships!$D$2:$D$9990,6)))</f>
        <v/>
      </c>
      <c r="AH639" s="64" t="str">
        <f>IF($B639="","",(COUNTIFS(Rships!$C$2:$C$9990,$A639,Rships!$D$2:$D$9990,7)))</f>
        <v/>
      </c>
    </row>
    <row r="640" spans="1:34">
      <c r="A640" s="1" t="s">
        <v>891</v>
      </c>
      <c r="C640" s="11" t="s">
        <v>19</v>
      </c>
      <c r="D640" s="11" t="s">
        <v>21</v>
      </c>
      <c r="F640" s="15"/>
      <c r="G640" s="15"/>
      <c r="I640" s="17"/>
      <c r="O640" s="11" t="s">
        <v>27</v>
      </c>
      <c r="Y640" s="64">
        <f t="shared" si="20"/>
        <v>0</v>
      </c>
      <c r="AA640" s="64">
        <f t="shared" si="19"/>
        <v>0</v>
      </c>
      <c r="AB640" s="64" t="str">
        <f>IF($B640="","",(COUNTIFS(Rships!$C$2:$C$9990,$A640,Rships!$D$2:$D$9990,1)))</f>
        <v/>
      </c>
      <c r="AC640" s="64" t="str">
        <f>IF($B640="","",(COUNTIFS(Rships!$C$2:$C$9990,$A640,Rships!$D$2:$D$9990,2)))</f>
        <v/>
      </c>
      <c r="AD640" s="64" t="str">
        <f>IF($B640="","",(COUNTIFS(Rships!$C$2:$C$9990,$A640,Rships!$D$2:$D$9990,3)))</f>
        <v/>
      </c>
      <c r="AE640" s="64" t="str">
        <f>IF($B640="","",(COUNTIFS(Rships!$C$2:$C$9990,$A640,Rships!$D$2:$D$9990,4)))</f>
        <v/>
      </c>
      <c r="AF640" s="64" t="str">
        <f>IF($B640="","",(COUNTIFS(Rships!$C$2:$C$9990,$A640,Rships!$D$2:$D$9990,5)))</f>
        <v/>
      </c>
      <c r="AG640" s="64" t="str">
        <f>IF($B640="","",(COUNTIFS(Rships!$C$2:$C$9990,$A640,Rships!$D$2:$D$9990,6)))</f>
        <v/>
      </c>
      <c r="AH640" s="64" t="str">
        <f>IF($B640="","",(COUNTIFS(Rships!$C$2:$C$9990,$A640,Rships!$D$2:$D$9990,7)))</f>
        <v/>
      </c>
    </row>
    <row r="641" spans="1:34">
      <c r="A641" s="1" t="s">
        <v>892</v>
      </c>
      <c r="C641" s="11" t="s">
        <v>19</v>
      </c>
      <c r="D641" s="11" t="s">
        <v>21</v>
      </c>
      <c r="F641" s="15"/>
      <c r="G641" s="15"/>
      <c r="I641" s="17"/>
      <c r="O641" s="11" t="s">
        <v>27</v>
      </c>
      <c r="Y641" s="64">
        <f t="shared" si="20"/>
        <v>0</v>
      </c>
      <c r="AA641" s="64">
        <f t="shared" si="19"/>
        <v>0</v>
      </c>
      <c r="AB641" s="64" t="str">
        <f>IF($B641="","",(COUNTIFS(Rships!$C$2:$C$9990,$A641,Rships!$D$2:$D$9990,1)))</f>
        <v/>
      </c>
      <c r="AC641" s="64" t="str">
        <f>IF($B641="","",(COUNTIFS(Rships!$C$2:$C$9990,$A641,Rships!$D$2:$D$9990,2)))</f>
        <v/>
      </c>
      <c r="AD641" s="64" t="str">
        <f>IF($B641="","",(COUNTIFS(Rships!$C$2:$C$9990,$A641,Rships!$D$2:$D$9990,3)))</f>
        <v/>
      </c>
      <c r="AE641" s="64" t="str">
        <f>IF($B641="","",(COUNTIFS(Rships!$C$2:$C$9990,$A641,Rships!$D$2:$D$9990,4)))</f>
        <v/>
      </c>
      <c r="AF641" s="64" t="str">
        <f>IF($B641="","",(COUNTIFS(Rships!$C$2:$C$9990,$A641,Rships!$D$2:$D$9990,5)))</f>
        <v/>
      </c>
      <c r="AG641" s="64" t="str">
        <f>IF($B641="","",(COUNTIFS(Rships!$C$2:$C$9990,$A641,Rships!$D$2:$D$9990,6)))</f>
        <v/>
      </c>
      <c r="AH641" s="64" t="str">
        <f>IF($B641="","",(COUNTIFS(Rships!$C$2:$C$9990,$A641,Rships!$D$2:$D$9990,7)))</f>
        <v/>
      </c>
    </row>
    <row r="642" spans="1:34">
      <c r="A642" s="1" t="s">
        <v>893</v>
      </c>
      <c r="C642" s="11" t="s">
        <v>19</v>
      </c>
      <c r="D642" s="11" t="s">
        <v>21</v>
      </c>
      <c r="F642" s="15"/>
      <c r="G642" s="15"/>
      <c r="I642" s="17"/>
      <c r="O642" s="11" t="s">
        <v>27</v>
      </c>
      <c r="Y642" s="64">
        <f t="shared" si="20"/>
        <v>0</v>
      </c>
      <c r="AA642" s="64">
        <f t="shared" si="19"/>
        <v>0</v>
      </c>
      <c r="AB642" s="64" t="str">
        <f>IF($B642="","",(COUNTIFS(Rships!$C$2:$C$9990,$A642,Rships!$D$2:$D$9990,1)))</f>
        <v/>
      </c>
      <c r="AC642" s="64" t="str">
        <f>IF($B642="","",(COUNTIFS(Rships!$C$2:$C$9990,$A642,Rships!$D$2:$D$9990,2)))</f>
        <v/>
      </c>
      <c r="AD642" s="64" t="str">
        <f>IF($B642="","",(COUNTIFS(Rships!$C$2:$C$9990,$A642,Rships!$D$2:$D$9990,3)))</f>
        <v/>
      </c>
      <c r="AE642" s="64" t="str">
        <f>IF($B642="","",(COUNTIFS(Rships!$C$2:$C$9990,$A642,Rships!$D$2:$D$9990,4)))</f>
        <v/>
      </c>
      <c r="AF642" s="64" t="str">
        <f>IF($B642="","",(COUNTIFS(Rships!$C$2:$C$9990,$A642,Rships!$D$2:$D$9990,5)))</f>
        <v/>
      </c>
      <c r="AG642" s="64" t="str">
        <f>IF($B642="","",(COUNTIFS(Rships!$C$2:$C$9990,$A642,Rships!$D$2:$D$9990,6)))</f>
        <v/>
      </c>
      <c r="AH642" s="64" t="str">
        <f>IF($B642="","",(COUNTIFS(Rships!$C$2:$C$9990,$A642,Rships!$D$2:$D$9990,7)))</f>
        <v/>
      </c>
    </row>
    <row r="643" spans="1:34">
      <c r="A643" s="1" t="s">
        <v>894</v>
      </c>
      <c r="C643" s="11" t="s">
        <v>19</v>
      </c>
      <c r="D643" s="11" t="s">
        <v>21</v>
      </c>
      <c r="F643" s="15"/>
      <c r="G643" s="15"/>
      <c r="I643" s="17"/>
      <c r="O643" s="11" t="s">
        <v>27</v>
      </c>
      <c r="Y643" s="64">
        <f t="shared" si="20"/>
        <v>0</v>
      </c>
      <c r="AA643" s="64">
        <f t="shared" ref="AA643:AA706" si="21">SUM($AB643:$AH643)</f>
        <v>0</v>
      </c>
      <c r="AB643" s="64" t="str">
        <f>IF($B643="","",(COUNTIFS(Rships!$C$2:$C$9990,$A643,Rships!$D$2:$D$9990,1)))</f>
        <v/>
      </c>
      <c r="AC643" s="64" t="str">
        <f>IF($B643="","",(COUNTIFS(Rships!$C$2:$C$9990,$A643,Rships!$D$2:$D$9990,2)))</f>
        <v/>
      </c>
      <c r="AD643" s="64" t="str">
        <f>IF($B643="","",(COUNTIFS(Rships!$C$2:$C$9990,$A643,Rships!$D$2:$D$9990,3)))</f>
        <v/>
      </c>
      <c r="AE643" s="64" t="str">
        <f>IF($B643="","",(COUNTIFS(Rships!$C$2:$C$9990,$A643,Rships!$D$2:$D$9990,4)))</f>
        <v/>
      </c>
      <c r="AF643" s="64" t="str">
        <f>IF($B643="","",(COUNTIFS(Rships!$C$2:$C$9990,$A643,Rships!$D$2:$D$9990,5)))</f>
        <v/>
      </c>
      <c r="AG643" s="64" t="str">
        <f>IF($B643="","",(COUNTIFS(Rships!$C$2:$C$9990,$A643,Rships!$D$2:$D$9990,6)))</f>
        <v/>
      </c>
      <c r="AH643" s="64" t="str">
        <f>IF($B643="","",(COUNTIFS(Rships!$C$2:$C$9990,$A643,Rships!$D$2:$D$9990,7)))</f>
        <v/>
      </c>
    </row>
    <row r="644" spans="1:34">
      <c r="A644" s="1" t="s">
        <v>895</v>
      </c>
      <c r="C644" s="11" t="s">
        <v>19</v>
      </c>
      <c r="D644" s="11" t="s">
        <v>21</v>
      </c>
      <c r="F644" s="15"/>
      <c r="G644" s="15"/>
      <c r="I644" s="17"/>
      <c r="O644" s="11" t="s">
        <v>27</v>
      </c>
      <c r="Y644" s="64">
        <f t="shared" si="20"/>
        <v>0</v>
      </c>
      <c r="AA644" s="64">
        <f t="shared" si="21"/>
        <v>0</v>
      </c>
      <c r="AB644" s="64" t="str">
        <f>IF($B644="","",(COUNTIFS(Rships!$C$2:$C$9990,$A644,Rships!$D$2:$D$9990,1)))</f>
        <v/>
      </c>
      <c r="AC644" s="64" t="str">
        <f>IF($B644="","",(COUNTIFS(Rships!$C$2:$C$9990,$A644,Rships!$D$2:$D$9990,2)))</f>
        <v/>
      </c>
      <c r="AD644" s="64" t="str">
        <f>IF($B644="","",(COUNTIFS(Rships!$C$2:$C$9990,$A644,Rships!$D$2:$D$9990,3)))</f>
        <v/>
      </c>
      <c r="AE644" s="64" t="str">
        <f>IF($B644="","",(COUNTIFS(Rships!$C$2:$C$9990,$A644,Rships!$D$2:$D$9990,4)))</f>
        <v/>
      </c>
      <c r="AF644" s="64" t="str">
        <f>IF($B644="","",(COUNTIFS(Rships!$C$2:$C$9990,$A644,Rships!$D$2:$D$9990,5)))</f>
        <v/>
      </c>
      <c r="AG644" s="64" t="str">
        <f>IF($B644="","",(COUNTIFS(Rships!$C$2:$C$9990,$A644,Rships!$D$2:$D$9990,6)))</f>
        <v/>
      </c>
      <c r="AH644" s="64" t="str">
        <f>IF($B644="","",(COUNTIFS(Rships!$C$2:$C$9990,$A644,Rships!$D$2:$D$9990,7)))</f>
        <v/>
      </c>
    </row>
    <row r="645" spans="1:34">
      <c r="A645" s="1" t="s">
        <v>896</v>
      </c>
      <c r="C645" s="11" t="s">
        <v>19</v>
      </c>
      <c r="D645" s="11" t="s">
        <v>21</v>
      </c>
      <c r="F645" s="15"/>
      <c r="G645" s="15"/>
      <c r="I645" s="17"/>
      <c r="O645" s="11" t="s">
        <v>27</v>
      </c>
      <c r="Y645" s="64">
        <f t="shared" si="20"/>
        <v>0</v>
      </c>
      <c r="AA645" s="64">
        <f t="shared" si="21"/>
        <v>0</v>
      </c>
      <c r="AB645" s="64" t="str">
        <f>IF($B645="","",(COUNTIFS(Rships!$C$2:$C$9990,$A645,Rships!$D$2:$D$9990,1)))</f>
        <v/>
      </c>
      <c r="AC645" s="64" t="str">
        <f>IF($B645="","",(COUNTIFS(Rships!$C$2:$C$9990,$A645,Rships!$D$2:$D$9990,2)))</f>
        <v/>
      </c>
      <c r="AD645" s="64" t="str">
        <f>IF($B645="","",(COUNTIFS(Rships!$C$2:$C$9990,$A645,Rships!$D$2:$D$9990,3)))</f>
        <v/>
      </c>
      <c r="AE645" s="64" t="str">
        <f>IF($B645="","",(COUNTIFS(Rships!$C$2:$C$9990,$A645,Rships!$D$2:$D$9990,4)))</f>
        <v/>
      </c>
      <c r="AF645" s="64" t="str">
        <f>IF($B645="","",(COUNTIFS(Rships!$C$2:$C$9990,$A645,Rships!$D$2:$D$9990,5)))</f>
        <v/>
      </c>
      <c r="AG645" s="64" t="str">
        <f>IF($B645="","",(COUNTIFS(Rships!$C$2:$C$9990,$A645,Rships!$D$2:$D$9990,6)))</f>
        <v/>
      </c>
      <c r="AH645" s="64" t="str">
        <f>IF($B645="","",(COUNTIFS(Rships!$C$2:$C$9990,$A645,Rships!$D$2:$D$9990,7)))</f>
        <v/>
      </c>
    </row>
    <row r="646" spans="1:34">
      <c r="A646" s="1" t="s">
        <v>897</v>
      </c>
      <c r="C646" s="11" t="s">
        <v>19</v>
      </c>
      <c r="D646" s="11" t="s">
        <v>21</v>
      </c>
      <c r="F646" s="15"/>
      <c r="G646" s="15"/>
      <c r="I646" s="17"/>
      <c r="O646" s="11" t="s">
        <v>27</v>
      </c>
      <c r="Y646" s="64">
        <f t="shared" si="20"/>
        <v>0</v>
      </c>
      <c r="AA646" s="64">
        <f t="shared" si="21"/>
        <v>0</v>
      </c>
      <c r="AB646" s="64" t="str">
        <f>IF($B646="","",(COUNTIFS(Rships!$C$2:$C$9990,$A646,Rships!$D$2:$D$9990,1)))</f>
        <v/>
      </c>
      <c r="AC646" s="64" t="str">
        <f>IF($B646="","",(COUNTIFS(Rships!$C$2:$C$9990,$A646,Rships!$D$2:$D$9990,2)))</f>
        <v/>
      </c>
      <c r="AD646" s="64" t="str">
        <f>IF($B646="","",(COUNTIFS(Rships!$C$2:$C$9990,$A646,Rships!$D$2:$D$9990,3)))</f>
        <v/>
      </c>
      <c r="AE646" s="64" t="str">
        <f>IF($B646="","",(COUNTIFS(Rships!$C$2:$C$9990,$A646,Rships!$D$2:$D$9990,4)))</f>
        <v/>
      </c>
      <c r="AF646" s="64" t="str">
        <f>IF($B646="","",(COUNTIFS(Rships!$C$2:$C$9990,$A646,Rships!$D$2:$D$9990,5)))</f>
        <v/>
      </c>
      <c r="AG646" s="64" t="str">
        <f>IF($B646="","",(COUNTIFS(Rships!$C$2:$C$9990,$A646,Rships!$D$2:$D$9990,6)))</f>
        <v/>
      </c>
      <c r="AH646" s="64" t="str">
        <f>IF($B646="","",(COUNTIFS(Rships!$C$2:$C$9990,$A646,Rships!$D$2:$D$9990,7)))</f>
        <v/>
      </c>
    </row>
    <row r="647" spans="1:34">
      <c r="A647" s="1" t="s">
        <v>898</v>
      </c>
      <c r="C647" s="11" t="s">
        <v>19</v>
      </c>
      <c r="D647" s="11" t="s">
        <v>21</v>
      </c>
      <c r="F647" s="15"/>
      <c r="G647" s="15"/>
      <c r="I647" s="17"/>
      <c r="O647" s="11" t="s">
        <v>27</v>
      </c>
      <c r="Y647" s="64">
        <f t="shared" si="20"/>
        <v>0</v>
      </c>
      <c r="AA647" s="64">
        <f t="shared" si="21"/>
        <v>0</v>
      </c>
      <c r="AB647" s="64" t="str">
        <f>IF($B647="","",(COUNTIFS(Rships!$C$2:$C$9990,$A647,Rships!$D$2:$D$9990,1)))</f>
        <v/>
      </c>
      <c r="AC647" s="64" t="str">
        <f>IF($B647="","",(COUNTIFS(Rships!$C$2:$C$9990,$A647,Rships!$D$2:$D$9990,2)))</f>
        <v/>
      </c>
      <c r="AD647" s="64" t="str">
        <f>IF($B647="","",(COUNTIFS(Rships!$C$2:$C$9990,$A647,Rships!$D$2:$D$9990,3)))</f>
        <v/>
      </c>
      <c r="AE647" s="64" t="str">
        <f>IF($B647="","",(COUNTIFS(Rships!$C$2:$C$9990,$A647,Rships!$D$2:$D$9990,4)))</f>
        <v/>
      </c>
      <c r="AF647" s="64" t="str">
        <f>IF($B647="","",(COUNTIFS(Rships!$C$2:$C$9990,$A647,Rships!$D$2:$D$9990,5)))</f>
        <v/>
      </c>
      <c r="AG647" s="64" t="str">
        <f>IF($B647="","",(COUNTIFS(Rships!$C$2:$C$9990,$A647,Rships!$D$2:$D$9990,6)))</f>
        <v/>
      </c>
      <c r="AH647" s="64" t="str">
        <f>IF($B647="","",(COUNTIFS(Rships!$C$2:$C$9990,$A647,Rships!$D$2:$D$9990,7)))</f>
        <v/>
      </c>
    </row>
    <row r="648" spans="1:34">
      <c r="A648" s="1" t="s">
        <v>899</v>
      </c>
      <c r="C648" s="11" t="s">
        <v>19</v>
      </c>
      <c r="D648" s="11" t="s">
        <v>21</v>
      </c>
      <c r="F648" s="15"/>
      <c r="G648" s="15"/>
      <c r="I648" s="17"/>
      <c r="O648" s="11" t="s">
        <v>27</v>
      </c>
      <c r="Y648" s="64">
        <f t="shared" si="20"/>
        <v>0</v>
      </c>
      <c r="AA648" s="64">
        <f t="shared" si="21"/>
        <v>0</v>
      </c>
      <c r="AB648" s="64" t="str">
        <f>IF($B648="","",(COUNTIFS(Rships!$C$2:$C$9990,$A648,Rships!$D$2:$D$9990,1)))</f>
        <v/>
      </c>
      <c r="AC648" s="64" t="str">
        <f>IF($B648="","",(COUNTIFS(Rships!$C$2:$C$9990,$A648,Rships!$D$2:$D$9990,2)))</f>
        <v/>
      </c>
      <c r="AD648" s="64" t="str">
        <f>IF($B648="","",(COUNTIFS(Rships!$C$2:$C$9990,$A648,Rships!$D$2:$D$9990,3)))</f>
        <v/>
      </c>
      <c r="AE648" s="64" t="str">
        <f>IF($B648="","",(COUNTIFS(Rships!$C$2:$C$9990,$A648,Rships!$D$2:$D$9990,4)))</f>
        <v/>
      </c>
      <c r="AF648" s="64" t="str">
        <f>IF($B648="","",(COUNTIFS(Rships!$C$2:$C$9990,$A648,Rships!$D$2:$D$9990,5)))</f>
        <v/>
      </c>
      <c r="AG648" s="64" t="str">
        <f>IF($B648="","",(COUNTIFS(Rships!$C$2:$C$9990,$A648,Rships!$D$2:$D$9990,6)))</f>
        <v/>
      </c>
      <c r="AH648" s="64" t="str">
        <f>IF($B648="","",(COUNTIFS(Rships!$C$2:$C$9990,$A648,Rships!$D$2:$D$9990,7)))</f>
        <v/>
      </c>
    </row>
    <row r="649" spans="1:34">
      <c r="A649" s="1" t="s">
        <v>900</v>
      </c>
      <c r="C649" s="11" t="s">
        <v>19</v>
      </c>
      <c r="D649" s="11" t="s">
        <v>21</v>
      </c>
      <c r="F649" s="15"/>
      <c r="G649" s="15"/>
      <c r="I649" s="17"/>
      <c r="O649" s="11" t="s">
        <v>27</v>
      </c>
      <c r="Y649" s="64">
        <f t="shared" si="20"/>
        <v>0</v>
      </c>
      <c r="AA649" s="64">
        <f t="shared" si="21"/>
        <v>0</v>
      </c>
      <c r="AB649" s="64" t="str">
        <f>IF($B649="","",(COUNTIFS(Rships!$C$2:$C$9990,$A649,Rships!$D$2:$D$9990,1)))</f>
        <v/>
      </c>
      <c r="AC649" s="64" t="str">
        <f>IF($B649="","",(COUNTIFS(Rships!$C$2:$C$9990,$A649,Rships!$D$2:$D$9990,2)))</f>
        <v/>
      </c>
      <c r="AD649" s="64" t="str">
        <f>IF($B649="","",(COUNTIFS(Rships!$C$2:$C$9990,$A649,Rships!$D$2:$D$9990,3)))</f>
        <v/>
      </c>
      <c r="AE649" s="64" t="str">
        <f>IF($B649="","",(COUNTIFS(Rships!$C$2:$C$9990,$A649,Rships!$D$2:$D$9990,4)))</f>
        <v/>
      </c>
      <c r="AF649" s="64" t="str">
        <f>IF($B649="","",(COUNTIFS(Rships!$C$2:$C$9990,$A649,Rships!$D$2:$D$9990,5)))</f>
        <v/>
      </c>
      <c r="AG649" s="64" t="str">
        <f>IF($B649="","",(COUNTIFS(Rships!$C$2:$C$9990,$A649,Rships!$D$2:$D$9990,6)))</f>
        <v/>
      </c>
      <c r="AH649" s="64" t="str">
        <f>IF($B649="","",(COUNTIFS(Rships!$C$2:$C$9990,$A649,Rships!$D$2:$D$9990,7)))</f>
        <v/>
      </c>
    </row>
    <row r="650" spans="1:34">
      <c r="A650" s="1" t="s">
        <v>901</v>
      </c>
      <c r="C650" s="11" t="s">
        <v>19</v>
      </c>
      <c r="D650" s="11" t="s">
        <v>21</v>
      </c>
      <c r="F650" s="15"/>
      <c r="G650" s="15"/>
      <c r="I650" s="17"/>
      <c r="O650" s="11" t="s">
        <v>27</v>
      </c>
      <c r="Y650" s="64">
        <f t="shared" si="20"/>
        <v>0</v>
      </c>
      <c r="AA650" s="64">
        <f t="shared" si="21"/>
        <v>0</v>
      </c>
      <c r="AB650" s="64" t="str">
        <f>IF($B650="","",(COUNTIFS(Rships!$C$2:$C$9990,$A650,Rships!$D$2:$D$9990,1)))</f>
        <v/>
      </c>
      <c r="AC650" s="64" t="str">
        <f>IF($B650="","",(COUNTIFS(Rships!$C$2:$C$9990,$A650,Rships!$D$2:$D$9990,2)))</f>
        <v/>
      </c>
      <c r="AD650" s="64" t="str">
        <f>IF($B650="","",(COUNTIFS(Rships!$C$2:$C$9990,$A650,Rships!$D$2:$D$9990,3)))</f>
        <v/>
      </c>
      <c r="AE650" s="64" t="str">
        <f>IF($B650="","",(COUNTIFS(Rships!$C$2:$C$9990,$A650,Rships!$D$2:$D$9990,4)))</f>
        <v/>
      </c>
      <c r="AF650" s="64" t="str">
        <f>IF($B650="","",(COUNTIFS(Rships!$C$2:$C$9990,$A650,Rships!$D$2:$D$9990,5)))</f>
        <v/>
      </c>
      <c r="AG650" s="64" t="str">
        <f>IF($B650="","",(COUNTIFS(Rships!$C$2:$C$9990,$A650,Rships!$D$2:$D$9990,6)))</f>
        <v/>
      </c>
      <c r="AH650" s="64" t="str">
        <f>IF($B650="","",(COUNTIFS(Rships!$C$2:$C$9990,$A650,Rships!$D$2:$D$9990,7)))</f>
        <v/>
      </c>
    </row>
    <row r="651" spans="1:34">
      <c r="A651" s="1" t="s">
        <v>902</v>
      </c>
      <c r="C651" s="11" t="s">
        <v>19</v>
      </c>
      <c r="D651" s="11" t="s">
        <v>21</v>
      </c>
      <c r="F651" s="15"/>
      <c r="G651" s="15"/>
      <c r="I651" s="17"/>
      <c r="O651" s="11" t="s">
        <v>27</v>
      </c>
      <c r="Y651" s="64">
        <f t="shared" si="20"/>
        <v>0</v>
      </c>
      <c r="AA651" s="64">
        <f t="shared" si="21"/>
        <v>0</v>
      </c>
      <c r="AB651" s="64" t="str">
        <f>IF($B651="","",(COUNTIFS(Rships!$C$2:$C$9990,$A651,Rships!$D$2:$D$9990,1)))</f>
        <v/>
      </c>
      <c r="AC651" s="64" t="str">
        <f>IF($B651="","",(COUNTIFS(Rships!$C$2:$C$9990,$A651,Rships!$D$2:$D$9990,2)))</f>
        <v/>
      </c>
      <c r="AD651" s="64" t="str">
        <f>IF($B651="","",(COUNTIFS(Rships!$C$2:$C$9990,$A651,Rships!$D$2:$D$9990,3)))</f>
        <v/>
      </c>
      <c r="AE651" s="64" t="str">
        <f>IF($B651="","",(COUNTIFS(Rships!$C$2:$C$9990,$A651,Rships!$D$2:$D$9990,4)))</f>
        <v/>
      </c>
      <c r="AF651" s="64" t="str">
        <f>IF($B651="","",(COUNTIFS(Rships!$C$2:$C$9990,$A651,Rships!$D$2:$D$9990,5)))</f>
        <v/>
      </c>
      <c r="AG651" s="64" t="str">
        <f>IF($B651="","",(COUNTIFS(Rships!$C$2:$C$9990,$A651,Rships!$D$2:$D$9990,6)))</f>
        <v/>
      </c>
      <c r="AH651" s="64" t="str">
        <f>IF($B651="","",(COUNTIFS(Rships!$C$2:$C$9990,$A651,Rships!$D$2:$D$9990,7)))</f>
        <v/>
      </c>
    </row>
    <row r="652" spans="1:34">
      <c r="A652" s="1" t="s">
        <v>903</v>
      </c>
      <c r="C652" s="11" t="s">
        <v>19</v>
      </c>
      <c r="D652" s="11" t="s">
        <v>21</v>
      </c>
      <c r="F652" s="15"/>
      <c r="G652" s="15"/>
      <c r="I652" s="17"/>
      <c r="O652" s="11" t="s">
        <v>27</v>
      </c>
      <c r="Y652" s="64">
        <f t="shared" si="20"/>
        <v>0</v>
      </c>
      <c r="AA652" s="64">
        <f t="shared" si="21"/>
        <v>0</v>
      </c>
      <c r="AB652" s="64" t="str">
        <f>IF($B652="","",(COUNTIFS(Rships!$C$2:$C$9990,$A652,Rships!$D$2:$D$9990,1)))</f>
        <v/>
      </c>
      <c r="AC652" s="64" t="str">
        <f>IF($B652="","",(COUNTIFS(Rships!$C$2:$C$9990,$A652,Rships!$D$2:$D$9990,2)))</f>
        <v/>
      </c>
      <c r="AD652" s="64" t="str">
        <f>IF($B652="","",(COUNTIFS(Rships!$C$2:$C$9990,$A652,Rships!$D$2:$D$9990,3)))</f>
        <v/>
      </c>
      <c r="AE652" s="64" t="str">
        <f>IF($B652="","",(COUNTIFS(Rships!$C$2:$C$9990,$A652,Rships!$D$2:$D$9990,4)))</f>
        <v/>
      </c>
      <c r="AF652" s="64" t="str">
        <f>IF($B652="","",(COUNTIFS(Rships!$C$2:$C$9990,$A652,Rships!$D$2:$D$9990,5)))</f>
        <v/>
      </c>
      <c r="AG652" s="64" t="str">
        <f>IF($B652="","",(COUNTIFS(Rships!$C$2:$C$9990,$A652,Rships!$D$2:$D$9990,6)))</f>
        <v/>
      </c>
      <c r="AH652" s="64" t="str">
        <f>IF($B652="","",(COUNTIFS(Rships!$C$2:$C$9990,$A652,Rships!$D$2:$D$9990,7)))</f>
        <v/>
      </c>
    </row>
    <row r="653" spans="1:34">
      <c r="A653" s="1" t="s">
        <v>904</v>
      </c>
      <c r="C653" s="11" t="s">
        <v>19</v>
      </c>
      <c r="D653" s="11" t="s">
        <v>21</v>
      </c>
      <c r="F653" s="15"/>
      <c r="G653" s="15"/>
      <c r="I653" s="17"/>
      <c r="O653" s="11" t="s">
        <v>27</v>
      </c>
      <c r="Y653" s="64">
        <f t="shared" si="20"/>
        <v>0</v>
      </c>
      <c r="AA653" s="64">
        <f t="shared" si="21"/>
        <v>0</v>
      </c>
      <c r="AB653" s="64" t="str">
        <f>IF($B653="","",(COUNTIFS(Rships!$C$2:$C$9990,$A653,Rships!$D$2:$D$9990,1)))</f>
        <v/>
      </c>
      <c r="AC653" s="64" t="str">
        <f>IF($B653="","",(COUNTIFS(Rships!$C$2:$C$9990,$A653,Rships!$D$2:$D$9990,2)))</f>
        <v/>
      </c>
      <c r="AD653" s="64" t="str">
        <f>IF($B653="","",(COUNTIFS(Rships!$C$2:$C$9990,$A653,Rships!$D$2:$D$9990,3)))</f>
        <v/>
      </c>
      <c r="AE653" s="64" t="str">
        <f>IF($B653="","",(COUNTIFS(Rships!$C$2:$C$9990,$A653,Rships!$D$2:$D$9990,4)))</f>
        <v/>
      </c>
      <c r="AF653" s="64" t="str">
        <f>IF($B653="","",(COUNTIFS(Rships!$C$2:$C$9990,$A653,Rships!$D$2:$D$9990,5)))</f>
        <v/>
      </c>
      <c r="AG653" s="64" t="str">
        <f>IF($B653="","",(COUNTIFS(Rships!$C$2:$C$9990,$A653,Rships!$D$2:$D$9990,6)))</f>
        <v/>
      </c>
      <c r="AH653" s="64" t="str">
        <f>IF($B653="","",(COUNTIFS(Rships!$C$2:$C$9990,$A653,Rships!$D$2:$D$9990,7)))</f>
        <v/>
      </c>
    </row>
    <row r="654" spans="1:34">
      <c r="A654" s="1" t="s">
        <v>905</v>
      </c>
      <c r="C654" s="11" t="s">
        <v>19</v>
      </c>
      <c r="D654" s="11" t="s">
        <v>21</v>
      </c>
      <c r="F654" s="15"/>
      <c r="G654" s="15"/>
      <c r="I654" s="17"/>
      <c r="O654" s="11" t="s">
        <v>27</v>
      </c>
      <c r="Y654" s="64">
        <f t="shared" si="20"/>
        <v>0</v>
      </c>
      <c r="AA654" s="64">
        <f t="shared" si="21"/>
        <v>0</v>
      </c>
      <c r="AB654" s="64" t="str">
        <f>IF($B654="","",(COUNTIFS(Rships!$C$2:$C$9990,$A654,Rships!$D$2:$D$9990,1)))</f>
        <v/>
      </c>
      <c r="AC654" s="64" t="str">
        <f>IF($B654="","",(COUNTIFS(Rships!$C$2:$C$9990,$A654,Rships!$D$2:$D$9990,2)))</f>
        <v/>
      </c>
      <c r="AD654" s="64" t="str">
        <f>IF($B654="","",(COUNTIFS(Rships!$C$2:$C$9990,$A654,Rships!$D$2:$D$9990,3)))</f>
        <v/>
      </c>
      <c r="AE654" s="64" t="str">
        <f>IF($B654="","",(COUNTIFS(Rships!$C$2:$C$9990,$A654,Rships!$D$2:$D$9990,4)))</f>
        <v/>
      </c>
      <c r="AF654" s="64" t="str">
        <f>IF($B654="","",(COUNTIFS(Rships!$C$2:$C$9990,$A654,Rships!$D$2:$D$9990,5)))</f>
        <v/>
      </c>
      <c r="AG654" s="64" t="str">
        <f>IF($B654="","",(COUNTIFS(Rships!$C$2:$C$9990,$A654,Rships!$D$2:$D$9990,6)))</f>
        <v/>
      </c>
      <c r="AH654" s="64" t="str">
        <f>IF($B654="","",(COUNTIFS(Rships!$C$2:$C$9990,$A654,Rships!$D$2:$D$9990,7)))</f>
        <v/>
      </c>
    </row>
    <row r="655" spans="1:34">
      <c r="A655" s="1" t="s">
        <v>906</v>
      </c>
      <c r="C655" s="11" t="s">
        <v>19</v>
      </c>
      <c r="D655" s="11" t="s">
        <v>21</v>
      </c>
      <c r="F655" s="15"/>
      <c r="G655" s="15"/>
      <c r="I655" s="17"/>
      <c r="O655" s="11" t="s">
        <v>27</v>
      </c>
      <c r="Y655" s="64">
        <f t="shared" si="20"/>
        <v>0</v>
      </c>
      <c r="AA655" s="64">
        <f t="shared" si="21"/>
        <v>0</v>
      </c>
      <c r="AB655" s="64" t="str">
        <f>IF($B655="","",(COUNTIFS(Rships!$C$2:$C$9990,$A655,Rships!$D$2:$D$9990,1)))</f>
        <v/>
      </c>
      <c r="AC655" s="64" t="str">
        <f>IF($B655="","",(COUNTIFS(Rships!$C$2:$C$9990,$A655,Rships!$D$2:$D$9990,2)))</f>
        <v/>
      </c>
      <c r="AD655" s="64" t="str">
        <f>IF($B655="","",(COUNTIFS(Rships!$C$2:$C$9990,$A655,Rships!$D$2:$D$9990,3)))</f>
        <v/>
      </c>
      <c r="AE655" s="64" t="str">
        <f>IF($B655="","",(COUNTIFS(Rships!$C$2:$C$9990,$A655,Rships!$D$2:$D$9990,4)))</f>
        <v/>
      </c>
      <c r="AF655" s="64" t="str">
        <f>IF($B655="","",(COUNTIFS(Rships!$C$2:$C$9990,$A655,Rships!$D$2:$D$9990,5)))</f>
        <v/>
      </c>
      <c r="AG655" s="64" t="str">
        <f>IF($B655="","",(COUNTIFS(Rships!$C$2:$C$9990,$A655,Rships!$D$2:$D$9990,6)))</f>
        <v/>
      </c>
      <c r="AH655" s="64" t="str">
        <f>IF($B655="","",(COUNTIFS(Rships!$C$2:$C$9990,$A655,Rships!$D$2:$D$9990,7)))</f>
        <v/>
      </c>
    </row>
    <row r="656" spans="1:34">
      <c r="A656" s="1" t="s">
        <v>907</v>
      </c>
      <c r="C656" s="11" t="s">
        <v>19</v>
      </c>
      <c r="D656" s="11" t="s">
        <v>21</v>
      </c>
      <c r="F656" s="15"/>
      <c r="G656" s="15"/>
      <c r="I656" s="17"/>
      <c r="O656" s="11" t="s">
        <v>27</v>
      </c>
      <c r="Y656" s="64">
        <f t="shared" si="20"/>
        <v>0</v>
      </c>
      <c r="AA656" s="64">
        <f t="shared" si="21"/>
        <v>0</v>
      </c>
      <c r="AB656" s="64" t="str">
        <f>IF($B656="","",(COUNTIFS(Rships!$C$2:$C$9990,$A656,Rships!$D$2:$D$9990,1)))</f>
        <v/>
      </c>
      <c r="AC656" s="64" t="str">
        <f>IF($B656="","",(COUNTIFS(Rships!$C$2:$C$9990,$A656,Rships!$D$2:$D$9990,2)))</f>
        <v/>
      </c>
      <c r="AD656" s="64" t="str">
        <f>IF($B656="","",(COUNTIFS(Rships!$C$2:$C$9990,$A656,Rships!$D$2:$D$9990,3)))</f>
        <v/>
      </c>
      <c r="AE656" s="64" t="str">
        <f>IF($B656="","",(COUNTIFS(Rships!$C$2:$C$9990,$A656,Rships!$D$2:$D$9990,4)))</f>
        <v/>
      </c>
      <c r="AF656" s="64" t="str">
        <f>IF($B656="","",(COUNTIFS(Rships!$C$2:$C$9990,$A656,Rships!$D$2:$D$9990,5)))</f>
        <v/>
      </c>
      <c r="AG656" s="64" t="str">
        <f>IF($B656="","",(COUNTIFS(Rships!$C$2:$C$9990,$A656,Rships!$D$2:$D$9990,6)))</f>
        <v/>
      </c>
      <c r="AH656" s="64" t="str">
        <f>IF($B656="","",(COUNTIFS(Rships!$C$2:$C$9990,$A656,Rships!$D$2:$D$9990,7)))</f>
        <v/>
      </c>
    </row>
    <row r="657" spans="1:34">
      <c r="A657" s="1" t="s">
        <v>908</v>
      </c>
      <c r="C657" s="11" t="s">
        <v>19</v>
      </c>
      <c r="D657" s="11" t="s">
        <v>21</v>
      </c>
      <c r="F657" s="15"/>
      <c r="G657" s="15"/>
      <c r="I657" s="17"/>
      <c r="O657" s="11" t="s">
        <v>27</v>
      </c>
      <c r="Y657" s="64">
        <f t="shared" si="20"/>
        <v>0</v>
      </c>
      <c r="AA657" s="64">
        <f t="shared" si="21"/>
        <v>0</v>
      </c>
      <c r="AB657" s="64" t="str">
        <f>IF($B657="","",(COUNTIFS(Rships!$C$2:$C$9990,$A657,Rships!$D$2:$D$9990,1)))</f>
        <v/>
      </c>
      <c r="AC657" s="64" t="str">
        <f>IF($B657="","",(COUNTIFS(Rships!$C$2:$C$9990,$A657,Rships!$D$2:$D$9990,2)))</f>
        <v/>
      </c>
      <c r="AD657" s="64" t="str">
        <f>IF($B657="","",(COUNTIFS(Rships!$C$2:$C$9990,$A657,Rships!$D$2:$D$9990,3)))</f>
        <v/>
      </c>
      <c r="AE657" s="64" t="str">
        <f>IF($B657="","",(COUNTIFS(Rships!$C$2:$C$9990,$A657,Rships!$D$2:$D$9990,4)))</f>
        <v/>
      </c>
      <c r="AF657" s="64" t="str">
        <f>IF($B657="","",(COUNTIFS(Rships!$C$2:$C$9990,$A657,Rships!$D$2:$D$9990,5)))</f>
        <v/>
      </c>
      <c r="AG657" s="64" t="str">
        <f>IF($B657="","",(COUNTIFS(Rships!$C$2:$C$9990,$A657,Rships!$D$2:$D$9990,6)))</f>
        <v/>
      </c>
      <c r="AH657" s="64" t="str">
        <f>IF($B657="","",(COUNTIFS(Rships!$C$2:$C$9990,$A657,Rships!$D$2:$D$9990,7)))</f>
        <v/>
      </c>
    </row>
    <row r="658" spans="1:34">
      <c r="A658" s="1" t="s">
        <v>909</v>
      </c>
      <c r="C658" s="11" t="s">
        <v>19</v>
      </c>
      <c r="D658" s="11" t="s">
        <v>21</v>
      </c>
      <c r="F658" s="15"/>
      <c r="G658" s="15"/>
      <c r="I658" s="17"/>
      <c r="O658" s="11" t="s">
        <v>27</v>
      </c>
      <c r="Y658" s="64">
        <f t="shared" si="20"/>
        <v>0</v>
      </c>
      <c r="AA658" s="64">
        <f t="shared" si="21"/>
        <v>0</v>
      </c>
      <c r="AB658" s="64" t="str">
        <f>IF($B658="","",(COUNTIFS(Rships!$C$2:$C$9990,$A658,Rships!$D$2:$D$9990,1)))</f>
        <v/>
      </c>
      <c r="AC658" s="64" t="str">
        <f>IF($B658="","",(COUNTIFS(Rships!$C$2:$C$9990,$A658,Rships!$D$2:$D$9990,2)))</f>
        <v/>
      </c>
      <c r="AD658" s="64" t="str">
        <f>IF($B658="","",(COUNTIFS(Rships!$C$2:$C$9990,$A658,Rships!$D$2:$D$9990,3)))</f>
        <v/>
      </c>
      <c r="AE658" s="64" t="str">
        <f>IF($B658="","",(COUNTIFS(Rships!$C$2:$C$9990,$A658,Rships!$D$2:$D$9990,4)))</f>
        <v/>
      </c>
      <c r="AF658" s="64" t="str">
        <f>IF($B658="","",(COUNTIFS(Rships!$C$2:$C$9990,$A658,Rships!$D$2:$D$9990,5)))</f>
        <v/>
      </c>
      <c r="AG658" s="64" t="str">
        <f>IF($B658="","",(COUNTIFS(Rships!$C$2:$C$9990,$A658,Rships!$D$2:$D$9990,6)))</f>
        <v/>
      </c>
      <c r="AH658" s="64" t="str">
        <f>IF($B658="","",(COUNTIFS(Rships!$C$2:$C$9990,$A658,Rships!$D$2:$D$9990,7)))</f>
        <v/>
      </c>
    </row>
    <row r="659" spans="1:34">
      <c r="A659" s="1" t="s">
        <v>910</v>
      </c>
      <c r="C659" s="11" t="s">
        <v>19</v>
      </c>
      <c r="D659" s="11" t="s">
        <v>21</v>
      </c>
      <c r="F659" s="15"/>
      <c r="G659" s="15"/>
      <c r="I659" s="17"/>
      <c r="O659" s="11" t="s">
        <v>27</v>
      </c>
      <c r="Y659" s="64">
        <f t="shared" si="20"/>
        <v>0</v>
      </c>
      <c r="AA659" s="64">
        <f t="shared" si="21"/>
        <v>0</v>
      </c>
      <c r="AB659" s="64" t="str">
        <f>IF($B659="","",(COUNTIFS(Rships!$C$2:$C$9990,$A659,Rships!$D$2:$D$9990,1)))</f>
        <v/>
      </c>
      <c r="AC659" s="64" t="str">
        <f>IF($B659="","",(COUNTIFS(Rships!$C$2:$C$9990,$A659,Rships!$D$2:$D$9990,2)))</f>
        <v/>
      </c>
      <c r="AD659" s="64" t="str">
        <f>IF($B659="","",(COUNTIFS(Rships!$C$2:$C$9990,$A659,Rships!$D$2:$D$9990,3)))</f>
        <v/>
      </c>
      <c r="AE659" s="64" t="str">
        <f>IF($B659="","",(COUNTIFS(Rships!$C$2:$C$9990,$A659,Rships!$D$2:$D$9990,4)))</f>
        <v/>
      </c>
      <c r="AF659" s="64" t="str">
        <f>IF($B659="","",(COUNTIFS(Rships!$C$2:$C$9990,$A659,Rships!$D$2:$D$9990,5)))</f>
        <v/>
      </c>
      <c r="AG659" s="64" t="str">
        <f>IF($B659="","",(COUNTIFS(Rships!$C$2:$C$9990,$A659,Rships!$D$2:$D$9990,6)))</f>
        <v/>
      </c>
      <c r="AH659" s="64" t="str">
        <f>IF($B659="","",(COUNTIFS(Rships!$C$2:$C$9990,$A659,Rships!$D$2:$D$9990,7)))</f>
        <v/>
      </c>
    </row>
    <row r="660" spans="1:34">
      <c r="A660" s="1" t="s">
        <v>911</v>
      </c>
      <c r="C660" s="11" t="s">
        <v>19</v>
      </c>
      <c r="D660" s="11" t="s">
        <v>21</v>
      </c>
      <c r="F660" s="15"/>
      <c r="G660" s="15"/>
      <c r="I660" s="17"/>
      <c r="O660" s="11" t="s">
        <v>27</v>
      </c>
      <c r="Y660" s="64">
        <f t="shared" si="20"/>
        <v>0</v>
      </c>
      <c r="AA660" s="64">
        <f t="shared" si="21"/>
        <v>0</v>
      </c>
      <c r="AB660" s="64" t="str">
        <f>IF($B660="","",(COUNTIFS(Rships!$C$2:$C$9990,$A660,Rships!$D$2:$D$9990,1)))</f>
        <v/>
      </c>
      <c r="AC660" s="64" t="str">
        <f>IF($B660="","",(COUNTIFS(Rships!$C$2:$C$9990,$A660,Rships!$D$2:$D$9990,2)))</f>
        <v/>
      </c>
      <c r="AD660" s="64" t="str">
        <f>IF($B660="","",(COUNTIFS(Rships!$C$2:$C$9990,$A660,Rships!$D$2:$D$9990,3)))</f>
        <v/>
      </c>
      <c r="AE660" s="64" t="str">
        <f>IF($B660="","",(COUNTIFS(Rships!$C$2:$C$9990,$A660,Rships!$D$2:$D$9990,4)))</f>
        <v/>
      </c>
      <c r="AF660" s="64" t="str">
        <f>IF($B660="","",(COUNTIFS(Rships!$C$2:$C$9990,$A660,Rships!$D$2:$D$9990,5)))</f>
        <v/>
      </c>
      <c r="AG660" s="64" t="str">
        <f>IF($B660="","",(COUNTIFS(Rships!$C$2:$C$9990,$A660,Rships!$D$2:$D$9990,6)))</f>
        <v/>
      </c>
      <c r="AH660" s="64" t="str">
        <f>IF($B660="","",(COUNTIFS(Rships!$C$2:$C$9990,$A660,Rships!$D$2:$D$9990,7)))</f>
        <v/>
      </c>
    </row>
    <row r="661" spans="1:34">
      <c r="A661" s="1" t="s">
        <v>912</v>
      </c>
      <c r="C661" s="11" t="s">
        <v>19</v>
      </c>
      <c r="D661" s="11" t="s">
        <v>21</v>
      </c>
      <c r="F661" s="15"/>
      <c r="G661" s="15"/>
      <c r="I661" s="17"/>
      <c r="O661" s="11" t="s">
        <v>27</v>
      </c>
      <c r="Y661" s="64">
        <f t="shared" si="20"/>
        <v>0</v>
      </c>
      <c r="AA661" s="64">
        <f t="shared" si="21"/>
        <v>0</v>
      </c>
      <c r="AB661" s="64" t="str">
        <f>IF($B661="","",(COUNTIFS(Rships!$C$2:$C$9990,$A661,Rships!$D$2:$D$9990,1)))</f>
        <v/>
      </c>
      <c r="AC661" s="64" t="str">
        <f>IF($B661="","",(COUNTIFS(Rships!$C$2:$C$9990,$A661,Rships!$D$2:$D$9990,2)))</f>
        <v/>
      </c>
      <c r="AD661" s="64" t="str">
        <f>IF($B661="","",(COUNTIFS(Rships!$C$2:$C$9990,$A661,Rships!$D$2:$D$9990,3)))</f>
        <v/>
      </c>
      <c r="AE661" s="64" t="str">
        <f>IF($B661="","",(COUNTIFS(Rships!$C$2:$C$9990,$A661,Rships!$D$2:$D$9990,4)))</f>
        <v/>
      </c>
      <c r="AF661" s="64" t="str">
        <f>IF($B661="","",(COUNTIFS(Rships!$C$2:$C$9990,$A661,Rships!$D$2:$D$9990,5)))</f>
        <v/>
      </c>
      <c r="AG661" s="64" t="str">
        <f>IF($B661="","",(COUNTIFS(Rships!$C$2:$C$9990,$A661,Rships!$D$2:$D$9990,6)))</f>
        <v/>
      </c>
      <c r="AH661" s="64" t="str">
        <f>IF($B661="","",(COUNTIFS(Rships!$C$2:$C$9990,$A661,Rships!$D$2:$D$9990,7)))</f>
        <v/>
      </c>
    </row>
    <row r="662" spans="1:34">
      <c r="A662" s="1" t="s">
        <v>913</v>
      </c>
      <c r="C662" s="11" t="s">
        <v>19</v>
      </c>
      <c r="D662" s="11" t="s">
        <v>21</v>
      </c>
      <c r="F662" s="15"/>
      <c r="G662" s="15"/>
      <c r="I662" s="17"/>
      <c r="O662" s="11" t="s">
        <v>27</v>
      </c>
      <c r="Y662" s="64">
        <f t="shared" si="20"/>
        <v>0</v>
      </c>
      <c r="AA662" s="64">
        <f t="shared" si="21"/>
        <v>0</v>
      </c>
      <c r="AB662" s="64" t="str">
        <f>IF($B662="","",(COUNTIFS(Rships!$C$2:$C$9990,$A662,Rships!$D$2:$D$9990,1)))</f>
        <v/>
      </c>
      <c r="AC662" s="64" t="str">
        <f>IF($B662="","",(COUNTIFS(Rships!$C$2:$C$9990,$A662,Rships!$D$2:$D$9990,2)))</f>
        <v/>
      </c>
      <c r="AD662" s="64" t="str">
        <f>IF($B662="","",(COUNTIFS(Rships!$C$2:$C$9990,$A662,Rships!$D$2:$D$9990,3)))</f>
        <v/>
      </c>
      <c r="AE662" s="64" t="str">
        <f>IF($B662="","",(COUNTIFS(Rships!$C$2:$C$9990,$A662,Rships!$D$2:$D$9990,4)))</f>
        <v/>
      </c>
      <c r="AF662" s="64" t="str">
        <f>IF($B662="","",(COUNTIFS(Rships!$C$2:$C$9990,$A662,Rships!$D$2:$D$9990,5)))</f>
        <v/>
      </c>
      <c r="AG662" s="64" t="str">
        <f>IF($B662="","",(COUNTIFS(Rships!$C$2:$C$9990,$A662,Rships!$D$2:$D$9990,6)))</f>
        <v/>
      </c>
      <c r="AH662" s="64" t="str">
        <f>IF($B662="","",(COUNTIFS(Rships!$C$2:$C$9990,$A662,Rships!$D$2:$D$9990,7)))</f>
        <v/>
      </c>
    </row>
    <row r="663" spans="1:34">
      <c r="A663" s="1" t="s">
        <v>914</v>
      </c>
      <c r="C663" s="11" t="s">
        <v>19</v>
      </c>
      <c r="D663" s="11" t="s">
        <v>21</v>
      </c>
      <c r="F663" s="15"/>
      <c r="G663" s="15"/>
      <c r="I663" s="17"/>
      <c r="O663" s="11" t="s">
        <v>27</v>
      </c>
      <c r="Y663" s="64">
        <f t="shared" si="20"/>
        <v>0</v>
      </c>
      <c r="AA663" s="64">
        <f t="shared" si="21"/>
        <v>0</v>
      </c>
      <c r="AB663" s="64" t="str">
        <f>IF($B663="","",(COUNTIFS(Rships!$C$2:$C$9990,$A663,Rships!$D$2:$D$9990,1)))</f>
        <v/>
      </c>
      <c r="AC663" s="64" t="str">
        <f>IF($B663="","",(COUNTIFS(Rships!$C$2:$C$9990,$A663,Rships!$D$2:$D$9990,2)))</f>
        <v/>
      </c>
      <c r="AD663" s="64" t="str">
        <f>IF($B663="","",(COUNTIFS(Rships!$C$2:$C$9990,$A663,Rships!$D$2:$D$9990,3)))</f>
        <v/>
      </c>
      <c r="AE663" s="64" t="str">
        <f>IF($B663="","",(COUNTIFS(Rships!$C$2:$C$9990,$A663,Rships!$D$2:$D$9990,4)))</f>
        <v/>
      </c>
      <c r="AF663" s="64" t="str">
        <f>IF($B663="","",(COUNTIFS(Rships!$C$2:$C$9990,$A663,Rships!$D$2:$D$9990,5)))</f>
        <v/>
      </c>
      <c r="AG663" s="64" t="str">
        <f>IF($B663="","",(COUNTIFS(Rships!$C$2:$C$9990,$A663,Rships!$D$2:$D$9990,6)))</f>
        <v/>
      </c>
      <c r="AH663" s="64" t="str">
        <f>IF($B663="","",(COUNTIFS(Rships!$C$2:$C$9990,$A663,Rships!$D$2:$D$9990,7)))</f>
        <v/>
      </c>
    </row>
    <row r="664" spans="1:34">
      <c r="A664" s="1" t="s">
        <v>915</v>
      </c>
      <c r="C664" s="11" t="s">
        <v>19</v>
      </c>
      <c r="D664" s="11" t="s">
        <v>21</v>
      </c>
      <c r="F664" s="15"/>
      <c r="G664" s="15"/>
      <c r="I664" s="17"/>
      <c r="O664" s="11" t="s">
        <v>27</v>
      </c>
      <c r="Y664" s="64">
        <f t="shared" si="20"/>
        <v>0</v>
      </c>
      <c r="AA664" s="64">
        <f t="shared" si="21"/>
        <v>0</v>
      </c>
      <c r="AB664" s="64" t="str">
        <f>IF($B664="","",(COUNTIFS(Rships!$C$2:$C$9990,$A664,Rships!$D$2:$D$9990,1)))</f>
        <v/>
      </c>
      <c r="AC664" s="64" t="str">
        <f>IF($B664="","",(COUNTIFS(Rships!$C$2:$C$9990,$A664,Rships!$D$2:$D$9990,2)))</f>
        <v/>
      </c>
      <c r="AD664" s="64" t="str">
        <f>IF($B664="","",(COUNTIFS(Rships!$C$2:$C$9990,$A664,Rships!$D$2:$D$9990,3)))</f>
        <v/>
      </c>
      <c r="AE664" s="64" t="str">
        <f>IF($B664="","",(COUNTIFS(Rships!$C$2:$C$9990,$A664,Rships!$D$2:$D$9990,4)))</f>
        <v/>
      </c>
      <c r="AF664" s="64" t="str">
        <f>IF($B664="","",(COUNTIFS(Rships!$C$2:$C$9990,$A664,Rships!$D$2:$D$9990,5)))</f>
        <v/>
      </c>
      <c r="AG664" s="64" t="str">
        <f>IF($B664="","",(COUNTIFS(Rships!$C$2:$C$9990,$A664,Rships!$D$2:$D$9990,6)))</f>
        <v/>
      </c>
      <c r="AH664" s="64" t="str">
        <f>IF($B664="","",(COUNTIFS(Rships!$C$2:$C$9990,$A664,Rships!$D$2:$D$9990,7)))</f>
        <v/>
      </c>
    </row>
    <row r="665" spans="1:34">
      <c r="A665" s="1" t="s">
        <v>916</v>
      </c>
      <c r="C665" s="11" t="s">
        <v>19</v>
      </c>
      <c r="D665" s="11" t="s">
        <v>21</v>
      </c>
      <c r="F665" s="15"/>
      <c r="G665" s="15"/>
      <c r="I665" s="17"/>
      <c r="O665" s="11" t="s">
        <v>27</v>
      </c>
      <c r="Y665" s="64">
        <f t="shared" si="20"/>
        <v>0</v>
      </c>
      <c r="AA665" s="64">
        <f t="shared" si="21"/>
        <v>0</v>
      </c>
      <c r="AB665" s="64" t="str">
        <f>IF($B665="","",(COUNTIFS(Rships!$C$2:$C$9990,$A665,Rships!$D$2:$D$9990,1)))</f>
        <v/>
      </c>
      <c r="AC665" s="64" t="str">
        <f>IF($B665="","",(COUNTIFS(Rships!$C$2:$C$9990,$A665,Rships!$D$2:$D$9990,2)))</f>
        <v/>
      </c>
      <c r="AD665" s="64" t="str">
        <f>IF($B665="","",(COUNTIFS(Rships!$C$2:$C$9990,$A665,Rships!$D$2:$D$9990,3)))</f>
        <v/>
      </c>
      <c r="AE665" s="64" t="str">
        <f>IF($B665="","",(COUNTIFS(Rships!$C$2:$C$9990,$A665,Rships!$D$2:$D$9990,4)))</f>
        <v/>
      </c>
      <c r="AF665" s="64" t="str">
        <f>IF($B665="","",(COUNTIFS(Rships!$C$2:$C$9990,$A665,Rships!$D$2:$D$9990,5)))</f>
        <v/>
      </c>
      <c r="AG665" s="64" t="str">
        <f>IF($B665="","",(COUNTIFS(Rships!$C$2:$C$9990,$A665,Rships!$D$2:$D$9990,6)))</f>
        <v/>
      </c>
      <c r="AH665" s="64" t="str">
        <f>IF($B665="","",(COUNTIFS(Rships!$C$2:$C$9990,$A665,Rships!$D$2:$D$9990,7)))</f>
        <v/>
      </c>
    </row>
    <row r="666" spans="1:34" ht="15">
      <c r="A666" s="1" t="s">
        <v>207</v>
      </c>
      <c r="B666" s="13" t="s">
        <v>921</v>
      </c>
      <c r="C666" s="11" t="s">
        <v>19</v>
      </c>
      <c r="D666" s="11" t="s">
        <v>21</v>
      </c>
      <c r="E666" s="11" t="s">
        <v>1406</v>
      </c>
      <c r="F666" s="30" t="s">
        <v>1407</v>
      </c>
      <c r="G666" s="30" t="s">
        <v>1408</v>
      </c>
      <c r="H666" s="16">
        <v>7503285333080</v>
      </c>
      <c r="I666" s="17">
        <v>794040414</v>
      </c>
      <c r="J666" s="82" t="s">
        <v>1409</v>
      </c>
      <c r="K666" s="29" t="s">
        <v>1410</v>
      </c>
      <c r="L666" s="16">
        <v>9324</v>
      </c>
      <c r="M666" s="11" t="s">
        <v>1411</v>
      </c>
      <c r="N666" s="16">
        <v>9324</v>
      </c>
      <c r="O666" s="11" t="s">
        <v>26</v>
      </c>
      <c r="Q666" s="11" t="s">
        <v>1412</v>
      </c>
      <c r="R666" s="11" t="s">
        <v>135</v>
      </c>
      <c r="S666" s="11" t="s">
        <v>1413</v>
      </c>
      <c r="T666" s="11" t="s">
        <v>1414</v>
      </c>
      <c r="U666" s="16">
        <v>240811291</v>
      </c>
      <c r="V666" s="11" t="s">
        <v>29</v>
      </c>
      <c r="W666" s="26">
        <v>41605</v>
      </c>
      <c r="X666" s="46">
        <v>41572</v>
      </c>
      <c r="Y666" s="64">
        <f t="shared" si="20"/>
        <v>0</v>
      </c>
      <c r="Z666" s="11" t="s">
        <v>123</v>
      </c>
      <c r="AA666" s="64">
        <f t="shared" si="21"/>
        <v>1</v>
      </c>
      <c r="AB666" s="64">
        <f>IF($B666="","",(COUNTIFS(Rships!$C$2:$C$9990,$A666,Rships!$D$2:$D$9990,1)))</f>
        <v>1</v>
      </c>
      <c r="AC666" s="64">
        <f>IF($B666="","",(COUNTIFS(Rships!$C$2:$C$9990,$A666,Rships!$D$2:$D$9990,2)))</f>
        <v>0</v>
      </c>
      <c r="AD666" s="64">
        <f>IF($B666="","",(COUNTIFS(Rships!$C$2:$C$9990,$A666,Rships!$D$2:$D$9990,3)))</f>
        <v>0</v>
      </c>
      <c r="AE666" s="64">
        <f>IF($B666="","",(COUNTIFS(Rships!$C$2:$C$9990,$A666,Rships!$D$2:$D$9990,4)))</f>
        <v>0</v>
      </c>
      <c r="AF666" s="64">
        <f>IF($B666="","",(COUNTIFS(Rships!$C$2:$C$9990,$A666,Rships!$D$2:$D$9990,5)))</f>
        <v>0</v>
      </c>
      <c r="AG666" s="64">
        <f>IF($B666="","",(COUNTIFS(Rships!$C$2:$C$9990,$A666,Rships!$D$2:$D$9990,6)))</f>
        <v>0</v>
      </c>
      <c r="AH666" s="64">
        <f>IF($B666="","",(COUNTIFS(Rships!$C$2:$C$9990,$A666,Rships!$D$2:$D$9990,7)))</f>
        <v>0</v>
      </c>
    </row>
    <row r="667" spans="1:34" s="29" customFormat="1">
      <c r="A667" s="1" t="s">
        <v>917</v>
      </c>
      <c r="B667" s="35" t="s">
        <v>57</v>
      </c>
      <c r="C667" s="29" t="s">
        <v>19</v>
      </c>
      <c r="D667" s="29" t="s">
        <v>22</v>
      </c>
      <c r="E667" s="29" t="s">
        <v>240</v>
      </c>
      <c r="F667" s="29" t="s">
        <v>241</v>
      </c>
      <c r="G667" s="29" t="s">
        <v>242</v>
      </c>
      <c r="H667" s="31">
        <v>6311250421083</v>
      </c>
      <c r="I667" s="32">
        <v>797747334</v>
      </c>
      <c r="J667" s="30" t="s">
        <v>139</v>
      </c>
      <c r="K667" s="29" t="s">
        <v>243</v>
      </c>
      <c r="L667" s="31">
        <v>9306</v>
      </c>
      <c r="M667" s="29" t="s">
        <v>243</v>
      </c>
      <c r="N667" s="31">
        <v>9306</v>
      </c>
      <c r="O667" s="29" t="s">
        <v>27</v>
      </c>
      <c r="P667" s="34"/>
      <c r="Q667" s="29" t="s">
        <v>164</v>
      </c>
      <c r="R667" s="29" t="s">
        <v>238</v>
      </c>
      <c r="S667" s="29" t="s">
        <v>123</v>
      </c>
      <c r="T667" s="29" t="s">
        <v>244</v>
      </c>
      <c r="U667" s="31">
        <v>1122252348</v>
      </c>
      <c r="V667" s="29" t="s">
        <v>31</v>
      </c>
      <c r="W667" s="36">
        <v>41608</v>
      </c>
      <c r="X667" s="48">
        <v>41591</v>
      </c>
      <c r="Y667" s="64">
        <f t="shared" si="20"/>
        <v>0</v>
      </c>
      <c r="Z667" s="29" t="s">
        <v>123</v>
      </c>
      <c r="AA667" s="64">
        <f t="shared" si="21"/>
        <v>3</v>
      </c>
      <c r="AB667" s="64">
        <f>IF($B667="","",(COUNTIFS(Rships!$C$2:$C$9990,$A667,Rships!$D$2:$D$9990,1)))</f>
        <v>0</v>
      </c>
      <c r="AC667" s="64">
        <f>IF($B667="","",(COUNTIFS(Rships!$C$2:$C$9990,$A667,Rships!$D$2:$D$9990,2)))</f>
        <v>2</v>
      </c>
      <c r="AD667" s="64">
        <f>IF($B667="","",(COUNTIFS(Rships!$C$2:$C$9990,$A667,Rships!$D$2:$D$9990,3)))</f>
        <v>1</v>
      </c>
      <c r="AE667" s="64">
        <f>IF($B667="","",(COUNTIFS(Rships!$C$2:$C$9990,$A667,Rships!$D$2:$D$9990,4)))</f>
        <v>0</v>
      </c>
      <c r="AF667" s="64">
        <f>IF($B667="","",(COUNTIFS(Rships!$C$2:$C$9990,$A667,Rships!$D$2:$D$9990,5)))</f>
        <v>0</v>
      </c>
      <c r="AG667" s="64">
        <f>IF($B667="","",(COUNTIFS(Rships!$C$2:$C$9990,$A667,Rships!$D$2:$D$9990,6)))</f>
        <v>0</v>
      </c>
      <c r="AH667" s="64">
        <f>IF($B667="","",(COUNTIFS(Rships!$C$2:$C$9990,$A667,Rships!$D$2:$D$9990,7)))</f>
        <v>0</v>
      </c>
    </row>
    <row r="668" spans="1:34">
      <c r="A668" s="1" t="s">
        <v>918</v>
      </c>
      <c r="C668" s="11" t="s">
        <v>19</v>
      </c>
      <c r="D668" s="11" t="s">
        <v>21</v>
      </c>
      <c r="F668" s="15"/>
      <c r="G668" s="15"/>
      <c r="I668" s="17"/>
      <c r="O668" s="11" t="s">
        <v>27</v>
      </c>
      <c r="W668" s="36"/>
      <c r="Y668" s="64">
        <f t="shared" si="20"/>
        <v>0</v>
      </c>
      <c r="AA668" s="64">
        <f t="shared" si="21"/>
        <v>0</v>
      </c>
      <c r="AB668" s="64" t="str">
        <f>IF($B668="","",(COUNTIFS(Rships!$C$2:$C$9990,$A668,Rships!$D$2:$D$9990,1)))</f>
        <v/>
      </c>
      <c r="AC668" s="64" t="str">
        <f>IF($B668="","",(COUNTIFS(Rships!$C$2:$C$9990,$A668,Rships!$D$2:$D$9990,2)))</f>
        <v/>
      </c>
      <c r="AD668" s="64" t="str">
        <f>IF($B668="","",(COUNTIFS(Rships!$C$2:$C$9990,$A668,Rships!$D$2:$D$9990,3)))</f>
        <v/>
      </c>
      <c r="AE668" s="64" t="str">
        <f>IF($B668="","",(COUNTIFS(Rships!$C$2:$C$9990,$A668,Rships!$D$2:$D$9990,4)))</f>
        <v/>
      </c>
      <c r="AF668" s="64" t="str">
        <f>IF($B668="","",(COUNTIFS(Rships!$C$2:$C$9990,$A668,Rships!$D$2:$D$9990,5)))</f>
        <v/>
      </c>
      <c r="AG668" s="64" t="str">
        <f>IF($B668="","",(COUNTIFS(Rships!$C$2:$C$9990,$A668,Rships!$D$2:$D$9990,6)))</f>
        <v/>
      </c>
      <c r="AH668" s="64" t="str">
        <f>IF($B668="","",(COUNTIFS(Rships!$C$2:$C$9990,$A668,Rships!$D$2:$D$9990,7)))</f>
        <v/>
      </c>
    </row>
    <row r="669" spans="1:34">
      <c r="A669" s="1" t="s">
        <v>919</v>
      </c>
      <c r="C669" s="11" t="s">
        <v>19</v>
      </c>
      <c r="D669" s="11" t="s">
        <v>21</v>
      </c>
      <c r="F669" s="15"/>
      <c r="G669" s="15"/>
      <c r="I669" s="17"/>
      <c r="O669" s="11" t="s">
        <v>27</v>
      </c>
      <c r="Y669" s="64">
        <f t="shared" si="20"/>
        <v>0</v>
      </c>
      <c r="AA669" s="64">
        <f t="shared" si="21"/>
        <v>0</v>
      </c>
      <c r="AB669" s="64" t="str">
        <f>IF($B669="","",(COUNTIFS(Rships!$C$2:$C$9990,$A669,Rships!$D$2:$D$9990,1)))</f>
        <v/>
      </c>
      <c r="AC669" s="64" t="str">
        <f>IF($B669="","",(COUNTIFS(Rships!$C$2:$C$9990,$A669,Rships!$D$2:$D$9990,2)))</f>
        <v/>
      </c>
      <c r="AD669" s="64" t="str">
        <f>IF($B669="","",(COUNTIFS(Rships!$C$2:$C$9990,$A669,Rships!$D$2:$D$9990,3)))</f>
        <v/>
      </c>
      <c r="AE669" s="64" t="str">
        <f>IF($B669="","",(COUNTIFS(Rships!$C$2:$C$9990,$A669,Rships!$D$2:$D$9990,4)))</f>
        <v/>
      </c>
      <c r="AF669" s="64" t="str">
        <f>IF($B669="","",(COUNTIFS(Rships!$C$2:$C$9990,$A669,Rships!$D$2:$D$9990,5)))</f>
        <v/>
      </c>
      <c r="AG669" s="64" t="str">
        <f>IF($B669="","",(COUNTIFS(Rships!$C$2:$C$9990,$A669,Rships!$D$2:$D$9990,6)))</f>
        <v/>
      </c>
      <c r="AH669" s="64" t="str">
        <f>IF($B669="","",(COUNTIFS(Rships!$C$2:$C$9990,$A669,Rships!$D$2:$D$9990,7)))</f>
        <v/>
      </c>
    </row>
    <row r="670" spans="1:34">
      <c r="A670" s="1" t="s">
        <v>920</v>
      </c>
      <c r="C670" s="11" t="s">
        <v>19</v>
      </c>
      <c r="D670" s="11" t="s">
        <v>21</v>
      </c>
      <c r="F670" s="15"/>
      <c r="G670" s="15"/>
      <c r="I670" s="17"/>
      <c r="O670" s="11" t="s">
        <v>27</v>
      </c>
      <c r="Y670" s="64">
        <f t="shared" si="20"/>
        <v>0</v>
      </c>
      <c r="AA670" s="64">
        <f t="shared" si="21"/>
        <v>0</v>
      </c>
      <c r="AB670" s="64" t="str">
        <f>IF($B670="","",(COUNTIFS(Rships!$C$2:$C$9990,$A670,Rships!$D$2:$D$9990,1)))</f>
        <v/>
      </c>
      <c r="AC670" s="64" t="str">
        <f>IF($B670="","",(COUNTIFS(Rships!$C$2:$C$9990,$A670,Rships!$D$2:$D$9990,2)))</f>
        <v/>
      </c>
      <c r="AD670" s="64" t="str">
        <f>IF($B670="","",(COUNTIFS(Rships!$C$2:$C$9990,$A670,Rships!$D$2:$D$9990,3)))</f>
        <v/>
      </c>
      <c r="AE670" s="64" t="str">
        <f>IF($B670="","",(COUNTIFS(Rships!$C$2:$C$9990,$A670,Rships!$D$2:$D$9990,4)))</f>
        <v/>
      </c>
      <c r="AF670" s="64" t="str">
        <f>IF($B670="","",(COUNTIFS(Rships!$C$2:$C$9990,$A670,Rships!$D$2:$D$9990,5)))</f>
        <v/>
      </c>
      <c r="AG670" s="64" t="str">
        <f>IF($B670="","",(COUNTIFS(Rships!$C$2:$C$9990,$A670,Rships!$D$2:$D$9990,6)))</f>
        <v/>
      </c>
      <c r="AH670" s="64" t="str">
        <f>IF($B670="","",(COUNTIFS(Rships!$C$2:$C$9990,$A670,Rships!$D$2:$D$9990,7)))</f>
        <v/>
      </c>
    </row>
    <row r="671" spans="1:34">
      <c r="A671" s="1" t="s">
        <v>921</v>
      </c>
      <c r="B671" s="13" t="s">
        <v>55</v>
      </c>
      <c r="C671" s="11" t="s">
        <v>19</v>
      </c>
      <c r="D671" s="11" t="s">
        <v>21</v>
      </c>
      <c r="E671" s="11" t="s">
        <v>138</v>
      </c>
      <c r="F671" s="15" t="s">
        <v>1401</v>
      </c>
      <c r="G671" s="15" t="s">
        <v>1402</v>
      </c>
      <c r="H671" s="16">
        <v>7811285877083</v>
      </c>
      <c r="I671" s="17">
        <v>781010258</v>
      </c>
      <c r="J671" s="15" t="s">
        <v>1403</v>
      </c>
      <c r="K671" s="11" t="s">
        <v>1404</v>
      </c>
      <c r="L671" s="16">
        <v>9781</v>
      </c>
      <c r="M671" s="11" t="s">
        <v>1404</v>
      </c>
      <c r="N671" s="16">
        <v>9781</v>
      </c>
      <c r="O671" s="11" t="s">
        <v>26</v>
      </c>
      <c r="Q671" s="11" t="s">
        <v>164</v>
      </c>
      <c r="R671" s="11" t="s">
        <v>238</v>
      </c>
      <c r="S671" s="11" t="s">
        <v>144</v>
      </c>
      <c r="T671" s="11" t="s">
        <v>1405</v>
      </c>
      <c r="U671" s="16">
        <v>1324813189</v>
      </c>
      <c r="V671" s="11" t="s">
        <v>31</v>
      </c>
      <c r="W671" s="26">
        <v>41610</v>
      </c>
      <c r="X671" s="46">
        <v>41572</v>
      </c>
      <c r="Y671" s="64">
        <f t="shared" si="20"/>
        <v>0</v>
      </c>
      <c r="Z671" s="11" t="s">
        <v>144</v>
      </c>
      <c r="AA671" s="64">
        <f t="shared" si="21"/>
        <v>2</v>
      </c>
      <c r="AB671" s="64">
        <f>IF($B671="","",(COUNTIFS(Rships!$C$2:$C$9990,$A671,Rships!$D$2:$D$9990,1)))</f>
        <v>1</v>
      </c>
      <c r="AC671" s="64">
        <f>IF($B671="","",(COUNTIFS(Rships!$C$2:$C$9990,$A671,Rships!$D$2:$D$9990,2)))</f>
        <v>1</v>
      </c>
      <c r="AD671" s="64">
        <f>IF($B671="","",(COUNTIFS(Rships!$C$2:$C$9990,$A671,Rships!$D$2:$D$9990,3)))</f>
        <v>0</v>
      </c>
      <c r="AE671" s="64">
        <f>IF($B671="","",(COUNTIFS(Rships!$C$2:$C$9990,$A671,Rships!$D$2:$D$9990,4)))</f>
        <v>0</v>
      </c>
      <c r="AF671" s="64">
        <f>IF($B671="","",(COUNTIFS(Rships!$C$2:$C$9990,$A671,Rships!$D$2:$D$9990,5)))</f>
        <v>0</v>
      </c>
      <c r="AG671" s="64">
        <f>IF($B671="","",(COUNTIFS(Rships!$C$2:$C$9990,$A671,Rships!$D$2:$D$9990,6)))</f>
        <v>0</v>
      </c>
      <c r="AH671" s="64">
        <f>IF($B671="","",(COUNTIFS(Rships!$C$2:$C$9990,$A671,Rships!$D$2:$D$9990,7)))</f>
        <v>0</v>
      </c>
    </row>
    <row r="672" spans="1:34">
      <c r="A672" s="1" t="s">
        <v>922</v>
      </c>
      <c r="C672" s="11" t="s">
        <v>19</v>
      </c>
      <c r="D672" s="11" t="s">
        <v>21</v>
      </c>
      <c r="F672" s="15"/>
      <c r="G672" s="15"/>
      <c r="I672" s="17"/>
      <c r="O672" s="11" t="s">
        <v>27</v>
      </c>
      <c r="Y672" s="64">
        <f t="shared" si="20"/>
        <v>0</v>
      </c>
      <c r="AA672" s="64">
        <f t="shared" si="21"/>
        <v>0</v>
      </c>
      <c r="AB672" s="64" t="str">
        <f>IF($B672="","",(COUNTIFS(Rships!$C$2:$C$9990,$A672,Rships!$D$2:$D$9990,1)))</f>
        <v/>
      </c>
      <c r="AC672" s="64" t="str">
        <f>IF($B672="","",(COUNTIFS(Rships!$C$2:$C$9990,$A672,Rships!$D$2:$D$9990,2)))</f>
        <v/>
      </c>
      <c r="AD672" s="64" t="str">
        <f>IF($B672="","",(COUNTIFS(Rships!$C$2:$C$9990,$A672,Rships!$D$2:$D$9990,3)))</f>
        <v/>
      </c>
      <c r="AE672" s="64" t="str">
        <f>IF($B672="","",(COUNTIFS(Rships!$C$2:$C$9990,$A672,Rships!$D$2:$D$9990,4)))</f>
        <v/>
      </c>
      <c r="AF672" s="64" t="str">
        <f>IF($B672="","",(COUNTIFS(Rships!$C$2:$C$9990,$A672,Rships!$D$2:$D$9990,5)))</f>
        <v/>
      </c>
      <c r="AG672" s="64" t="str">
        <f>IF($B672="","",(COUNTIFS(Rships!$C$2:$C$9990,$A672,Rships!$D$2:$D$9990,6)))</f>
        <v/>
      </c>
      <c r="AH672" s="64" t="str">
        <f>IF($B672="","",(COUNTIFS(Rships!$C$2:$C$9990,$A672,Rships!$D$2:$D$9990,7)))</f>
        <v/>
      </c>
    </row>
    <row r="673" spans="1:34">
      <c r="A673" s="1" t="s">
        <v>923</v>
      </c>
      <c r="C673" s="11" t="s">
        <v>19</v>
      </c>
      <c r="D673" s="11" t="s">
        <v>21</v>
      </c>
      <c r="F673" s="15"/>
      <c r="G673" s="15"/>
      <c r="I673" s="17"/>
      <c r="O673" s="11" t="s">
        <v>27</v>
      </c>
      <c r="Y673" s="64">
        <f t="shared" si="20"/>
        <v>0</v>
      </c>
      <c r="AA673" s="64">
        <f t="shared" si="21"/>
        <v>0</v>
      </c>
      <c r="AB673" s="64" t="str">
        <f>IF($B673="","",(COUNTIFS(Rships!$C$2:$C$9990,$A673,Rships!$D$2:$D$9990,1)))</f>
        <v/>
      </c>
      <c r="AC673" s="64" t="str">
        <f>IF($B673="","",(COUNTIFS(Rships!$C$2:$C$9990,$A673,Rships!$D$2:$D$9990,2)))</f>
        <v/>
      </c>
      <c r="AD673" s="64" t="str">
        <f>IF($B673="","",(COUNTIFS(Rships!$C$2:$C$9990,$A673,Rships!$D$2:$D$9990,3)))</f>
        <v/>
      </c>
      <c r="AE673" s="64" t="str">
        <f>IF($B673="","",(COUNTIFS(Rships!$C$2:$C$9990,$A673,Rships!$D$2:$D$9990,4)))</f>
        <v/>
      </c>
      <c r="AF673" s="64" t="str">
        <f>IF($B673="","",(COUNTIFS(Rships!$C$2:$C$9990,$A673,Rships!$D$2:$D$9990,5)))</f>
        <v/>
      </c>
      <c r="AG673" s="64" t="str">
        <f>IF($B673="","",(COUNTIFS(Rships!$C$2:$C$9990,$A673,Rships!$D$2:$D$9990,6)))</f>
        <v/>
      </c>
      <c r="AH673" s="64" t="str">
        <f>IF($B673="","",(COUNTIFS(Rships!$C$2:$C$9990,$A673,Rships!$D$2:$D$9990,7)))</f>
        <v/>
      </c>
    </row>
    <row r="674" spans="1:34">
      <c r="A674" s="1" t="s">
        <v>924</v>
      </c>
      <c r="C674" s="11" t="s">
        <v>19</v>
      </c>
      <c r="D674" s="11" t="s">
        <v>21</v>
      </c>
      <c r="F674" s="15"/>
      <c r="G674" s="15"/>
      <c r="I674" s="17"/>
      <c r="O674" s="11" t="s">
        <v>27</v>
      </c>
      <c r="Y674" s="64">
        <f t="shared" si="20"/>
        <v>0</v>
      </c>
      <c r="AA674" s="64">
        <f t="shared" si="21"/>
        <v>0</v>
      </c>
      <c r="AB674" s="64" t="str">
        <f>IF($B674="","",(COUNTIFS(Rships!$C$2:$C$9990,$A674,Rships!$D$2:$D$9990,1)))</f>
        <v/>
      </c>
      <c r="AC674" s="64" t="str">
        <f>IF($B674="","",(COUNTIFS(Rships!$C$2:$C$9990,$A674,Rships!$D$2:$D$9990,2)))</f>
        <v/>
      </c>
      <c r="AD674" s="64" t="str">
        <f>IF($B674="","",(COUNTIFS(Rships!$C$2:$C$9990,$A674,Rships!$D$2:$D$9990,3)))</f>
        <v/>
      </c>
      <c r="AE674" s="64" t="str">
        <f>IF($B674="","",(COUNTIFS(Rships!$C$2:$C$9990,$A674,Rships!$D$2:$D$9990,4)))</f>
        <v/>
      </c>
      <c r="AF674" s="64" t="str">
        <f>IF($B674="","",(COUNTIFS(Rships!$C$2:$C$9990,$A674,Rships!$D$2:$D$9990,5)))</f>
        <v/>
      </c>
      <c r="AG674" s="64" t="str">
        <f>IF($B674="","",(COUNTIFS(Rships!$C$2:$C$9990,$A674,Rships!$D$2:$D$9990,6)))</f>
        <v/>
      </c>
      <c r="AH674" s="64" t="str">
        <f>IF($B674="","",(COUNTIFS(Rships!$C$2:$C$9990,$A674,Rships!$D$2:$D$9990,7)))</f>
        <v/>
      </c>
    </row>
    <row r="675" spans="1:34">
      <c r="A675" s="1" t="s">
        <v>925</v>
      </c>
      <c r="C675" s="11" t="s">
        <v>19</v>
      </c>
      <c r="D675" s="11" t="s">
        <v>21</v>
      </c>
      <c r="F675" s="15"/>
      <c r="G675" s="15"/>
      <c r="I675" s="17"/>
      <c r="O675" s="11" t="s">
        <v>27</v>
      </c>
      <c r="Y675" s="64">
        <f t="shared" si="20"/>
        <v>0</v>
      </c>
      <c r="AA675" s="64">
        <f t="shared" si="21"/>
        <v>0</v>
      </c>
      <c r="AB675" s="64" t="str">
        <f>IF($B675="","",(COUNTIFS(Rships!$C$2:$C$9990,$A675,Rships!$D$2:$D$9990,1)))</f>
        <v/>
      </c>
      <c r="AC675" s="64" t="str">
        <f>IF($B675="","",(COUNTIFS(Rships!$C$2:$C$9990,$A675,Rships!$D$2:$D$9990,2)))</f>
        <v/>
      </c>
      <c r="AD675" s="64" t="str">
        <f>IF($B675="","",(COUNTIFS(Rships!$C$2:$C$9990,$A675,Rships!$D$2:$D$9990,3)))</f>
        <v/>
      </c>
      <c r="AE675" s="64" t="str">
        <f>IF($B675="","",(COUNTIFS(Rships!$C$2:$C$9990,$A675,Rships!$D$2:$D$9990,4)))</f>
        <v/>
      </c>
      <c r="AF675" s="64" t="str">
        <f>IF($B675="","",(COUNTIFS(Rships!$C$2:$C$9990,$A675,Rships!$D$2:$D$9990,5)))</f>
        <v/>
      </c>
      <c r="AG675" s="64" t="str">
        <f>IF($B675="","",(COUNTIFS(Rships!$C$2:$C$9990,$A675,Rships!$D$2:$D$9990,6)))</f>
        <v/>
      </c>
      <c r="AH675" s="64" t="str">
        <f>IF($B675="","",(COUNTIFS(Rships!$C$2:$C$9990,$A675,Rships!$D$2:$D$9990,7)))</f>
        <v/>
      </c>
    </row>
    <row r="676" spans="1:34">
      <c r="A676" s="1" t="s">
        <v>926</v>
      </c>
      <c r="C676" s="11" t="s">
        <v>19</v>
      </c>
      <c r="D676" s="11" t="s">
        <v>21</v>
      </c>
      <c r="F676" s="15"/>
      <c r="G676" s="15"/>
      <c r="I676" s="17"/>
      <c r="O676" s="11" t="s">
        <v>27</v>
      </c>
      <c r="Y676" s="64">
        <f t="shared" si="20"/>
        <v>0</v>
      </c>
      <c r="AA676" s="64">
        <f t="shared" si="21"/>
        <v>0</v>
      </c>
      <c r="AB676" s="64" t="str">
        <f>IF($B676="","",(COUNTIFS(Rships!$C$2:$C$9990,$A676,Rships!$D$2:$D$9990,1)))</f>
        <v/>
      </c>
      <c r="AC676" s="64" t="str">
        <f>IF($B676="","",(COUNTIFS(Rships!$C$2:$C$9990,$A676,Rships!$D$2:$D$9990,2)))</f>
        <v/>
      </c>
      <c r="AD676" s="64" t="str">
        <f>IF($B676="","",(COUNTIFS(Rships!$C$2:$C$9990,$A676,Rships!$D$2:$D$9990,3)))</f>
        <v/>
      </c>
      <c r="AE676" s="64" t="str">
        <f>IF($B676="","",(COUNTIFS(Rships!$C$2:$C$9990,$A676,Rships!$D$2:$D$9990,4)))</f>
        <v/>
      </c>
      <c r="AF676" s="64" t="str">
        <f>IF($B676="","",(COUNTIFS(Rships!$C$2:$C$9990,$A676,Rships!$D$2:$D$9990,5)))</f>
        <v/>
      </c>
      <c r="AG676" s="64" t="str">
        <f>IF($B676="","",(COUNTIFS(Rships!$C$2:$C$9990,$A676,Rships!$D$2:$D$9990,6)))</f>
        <v/>
      </c>
      <c r="AH676" s="64" t="str">
        <f>IF($B676="","",(COUNTIFS(Rships!$C$2:$C$9990,$A676,Rships!$D$2:$D$9990,7)))</f>
        <v/>
      </c>
    </row>
    <row r="677" spans="1:34">
      <c r="A677" s="1" t="s">
        <v>184</v>
      </c>
      <c r="B677" s="13" t="s">
        <v>262</v>
      </c>
      <c r="C677" s="11" t="s">
        <v>19</v>
      </c>
      <c r="D677" s="11" t="s">
        <v>21</v>
      </c>
      <c r="E677" s="11" t="s">
        <v>1394</v>
      </c>
      <c r="F677" s="15" t="s">
        <v>1395</v>
      </c>
      <c r="G677" s="15" t="s">
        <v>1396</v>
      </c>
      <c r="H677" s="16">
        <v>6412245861084</v>
      </c>
      <c r="I677" s="17">
        <v>720474701</v>
      </c>
      <c r="J677" s="15" t="s">
        <v>1397</v>
      </c>
      <c r="K677" s="11" t="s">
        <v>1398</v>
      </c>
      <c r="L677" s="16">
        <v>2499</v>
      </c>
      <c r="M677" s="11" t="s">
        <v>1398</v>
      </c>
      <c r="N677" s="16">
        <v>2499</v>
      </c>
      <c r="O677" s="11" t="s">
        <v>26</v>
      </c>
      <c r="Q677" s="11" t="s">
        <v>1399</v>
      </c>
      <c r="R677" s="11" t="s">
        <v>90</v>
      </c>
      <c r="S677" s="11" t="s">
        <v>1386</v>
      </c>
      <c r="T677" s="11" t="s">
        <v>1400</v>
      </c>
      <c r="U677" s="16">
        <v>9174195752</v>
      </c>
      <c r="V677" s="11" t="s">
        <v>31</v>
      </c>
      <c r="W677" s="26">
        <v>41637</v>
      </c>
      <c r="X677" s="46">
        <v>41576</v>
      </c>
      <c r="Y677" s="64">
        <f t="shared" si="20"/>
        <v>0</v>
      </c>
      <c r="AA677" s="64">
        <f t="shared" si="21"/>
        <v>1</v>
      </c>
      <c r="AB677" s="64">
        <f>IF($B677="","",(COUNTIFS(Rships!$C$2:$C$9990,$A677,Rships!$D$2:$D$9990,1)))</f>
        <v>1</v>
      </c>
      <c r="AC677" s="64">
        <f>IF($B677="","",(COUNTIFS(Rships!$C$2:$C$9990,$A677,Rships!$D$2:$D$9990,2)))</f>
        <v>0</v>
      </c>
      <c r="AD677" s="64">
        <f>IF($B677="","",(COUNTIFS(Rships!$C$2:$C$9990,$A677,Rships!$D$2:$D$9990,3)))</f>
        <v>0</v>
      </c>
      <c r="AE677" s="64">
        <f>IF($B677="","",(COUNTIFS(Rships!$C$2:$C$9990,$A677,Rships!$D$2:$D$9990,4)))</f>
        <v>0</v>
      </c>
      <c r="AF677" s="64">
        <f>IF($B677="","",(COUNTIFS(Rships!$C$2:$C$9990,$A677,Rships!$D$2:$D$9990,5)))</f>
        <v>0</v>
      </c>
      <c r="AG677" s="64">
        <f>IF($B677="","",(COUNTIFS(Rships!$C$2:$C$9990,$A677,Rships!$D$2:$D$9990,6)))</f>
        <v>0</v>
      </c>
      <c r="AH677" s="64">
        <f>IF($B677="","",(COUNTIFS(Rships!$C$2:$C$9990,$A677,Rships!$D$2:$D$9990,7)))</f>
        <v>0</v>
      </c>
    </row>
    <row r="678" spans="1:34">
      <c r="A678" s="1" t="s">
        <v>927</v>
      </c>
      <c r="C678" s="11" t="s">
        <v>19</v>
      </c>
      <c r="D678" s="11" t="s">
        <v>21</v>
      </c>
      <c r="F678" s="15"/>
      <c r="G678" s="15"/>
      <c r="I678" s="17"/>
      <c r="O678" s="11" t="s">
        <v>27</v>
      </c>
      <c r="Y678" s="64">
        <f t="shared" si="20"/>
        <v>0</v>
      </c>
      <c r="AA678" s="64">
        <f t="shared" si="21"/>
        <v>0</v>
      </c>
      <c r="AB678" s="64" t="str">
        <f>IF($B678="","",(COUNTIFS(Rships!$C$2:$C$9990,$A678,Rships!$D$2:$D$9990,1)))</f>
        <v/>
      </c>
      <c r="AC678" s="64" t="str">
        <f>IF($B678="","",(COUNTIFS(Rships!$C$2:$C$9990,$A678,Rships!$D$2:$D$9990,2)))</f>
        <v/>
      </c>
      <c r="AD678" s="64" t="str">
        <f>IF($B678="","",(COUNTIFS(Rships!$C$2:$C$9990,$A678,Rships!$D$2:$D$9990,3)))</f>
        <v/>
      </c>
      <c r="AE678" s="64" t="str">
        <f>IF($B678="","",(COUNTIFS(Rships!$C$2:$C$9990,$A678,Rships!$D$2:$D$9990,4)))</f>
        <v/>
      </c>
      <c r="AF678" s="64" t="str">
        <f>IF($B678="","",(COUNTIFS(Rships!$C$2:$C$9990,$A678,Rships!$D$2:$D$9990,5)))</f>
        <v/>
      </c>
      <c r="AG678" s="64" t="str">
        <f>IF($B678="","",(COUNTIFS(Rships!$C$2:$C$9990,$A678,Rships!$D$2:$D$9990,6)))</f>
        <v/>
      </c>
      <c r="AH678" s="64" t="str">
        <f>IF($B678="","",(COUNTIFS(Rships!$C$2:$C$9990,$A678,Rships!$D$2:$D$9990,7)))</f>
        <v/>
      </c>
    </row>
    <row r="679" spans="1:34">
      <c r="A679" s="1" t="s">
        <v>928</v>
      </c>
      <c r="C679" s="11" t="s">
        <v>19</v>
      </c>
      <c r="D679" s="11" t="s">
        <v>21</v>
      </c>
      <c r="F679" s="15"/>
      <c r="G679" s="15"/>
      <c r="I679" s="17"/>
      <c r="O679" s="11" t="s">
        <v>27</v>
      </c>
      <c r="Y679" s="64">
        <f t="shared" si="20"/>
        <v>0</v>
      </c>
      <c r="AA679" s="64">
        <f t="shared" si="21"/>
        <v>0</v>
      </c>
      <c r="AB679" s="64" t="str">
        <f>IF($B679="","",(COUNTIFS(Rships!$C$2:$C$9990,$A679,Rships!$D$2:$D$9990,1)))</f>
        <v/>
      </c>
      <c r="AC679" s="64" t="str">
        <f>IF($B679="","",(COUNTIFS(Rships!$C$2:$C$9990,$A679,Rships!$D$2:$D$9990,2)))</f>
        <v/>
      </c>
      <c r="AD679" s="64" t="str">
        <f>IF($B679="","",(COUNTIFS(Rships!$C$2:$C$9990,$A679,Rships!$D$2:$D$9990,3)))</f>
        <v/>
      </c>
      <c r="AE679" s="64" t="str">
        <f>IF($B679="","",(COUNTIFS(Rships!$C$2:$C$9990,$A679,Rships!$D$2:$D$9990,4)))</f>
        <v/>
      </c>
      <c r="AF679" s="64" t="str">
        <f>IF($B679="","",(COUNTIFS(Rships!$C$2:$C$9990,$A679,Rships!$D$2:$D$9990,5)))</f>
        <v/>
      </c>
      <c r="AG679" s="64" t="str">
        <f>IF($B679="","",(COUNTIFS(Rships!$C$2:$C$9990,$A679,Rships!$D$2:$D$9990,6)))</f>
        <v/>
      </c>
      <c r="AH679" s="64" t="str">
        <f>IF($B679="","",(COUNTIFS(Rships!$C$2:$C$9990,$A679,Rships!$D$2:$D$9990,7)))</f>
        <v/>
      </c>
    </row>
    <row r="680" spans="1:34">
      <c r="A680" s="1" t="s">
        <v>929</v>
      </c>
      <c r="C680" s="11" t="s">
        <v>19</v>
      </c>
      <c r="D680" s="11" t="s">
        <v>21</v>
      </c>
      <c r="F680" s="15"/>
      <c r="G680" s="15"/>
      <c r="I680" s="17"/>
      <c r="O680" s="11" t="s">
        <v>27</v>
      </c>
      <c r="Y680" s="64">
        <f t="shared" si="20"/>
        <v>0</v>
      </c>
      <c r="AA680" s="64">
        <f t="shared" si="21"/>
        <v>0</v>
      </c>
      <c r="AB680" s="64" t="str">
        <f>IF($B680="","",(COUNTIFS(Rships!$C$2:$C$9990,$A680,Rships!$D$2:$D$9990,1)))</f>
        <v/>
      </c>
      <c r="AC680" s="64" t="str">
        <f>IF($B680="","",(COUNTIFS(Rships!$C$2:$C$9990,$A680,Rships!$D$2:$D$9990,2)))</f>
        <v/>
      </c>
      <c r="AD680" s="64" t="str">
        <f>IF($B680="","",(COUNTIFS(Rships!$C$2:$C$9990,$A680,Rships!$D$2:$D$9990,3)))</f>
        <v/>
      </c>
      <c r="AE680" s="64" t="str">
        <f>IF($B680="","",(COUNTIFS(Rships!$C$2:$C$9990,$A680,Rships!$D$2:$D$9990,4)))</f>
        <v/>
      </c>
      <c r="AF680" s="64" t="str">
        <f>IF($B680="","",(COUNTIFS(Rships!$C$2:$C$9990,$A680,Rships!$D$2:$D$9990,5)))</f>
        <v/>
      </c>
      <c r="AG680" s="64" t="str">
        <f>IF($B680="","",(COUNTIFS(Rships!$C$2:$C$9990,$A680,Rships!$D$2:$D$9990,6)))</f>
        <v/>
      </c>
      <c r="AH680" s="64" t="str">
        <f>IF($B680="","",(COUNTIFS(Rships!$C$2:$C$9990,$A680,Rships!$D$2:$D$9990,7)))</f>
        <v/>
      </c>
    </row>
    <row r="681" spans="1:34">
      <c r="A681" s="1" t="s">
        <v>930</v>
      </c>
      <c r="C681" s="11" t="s">
        <v>19</v>
      </c>
      <c r="D681" s="11" t="s">
        <v>21</v>
      </c>
      <c r="F681" s="15"/>
      <c r="G681" s="15"/>
      <c r="I681" s="17"/>
      <c r="O681" s="11" t="s">
        <v>27</v>
      </c>
      <c r="Y681" s="64">
        <f t="shared" si="20"/>
        <v>0</v>
      </c>
      <c r="AA681" s="64">
        <f t="shared" si="21"/>
        <v>0</v>
      </c>
      <c r="AB681" s="64" t="str">
        <f>IF($B681="","",(COUNTIFS(Rships!$C$2:$C$9990,$A681,Rships!$D$2:$D$9990,1)))</f>
        <v/>
      </c>
      <c r="AC681" s="64" t="str">
        <f>IF($B681="","",(COUNTIFS(Rships!$C$2:$C$9990,$A681,Rships!$D$2:$D$9990,2)))</f>
        <v/>
      </c>
      <c r="AD681" s="64" t="str">
        <f>IF($B681="","",(COUNTIFS(Rships!$C$2:$C$9990,$A681,Rships!$D$2:$D$9990,3)))</f>
        <v/>
      </c>
      <c r="AE681" s="64" t="str">
        <f>IF($B681="","",(COUNTIFS(Rships!$C$2:$C$9990,$A681,Rships!$D$2:$D$9990,4)))</f>
        <v/>
      </c>
      <c r="AF681" s="64" t="str">
        <f>IF($B681="","",(COUNTIFS(Rships!$C$2:$C$9990,$A681,Rships!$D$2:$D$9990,5)))</f>
        <v/>
      </c>
      <c r="AG681" s="64" t="str">
        <f>IF($B681="","",(COUNTIFS(Rships!$C$2:$C$9990,$A681,Rships!$D$2:$D$9990,6)))</f>
        <v/>
      </c>
      <c r="AH681" s="64" t="str">
        <f>IF($B681="","",(COUNTIFS(Rships!$C$2:$C$9990,$A681,Rships!$D$2:$D$9990,7)))</f>
        <v/>
      </c>
    </row>
    <row r="682" spans="1:34">
      <c r="A682" s="1" t="s">
        <v>931</v>
      </c>
      <c r="C682" s="11" t="s">
        <v>19</v>
      </c>
      <c r="D682" s="11" t="s">
        <v>21</v>
      </c>
      <c r="F682" s="15"/>
      <c r="G682" s="15"/>
      <c r="I682" s="17"/>
      <c r="O682" s="11" t="s">
        <v>27</v>
      </c>
      <c r="Y682" s="64">
        <f t="shared" si="20"/>
        <v>0</v>
      </c>
      <c r="AA682" s="64">
        <f t="shared" si="21"/>
        <v>0</v>
      </c>
      <c r="AB682" s="64" t="str">
        <f>IF($B682="","",(COUNTIFS(Rships!$C$2:$C$9990,$A682,Rships!$D$2:$D$9990,1)))</f>
        <v/>
      </c>
      <c r="AC682" s="64" t="str">
        <f>IF($B682="","",(COUNTIFS(Rships!$C$2:$C$9990,$A682,Rships!$D$2:$D$9990,2)))</f>
        <v/>
      </c>
      <c r="AD682" s="64" t="str">
        <f>IF($B682="","",(COUNTIFS(Rships!$C$2:$C$9990,$A682,Rships!$D$2:$D$9990,3)))</f>
        <v/>
      </c>
      <c r="AE682" s="64" t="str">
        <f>IF($B682="","",(COUNTIFS(Rships!$C$2:$C$9990,$A682,Rships!$D$2:$D$9990,4)))</f>
        <v/>
      </c>
      <c r="AF682" s="64" t="str">
        <f>IF($B682="","",(COUNTIFS(Rships!$C$2:$C$9990,$A682,Rships!$D$2:$D$9990,5)))</f>
        <v/>
      </c>
      <c r="AG682" s="64" t="str">
        <f>IF($B682="","",(COUNTIFS(Rships!$C$2:$C$9990,$A682,Rships!$D$2:$D$9990,6)))</f>
        <v/>
      </c>
      <c r="AH682" s="64" t="str">
        <f>IF($B682="","",(COUNTIFS(Rships!$C$2:$C$9990,$A682,Rships!$D$2:$D$9990,7)))</f>
        <v/>
      </c>
    </row>
    <row r="683" spans="1:34">
      <c r="A683" s="1" t="s">
        <v>932</v>
      </c>
      <c r="C683" s="11" t="s">
        <v>19</v>
      </c>
      <c r="D683" s="11" t="s">
        <v>21</v>
      </c>
      <c r="F683" s="15"/>
      <c r="G683" s="15"/>
      <c r="I683" s="17"/>
      <c r="O683" s="11" t="s">
        <v>27</v>
      </c>
      <c r="Y683" s="64">
        <f t="shared" si="20"/>
        <v>0</v>
      </c>
      <c r="AA683" s="64">
        <f t="shared" si="21"/>
        <v>0</v>
      </c>
      <c r="AB683" s="64" t="str">
        <f>IF($B683="","",(COUNTIFS(Rships!$C$2:$C$9990,$A683,Rships!$D$2:$D$9990,1)))</f>
        <v/>
      </c>
      <c r="AC683" s="64" t="str">
        <f>IF($B683="","",(COUNTIFS(Rships!$C$2:$C$9990,$A683,Rships!$D$2:$D$9990,2)))</f>
        <v/>
      </c>
      <c r="AD683" s="64" t="str">
        <f>IF($B683="","",(COUNTIFS(Rships!$C$2:$C$9990,$A683,Rships!$D$2:$D$9990,3)))</f>
        <v/>
      </c>
      <c r="AE683" s="64" t="str">
        <f>IF($B683="","",(COUNTIFS(Rships!$C$2:$C$9990,$A683,Rships!$D$2:$D$9990,4)))</f>
        <v/>
      </c>
      <c r="AF683" s="64" t="str">
        <f>IF($B683="","",(COUNTIFS(Rships!$C$2:$C$9990,$A683,Rships!$D$2:$D$9990,5)))</f>
        <v/>
      </c>
      <c r="AG683" s="64" t="str">
        <f>IF($B683="","",(COUNTIFS(Rships!$C$2:$C$9990,$A683,Rships!$D$2:$D$9990,6)))</f>
        <v/>
      </c>
      <c r="AH683" s="64" t="str">
        <f>IF($B683="","",(COUNTIFS(Rships!$C$2:$C$9990,$A683,Rships!$D$2:$D$9990,7)))</f>
        <v/>
      </c>
    </row>
    <row r="684" spans="1:34">
      <c r="A684" s="1" t="s">
        <v>933</v>
      </c>
      <c r="C684" s="11" t="s">
        <v>19</v>
      </c>
      <c r="D684" s="11" t="s">
        <v>21</v>
      </c>
      <c r="F684" s="15"/>
      <c r="G684" s="15"/>
      <c r="I684" s="17"/>
      <c r="O684" s="11" t="s">
        <v>27</v>
      </c>
      <c r="Y684" s="64">
        <f t="shared" si="20"/>
        <v>0</v>
      </c>
      <c r="AA684" s="64">
        <f t="shared" si="21"/>
        <v>0</v>
      </c>
      <c r="AB684" s="64" t="str">
        <f>IF($B684="","",(COUNTIFS(Rships!$C$2:$C$9990,$A684,Rships!$D$2:$D$9990,1)))</f>
        <v/>
      </c>
      <c r="AC684" s="64" t="str">
        <f>IF($B684="","",(COUNTIFS(Rships!$C$2:$C$9990,$A684,Rships!$D$2:$D$9990,2)))</f>
        <v/>
      </c>
      <c r="AD684" s="64" t="str">
        <f>IF($B684="","",(COUNTIFS(Rships!$C$2:$C$9990,$A684,Rships!$D$2:$D$9990,3)))</f>
        <v/>
      </c>
      <c r="AE684" s="64" t="str">
        <f>IF($B684="","",(COUNTIFS(Rships!$C$2:$C$9990,$A684,Rships!$D$2:$D$9990,4)))</f>
        <v/>
      </c>
      <c r="AF684" s="64" t="str">
        <f>IF($B684="","",(COUNTIFS(Rships!$C$2:$C$9990,$A684,Rships!$D$2:$D$9990,5)))</f>
        <v/>
      </c>
      <c r="AG684" s="64" t="str">
        <f>IF($B684="","",(COUNTIFS(Rships!$C$2:$C$9990,$A684,Rships!$D$2:$D$9990,6)))</f>
        <v/>
      </c>
      <c r="AH684" s="64" t="str">
        <f>IF($B684="","",(COUNTIFS(Rships!$C$2:$C$9990,$A684,Rships!$D$2:$D$9990,7)))</f>
        <v/>
      </c>
    </row>
    <row r="685" spans="1:34">
      <c r="A685" s="1" t="s">
        <v>934</v>
      </c>
      <c r="C685" s="11" t="s">
        <v>19</v>
      </c>
      <c r="D685" s="11" t="s">
        <v>21</v>
      </c>
      <c r="F685" s="15"/>
      <c r="G685" s="15"/>
      <c r="I685" s="17"/>
      <c r="O685" s="11" t="s">
        <v>27</v>
      </c>
      <c r="Y685" s="64">
        <f t="shared" si="20"/>
        <v>0</v>
      </c>
      <c r="AA685" s="64">
        <f t="shared" si="21"/>
        <v>0</v>
      </c>
      <c r="AB685" s="64" t="str">
        <f>IF($B685="","",(COUNTIFS(Rships!$C$2:$C$9990,$A685,Rships!$D$2:$D$9990,1)))</f>
        <v/>
      </c>
      <c r="AC685" s="64" t="str">
        <f>IF($B685="","",(COUNTIFS(Rships!$C$2:$C$9990,$A685,Rships!$D$2:$D$9990,2)))</f>
        <v/>
      </c>
      <c r="AD685" s="64" t="str">
        <f>IF($B685="","",(COUNTIFS(Rships!$C$2:$C$9990,$A685,Rships!$D$2:$D$9990,3)))</f>
        <v/>
      </c>
      <c r="AE685" s="64" t="str">
        <f>IF($B685="","",(COUNTIFS(Rships!$C$2:$C$9990,$A685,Rships!$D$2:$D$9990,4)))</f>
        <v/>
      </c>
      <c r="AF685" s="64" t="str">
        <f>IF($B685="","",(COUNTIFS(Rships!$C$2:$C$9990,$A685,Rships!$D$2:$D$9990,5)))</f>
        <v/>
      </c>
      <c r="AG685" s="64" t="str">
        <f>IF($B685="","",(COUNTIFS(Rships!$C$2:$C$9990,$A685,Rships!$D$2:$D$9990,6)))</f>
        <v/>
      </c>
      <c r="AH685" s="64" t="str">
        <f>IF($B685="","",(COUNTIFS(Rships!$C$2:$C$9990,$A685,Rships!$D$2:$D$9990,7)))</f>
        <v/>
      </c>
    </row>
    <row r="686" spans="1:34">
      <c r="A686" s="1" t="s">
        <v>935</v>
      </c>
      <c r="C686" s="11" t="s">
        <v>19</v>
      </c>
      <c r="D686" s="11" t="s">
        <v>21</v>
      </c>
      <c r="F686" s="15"/>
      <c r="G686" s="15"/>
      <c r="I686" s="17"/>
      <c r="O686" s="11" t="s">
        <v>27</v>
      </c>
      <c r="Y686" s="64">
        <f t="shared" si="20"/>
        <v>0</v>
      </c>
      <c r="AA686" s="64">
        <f t="shared" si="21"/>
        <v>0</v>
      </c>
      <c r="AB686" s="64" t="str">
        <f>IF($B686="","",(COUNTIFS(Rships!$C$2:$C$9990,$A686,Rships!$D$2:$D$9990,1)))</f>
        <v/>
      </c>
      <c r="AC686" s="64" t="str">
        <f>IF($B686="","",(COUNTIFS(Rships!$C$2:$C$9990,$A686,Rships!$D$2:$D$9990,2)))</f>
        <v/>
      </c>
      <c r="AD686" s="64" t="str">
        <f>IF($B686="","",(COUNTIFS(Rships!$C$2:$C$9990,$A686,Rships!$D$2:$D$9990,3)))</f>
        <v/>
      </c>
      <c r="AE686" s="64" t="str">
        <f>IF($B686="","",(COUNTIFS(Rships!$C$2:$C$9990,$A686,Rships!$D$2:$D$9990,4)))</f>
        <v/>
      </c>
      <c r="AF686" s="64" t="str">
        <f>IF($B686="","",(COUNTIFS(Rships!$C$2:$C$9990,$A686,Rships!$D$2:$D$9990,5)))</f>
        <v/>
      </c>
      <c r="AG686" s="64" t="str">
        <f>IF($B686="","",(COUNTIFS(Rships!$C$2:$C$9990,$A686,Rships!$D$2:$D$9990,6)))</f>
        <v/>
      </c>
      <c r="AH686" s="64" t="str">
        <f>IF($B686="","",(COUNTIFS(Rships!$C$2:$C$9990,$A686,Rships!$D$2:$D$9990,7)))</f>
        <v/>
      </c>
    </row>
    <row r="687" spans="1:34">
      <c r="A687" s="1" t="s">
        <v>936</v>
      </c>
      <c r="C687" s="11" t="s">
        <v>19</v>
      </c>
      <c r="D687" s="11" t="s">
        <v>21</v>
      </c>
      <c r="F687" s="15"/>
      <c r="G687" s="15"/>
      <c r="I687" s="17"/>
      <c r="O687" s="11" t="s">
        <v>27</v>
      </c>
      <c r="Y687" s="64">
        <f t="shared" si="20"/>
        <v>0</v>
      </c>
      <c r="AA687" s="64">
        <f t="shared" si="21"/>
        <v>0</v>
      </c>
      <c r="AB687" s="64" t="str">
        <f>IF($B687="","",(COUNTIFS(Rships!$C$2:$C$9990,$A687,Rships!$D$2:$D$9990,1)))</f>
        <v/>
      </c>
      <c r="AC687" s="64" t="str">
        <f>IF($B687="","",(COUNTIFS(Rships!$C$2:$C$9990,$A687,Rships!$D$2:$D$9990,2)))</f>
        <v/>
      </c>
      <c r="AD687" s="64" t="str">
        <f>IF($B687="","",(COUNTIFS(Rships!$C$2:$C$9990,$A687,Rships!$D$2:$D$9990,3)))</f>
        <v/>
      </c>
      <c r="AE687" s="64" t="str">
        <f>IF($B687="","",(COUNTIFS(Rships!$C$2:$C$9990,$A687,Rships!$D$2:$D$9990,4)))</f>
        <v/>
      </c>
      <c r="AF687" s="64" t="str">
        <f>IF($B687="","",(COUNTIFS(Rships!$C$2:$C$9990,$A687,Rships!$D$2:$D$9990,5)))</f>
        <v/>
      </c>
      <c r="AG687" s="64" t="str">
        <f>IF($B687="","",(COUNTIFS(Rships!$C$2:$C$9990,$A687,Rships!$D$2:$D$9990,6)))</f>
        <v/>
      </c>
      <c r="AH687" s="64" t="str">
        <f>IF($B687="","",(COUNTIFS(Rships!$C$2:$C$9990,$A687,Rships!$D$2:$D$9990,7)))</f>
        <v/>
      </c>
    </row>
    <row r="688" spans="1:34">
      <c r="A688" s="1" t="s">
        <v>937</v>
      </c>
      <c r="C688" s="11" t="s">
        <v>19</v>
      </c>
      <c r="D688" s="11" t="s">
        <v>21</v>
      </c>
      <c r="F688" s="15"/>
      <c r="G688" s="15"/>
      <c r="I688" s="17"/>
      <c r="O688" s="11" t="s">
        <v>27</v>
      </c>
      <c r="Y688" s="64">
        <f t="shared" si="20"/>
        <v>0</v>
      </c>
      <c r="AA688" s="64">
        <f t="shared" si="21"/>
        <v>0</v>
      </c>
      <c r="AB688" s="64" t="str">
        <f>IF($B688="","",(COUNTIFS(Rships!$C$2:$C$9990,$A688,Rships!$D$2:$D$9990,1)))</f>
        <v/>
      </c>
      <c r="AC688" s="64" t="str">
        <f>IF($B688="","",(COUNTIFS(Rships!$C$2:$C$9990,$A688,Rships!$D$2:$D$9990,2)))</f>
        <v/>
      </c>
      <c r="AD688" s="64" t="str">
        <f>IF($B688="","",(COUNTIFS(Rships!$C$2:$C$9990,$A688,Rships!$D$2:$D$9990,3)))</f>
        <v/>
      </c>
      <c r="AE688" s="64" t="str">
        <f>IF($B688="","",(COUNTIFS(Rships!$C$2:$C$9990,$A688,Rships!$D$2:$D$9990,4)))</f>
        <v/>
      </c>
      <c r="AF688" s="64" t="str">
        <f>IF($B688="","",(COUNTIFS(Rships!$C$2:$C$9990,$A688,Rships!$D$2:$D$9990,5)))</f>
        <v/>
      </c>
      <c r="AG688" s="64" t="str">
        <f>IF($B688="","",(COUNTIFS(Rships!$C$2:$C$9990,$A688,Rships!$D$2:$D$9990,6)))</f>
        <v/>
      </c>
      <c r="AH688" s="64" t="str">
        <f>IF($B688="","",(COUNTIFS(Rships!$C$2:$C$9990,$A688,Rships!$D$2:$D$9990,7)))</f>
        <v/>
      </c>
    </row>
    <row r="689" spans="1:34">
      <c r="A689" s="1" t="s">
        <v>938</v>
      </c>
      <c r="C689" s="11" t="s">
        <v>19</v>
      </c>
      <c r="D689" s="11" t="s">
        <v>21</v>
      </c>
      <c r="F689" s="15"/>
      <c r="G689" s="15"/>
      <c r="I689" s="17"/>
      <c r="O689" s="11" t="s">
        <v>27</v>
      </c>
      <c r="Y689" s="64">
        <f t="shared" si="20"/>
        <v>0</v>
      </c>
      <c r="AA689" s="64">
        <f t="shared" si="21"/>
        <v>0</v>
      </c>
      <c r="AB689" s="64" t="str">
        <f>IF($B689="","",(COUNTIFS(Rships!$C$2:$C$9990,$A689,Rships!$D$2:$D$9990,1)))</f>
        <v/>
      </c>
      <c r="AC689" s="64" t="str">
        <f>IF($B689="","",(COUNTIFS(Rships!$C$2:$C$9990,$A689,Rships!$D$2:$D$9990,2)))</f>
        <v/>
      </c>
      <c r="AD689" s="64" t="str">
        <f>IF($B689="","",(COUNTIFS(Rships!$C$2:$C$9990,$A689,Rships!$D$2:$D$9990,3)))</f>
        <v/>
      </c>
      <c r="AE689" s="64" t="str">
        <f>IF($B689="","",(COUNTIFS(Rships!$C$2:$C$9990,$A689,Rships!$D$2:$D$9990,4)))</f>
        <v/>
      </c>
      <c r="AF689" s="64" t="str">
        <f>IF($B689="","",(COUNTIFS(Rships!$C$2:$C$9990,$A689,Rships!$D$2:$D$9990,5)))</f>
        <v/>
      </c>
      <c r="AG689" s="64" t="str">
        <f>IF($B689="","",(COUNTIFS(Rships!$C$2:$C$9990,$A689,Rships!$D$2:$D$9990,6)))</f>
        <v/>
      </c>
      <c r="AH689" s="64" t="str">
        <f>IF($B689="","",(COUNTIFS(Rships!$C$2:$C$9990,$A689,Rships!$D$2:$D$9990,7)))</f>
        <v/>
      </c>
    </row>
    <row r="690" spans="1:34">
      <c r="A690" s="1" t="s">
        <v>939</v>
      </c>
      <c r="C690" s="11" t="s">
        <v>19</v>
      </c>
      <c r="D690" s="11" t="s">
        <v>21</v>
      </c>
      <c r="F690" s="15"/>
      <c r="G690" s="15"/>
      <c r="I690" s="17"/>
      <c r="O690" s="11" t="s">
        <v>27</v>
      </c>
      <c r="Y690" s="64">
        <f t="shared" si="20"/>
        <v>0</v>
      </c>
      <c r="AA690" s="64">
        <f t="shared" si="21"/>
        <v>0</v>
      </c>
      <c r="AB690" s="64" t="str">
        <f>IF($B690="","",(COUNTIFS(Rships!$C$2:$C$9990,$A690,Rships!$D$2:$D$9990,1)))</f>
        <v/>
      </c>
      <c r="AC690" s="64" t="str">
        <f>IF($B690="","",(COUNTIFS(Rships!$C$2:$C$9990,$A690,Rships!$D$2:$D$9990,2)))</f>
        <v/>
      </c>
      <c r="AD690" s="64" t="str">
        <f>IF($B690="","",(COUNTIFS(Rships!$C$2:$C$9990,$A690,Rships!$D$2:$D$9990,3)))</f>
        <v/>
      </c>
      <c r="AE690" s="64" t="str">
        <f>IF($B690="","",(COUNTIFS(Rships!$C$2:$C$9990,$A690,Rships!$D$2:$D$9990,4)))</f>
        <v/>
      </c>
      <c r="AF690" s="64" t="str">
        <f>IF($B690="","",(COUNTIFS(Rships!$C$2:$C$9990,$A690,Rships!$D$2:$D$9990,5)))</f>
        <v/>
      </c>
      <c r="AG690" s="64" t="str">
        <f>IF($B690="","",(COUNTIFS(Rships!$C$2:$C$9990,$A690,Rships!$D$2:$D$9990,6)))</f>
        <v/>
      </c>
      <c r="AH690" s="64" t="str">
        <f>IF($B690="","",(COUNTIFS(Rships!$C$2:$C$9990,$A690,Rships!$D$2:$D$9990,7)))</f>
        <v/>
      </c>
    </row>
    <row r="691" spans="1:34">
      <c r="A691" s="1" t="s">
        <v>940</v>
      </c>
      <c r="B691" s="13" t="s">
        <v>940</v>
      </c>
      <c r="C691" s="11" t="s">
        <v>19</v>
      </c>
      <c r="D691" s="11" t="s">
        <v>21</v>
      </c>
      <c r="E691" s="11" t="s">
        <v>1435</v>
      </c>
      <c r="F691" s="15" t="s">
        <v>1436</v>
      </c>
      <c r="G691" s="15" t="s">
        <v>1437</v>
      </c>
      <c r="H691" s="16">
        <v>8107315470083</v>
      </c>
      <c r="I691" s="17"/>
      <c r="K691" s="11" t="s">
        <v>1438</v>
      </c>
      <c r="L691" s="16">
        <v>1431</v>
      </c>
      <c r="M691" s="11" t="s">
        <v>1438</v>
      </c>
      <c r="N691" s="16">
        <v>1431</v>
      </c>
      <c r="O691" s="11" t="s">
        <v>26</v>
      </c>
      <c r="Q691" s="11" t="s">
        <v>164</v>
      </c>
      <c r="R691" s="11" t="s">
        <v>135</v>
      </c>
      <c r="S691" s="11" t="s">
        <v>1439</v>
      </c>
      <c r="T691" s="11" t="s">
        <v>1440</v>
      </c>
      <c r="U691" s="16">
        <v>4818040</v>
      </c>
      <c r="V691" s="11" t="s">
        <v>31</v>
      </c>
      <c r="W691" s="26">
        <v>41669</v>
      </c>
      <c r="X691" s="46">
        <v>41642</v>
      </c>
      <c r="Y691" s="64">
        <f t="shared" ref="Y691:Y754" si="22">SUMIF($B$2:$B$100,$A691,$AA$2:$AA$100)</f>
        <v>0</v>
      </c>
      <c r="Z691" s="11" t="s">
        <v>123</v>
      </c>
      <c r="AA691" s="64">
        <f t="shared" si="21"/>
        <v>0</v>
      </c>
      <c r="AB691" s="64">
        <f>IF($B691="","",(COUNTIFS(Rships!$C$2:$C$9990,$A691,Rships!$D$2:$D$9990,1)))</f>
        <v>0</v>
      </c>
      <c r="AC691" s="64">
        <f>IF($B691="","",(COUNTIFS(Rships!$C$2:$C$9990,$A691,Rships!$D$2:$D$9990,2)))</f>
        <v>0</v>
      </c>
      <c r="AD691" s="64">
        <f>IF($B691="","",(COUNTIFS(Rships!$C$2:$C$9990,$A691,Rships!$D$2:$D$9990,3)))</f>
        <v>0</v>
      </c>
      <c r="AE691" s="64">
        <f>IF($B691="","",(COUNTIFS(Rships!$C$2:$C$9990,$A691,Rships!$D$2:$D$9990,4)))</f>
        <v>0</v>
      </c>
      <c r="AF691" s="64">
        <f>IF($B691="","",(COUNTIFS(Rships!$C$2:$C$9990,$A691,Rships!$D$2:$D$9990,5)))</f>
        <v>0</v>
      </c>
      <c r="AG691" s="64">
        <f>IF($B691="","",(COUNTIFS(Rships!$C$2:$C$9990,$A691,Rships!$D$2:$D$9990,6)))</f>
        <v>0</v>
      </c>
      <c r="AH691" s="64">
        <f>IF($B691="","",(COUNTIFS(Rships!$C$2:$C$9990,$A691,Rships!$D$2:$D$9990,7)))</f>
        <v>0</v>
      </c>
    </row>
    <row r="692" spans="1:34">
      <c r="A692" s="1" t="s">
        <v>941</v>
      </c>
      <c r="B692" s="13" t="s">
        <v>137</v>
      </c>
      <c r="C692" s="11" t="s">
        <v>19</v>
      </c>
      <c r="D692" s="11" t="s">
        <v>20</v>
      </c>
      <c r="E692" s="11" t="s">
        <v>1294</v>
      </c>
      <c r="F692" s="15" t="s">
        <v>1295</v>
      </c>
      <c r="G692" s="15" t="s">
        <v>1296</v>
      </c>
      <c r="H692" s="16">
        <v>8312020672086</v>
      </c>
      <c r="I692" s="17">
        <v>784391630</v>
      </c>
      <c r="M692" s="11" t="s">
        <v>1297</v>
      </c>
      <c r="N692" s="16">
        <v>9300</v>
      </c>
      <c r="O692" s="11" t="s">
        <v>26</v>
      </c>
      <c r="P692" s="18">
        <v>16000</v>
      </c>
      <c r="Q692" s="11" t="s">
        <v>205</v>
      </c>
      <c r="R692" s="11" t="s">
        <v>238</v>
      </c>
      <c r="S692" s="11" t="s">
        <v>123</v>
      </c>
      <c r="T692" s="11" t="s">
        <v>1305</v>
      </c>
      <c r="U692" s="16">
        <v>1281324424</v>
      </c>
      <c r="V692" s="11" t="s">
        <v>31</v>
      </c>
      <c r="W692" s="26">
        <v>41697</v>
      </c>
      <c r="X692" s="46">
        <v>41628</v>
      </c>
      <c r="Y692" s="64">
        <f t="shared" si="22"/>
        <v>0</v>
      </c>
      <c r="Z692" s="11" t="s">
        <v>123</v>
      </c>
      <c r="AA692" s="64">
        <f t="shared" si="21"/>
        <v>0</v>
      </c>
      <c r="AB692" s="64">
        <f>IF($B692="","",(COUNTIFS(Rships!$C$2:$C$9990,$A692,Rships!$D$2:$D$9990,1)))</f>
        <v>0</v>
      </c>
      <c r="AC692" s="64">
        <f>IF($B692="","",(COUNTIFS(Rships!$C$2:$C$9990,$A692,Rships!$D$2:$D$9990,2)))</f>
        <v>0</v>
      </c>
      <c r="AD692" s="64">
        <f>IF($B692="","",(COUNTIFS(Rships!$C$2:$C$9990,$A692,Rships!$D$2:$D$9990,3)))</f>
        <v>0</v>
      </c>
      <c r="AE692" s="64">
        <f>IF($B692="","",(COUNTIFS(Rships!$C$2:$C$9990,$A692,Rships!$D$2:$D$9990,4)))</f>
        <v>0</v>
      </c>
      <c r="AF692" s="64">
        <f>IF($B692="","",(COUNTIFS(Rships!$C$2:$C$9990,$A692,Rships!$D$2:$D$9990,5)))</f>
        <v>0</v>
      </c>
      <c r="AG692" s="64">
        <f>IF($B692="","",(COUNTIFS(Rships!$C$2:$C$9990,$A692,Rships!$D$2:$D$9990,6)))</f>
        <v>0</v>
      </c>
      <c r="AH692" s="64">
        <f>IF($B692="","",(COUNTIFS(Rships!$C$2:$C$9990,$A692,Rships!$D$2:$D$9990,7)))</f>
        <v>0</v>
      </c>
    </row>
    <row r="693" spans="1:34">
      <c r="A693" s="1" t="s">
        <v>942</v>
      </c>
      <c r="C693" s="11" t="s">
        <v>19</v>
      </c>
      <c r="D693" s="11" t="s">
        <v>21</v>
      </c>
      <c r="F693" s="15"/>
      <c r="G693" s="15"/>
      <c r="I693" s="17"/>
      <c r="O693" s="11" t="s">
        <v>27</v>
      </c>
      <c r="Y693" s="64">
        <f t="shared" si="22"/>
        <v>0</v>
      </c>
      <c r="AA693" s="64">
        <f t="shared" si="21"/>
        <v>0</v>
      </c>
      <c r="AB693" s="64" t="str">
        <f>IF($B693="","",(COUNTIFS(Rships!$C$2:$C$9990,$A693,Rships!$D$2:$D$9990,1)))</f>
        <v/>
      </c>
      <c r="AC693" s="64" t="str">
        <f>IF($B693="","",(COUNTIFS(Rships!$C$2:$C$9990,$A693,Rships!$D$2:$D$9990,2)))</f>
        <v/>
      </c>
      <c r="AD693" s="64" t="str">
        <f>IF($B693="","",(COUNTIFS(Rships!$C$2:$C$9990,$A693,Rships!$D$2:$D$9990,3)))</f>
        <v/>
      </c>
      <c r="AE693" s="64" t="str">
        <f>IF($B693="","",(COUNTIFS(Rships!$C$2:$C$9990,$A693,Rships!$D$2:$D$9990,4)))</f>
        <v/>
      </c>
      <c r="AF693" s="64" t="str">
        <f>IF($B693="","",(COUNTIFS(Rships!$C$2:$C$9990,$A693,Rships!$D$2:$D$9990,5)))</f>
        <v/>
      </c>
      <c r="AG693" s="64" t="str">
        <f>IF($B693="","",(COUNTIFS(Rships!$C$2:$C$9990,$A693,Rships!$D$2:$D$9990,6)))</f>
        <v/>
      </c>
      <c r="AH693" s="64" t="str">
        <f>IF($B693="","",(COUNTIFS(Rships!$C$2:$C$9990,$A693,Rships!$D$2:$D$9990,7)))</f>
        <v/>
      </c>
    </row>
    <row r="694" spans="1:34">
      <c r="A694" s="1" t="s">
        <v>943</v>
      </c>
      <c r="B694" s="13" t="s">
        <v>137</v>
      </c>
      <c r="C694" s="11" t="s">
        <v>19</v>
      </c>
      <c r="D694" s="11" t="s">
        <v>22</v>
      </c>
      <c r="E694" s="11" t="s">
        <v>1298</v>
      </c>
      <c r="F694" s="15" t="s">
        <v>1299</v>
      </c>
      <c r="G694" s="15" t="s">
        <v>1300</v>
      </c>
      <c r="H694" s="16">
        <v>8304220376089</v>
      </c>
      <c r="I694" s="17">
        <v>738853315</v>
      </c>
      <c r="K694" s="11" t="s">
        <v>1301</v>
      </c>
      <c r="L694" s="16">
        <v>9323</v>
      </c>
      <c r="M694" s="11" t="s">
        <v>1301</v>
      </c>
      <c r="N694" s="16">
        <v>9323</v>
      </c>
      <c r="O694" s="11" t="s">
        <v>26</v>
      </c>
      <c r="Q694" s="11" t="s">
        <v>1302</v>
      </c>
      <c r="R694" s="11" t="s">
        <v>90</v>
      </c>
      <c r="S694" s="11" t="s">
        <v>1303</v>
      </c>
      <c r="T694" s="11" t="s">
        <v>1304</v>
      </c>
      <c r="U694" s="16">
        <v>9267413801</v>
      </c>
      <c r="V694" s="11" t="s">
        <v>31</v>
      </c>
      <c r="W694" s="26">
        <v>41670</v>
      </c>
      <c r="X694" s="46">
        <v>41628</v>
      </c>
      <c r="Y694" s="64">
        <f t="shared" si="22"/>
        <v>0</v>
      </c>
      <c r="Z694" s="11" t="s">
        <v>123</v>
      </c>
      <c r="AA694" s="64">
        <f t="shared" si="21"/>
        <v>0</v>
      </c>
      <c r="AB694" s="64">
        <f>IF($B694="","",(COUNTIFS(Rships!$C$2:$C$9990,$A694,Rships!$D$2:$D$9990,1)))</f>
        <v>0</v>
      </c>
      <c r="AC694" s="64">
        <f>IF($B694="","",(COUNTIFS(Rships!$C$2:$C$9990,$A694,Rships!$D$2:$D$9990,2)))</f>
        <v>0</v>
      </c>
      <c r="AD694" s="64">
        <f>IF($B694="","",(COUNTIFS(Rships!$C$2:$C$9990,$A694,Rships!$D$2:$D$9990,3)))</f>
        <v>0</v>
      </c>
      <c r="AE694" s="64">
        <f>IF($B694="","",(COUNTIFS(Rships!$C$2:$C$9990,$A694,Rships!$D$2:$D$9990,4)))</f>
        <v>0</v>
      </c>
      <c r="AF694" s="64">
        <f>IF($B694="","",(COUNTIFS(Rships!$C$2:$C$9990,$A694,Rships!$D$2:$D$9990,5)))</f>
        <v>0</v>
      </c>
      <c r="AG694" s="64">
        <f>IF($B694="","",(COUNTIFS(Rships!$C$2:$C$9990,$A694,Rships!$D$2:$D$9990,6)))</f>
        <v>0</v>
      </c>
      <c r="AH694" s="64">
        <f>IF($B694="","",(COUNTIFS(Rships!$C$2:$C$9990,$A694,Rships!$D$2:$D$9990,7)))</f>
        <v>0</v>
      </c>
    </row>
    <row r="695" spans="1:34" ht="15">
      <c r="A695" s="1" t="s">
        <v>944</v>
      </c>
      <c r="C695" s="11" t="s">
        <v>19</v>
      </c>
      <c r="D695" s="11" t="s">
        <v>21</v>
      </c>
      <c r="F695" s="15"/>
      <c r="G695" s="15"/>
      <c r="I695" s="17"/>
      <c r="J695" s="33"/>
      <c r="O695" s="11" t="s">
        <v>27</v>
      </c>
      <c r="T695" s="29"/>
      <c r="Y695" s="64">
        <f t="shared" si="22"/>
        <v>0</v>
      </c>
      <c r="AA695" s="64">
        <f t="shared" si="21"/>
        <v>0</v>
      </c>
      <c r="AB695" s="64" t="str">
        <f>IF($B695="","",(COUNTIFS(Rships!$C$2:$C$9990,$A695,Rships!$D$2:$D$9990,1)))</f>
        <v/>
      </c>
      <c r="AC695" s="64" t="str">
        <f>IF($B695="","",(COUNTIFS(Rships!$C$2:$C$9990,$A695,Rships!$D$2:$D$9990,2)))</f>
        <v/>
      </c>
      <c r="AD695" s="64" t="str">
        <f>IF($B695="","",(COUNTIFS(Rships!$C$2:$C$9990,$A695,Rships!$D$2:$D$9990,3)))</f>
        <v/>
      </c>
      <c r="AE695" s="64" t="str">
        <f>IF($B695="","",(COUNTIFS(Rships!$C$2:$C$9990,$A695,Rships!$D$2:$D$9990,4)))</f>
        <v/>
      </c>
      <c r="AF695" s="64" t="str">
        <f>IF($B695="","",(COUNTIFS(Rships!$C$2:$C$9990,$A695,Rships!$D$2:$D$9990,5)))</f>
        <v/>
      </c>
      <c r="AG695" s="64" t="str">
        <f>IF($B695="","",(COUNTIFS(Rships!$C$2:$C$9990,$A695,Rships!$D$2:$D$9990,6)))</f>
        <v/>
      </c>
      <c r="AH695" s="64" t="str">
        <f>IF($B695="","",(COUNTIFS(Rships!$C$2:$C$9990,$A695,Rships!$D$2:$D$9990,7)))</f>
        <v/>
      </c>
    </row>
    <row r="696" spans="1:34" s="29" customFormat="1">
      <c r="A696" s="1" t="s">
        <v>945</v>
      </c>
      <c r="B696" s="35" t="s">
        <v>55</v>
      </c>
      <c r="C696" s="29" t="s">
        <v>19</v>
      </c>
      <c r="D696" s="29" t="s">
        <v>21</v>
      </c>
      <c r="E696" s="29" t="s">
        <v>245</v>
      </c>
      <c r="F696" s="30" t="s">
        <v>248</v>
      </c>
      <c r="G696" s="30" t="s">
        <v>249</v>
      </c>
      <c r="H696" s="31">
        <v>6704090590085</v>
      </c>
      <c r="I696" s="32">
        <v>724377490</v>
      </c>
      <c r="J696" s="29" t="s">
        <v>246</v>
      </c>
      <c r="K696" s="29" t="s">
        <v>250</v>
      </c>
      <c r="L696" s="31">
        <v>1800</v>
      </c>
      <c r="M696" s="29" t="s">
        <v>250</v>
      </c>
      <c r="N696" s="31">
        <v>1800</v>
      </c>
      <c r="O696" s="29" t="s">
        <v>26</v>
      </c>
      <c r="P696" s="34"/>
      <c r="Q696" s="29" t="s">
        <v>247</v>
      </c>
      <c r="R696" s="29" t="s">
        <v>56</v>
      </c>
      <c r="S696" s="29" t="s">
        <v>123</v>
      </c>
      <c r="T696" s="29" t="s">
        <v>251</v>
      </c>
      <c r="U696" s="31">
        <v>55780018823</v>
      </c>
      <c r="V696" s="29" t="s">
        <v>29</v>
      </c>
      <c r="W696" s="36">
        <v>41591</v>
      </c>
      <c r="X696" s="48">
        <v>41591</v>
      </c>
      <c r="Y696" s="64">
        <f t="shared" si="22"/>
        <v>0</v>
      </c>
      <c r="Z696" s="11" t="s">
        <v>123</v>
      </c>
      <c r="AA696" s="64">
        <f t="shared" si="21"/>
        <v>0</v>
      </c>
      <c r="AB696" s="64">
        <f>IF($B696="","",(COUNTIFS(Rships!$C$2:$C$9990,$A696,Rships!$D$2:$D$9990,1)))</f>
        <v>0</v>
      </c>
      <c r="AC696" s="64">
        <f>IF($B696="","",(COUNTIFS(Rships!$C$2:$C$9990,$A696,Rships!$D$2:$D$9990,2)))</f>
        <v>0</v>
      </c>
      <c r="AD696" s="64">
        <f>IF($B696="","",(COUNTIFS(Rships!$C$2:$C$9990,$A696,Rships!$D$2:$D$9990,3)))</f>
        <v>0</v>
      </c>
      <c r="AE696" s="64">
        <f>IF($B696="","",(COUNTIFS(Rships!$C$2:$C$9990,$A696,Rships!$D$2:$D$9990,4)))</f>
        <v>0</v>
      </c>
      <c r="AF696" s="64">
        <f>IF($B696="","",(COUNTIFS(Rships!$C$2:$C$9990,$A696,Rships!$D$2:$D$9990,5)))</f>
        <v>0</v>
      </c>
      <c r="AG696" s="64">
        <f>IF($B696="","",(COUNTIFS(Rships!$C$2:$C$9990,$A696,Rships!$D$2:$D$9990,6)))</f>
        <v>0</v>
      </c>
      <c r="AH696" s="64">
        <f>IF($B696="","",(COUNTIFS(Rships!$C$2:$C$9990,$A696,Rships!$D$2:$D$9990,7)))</f>
        <v>0</v>
      </c>
    </row>
    <row r="697" spans="1:34">
      <c r="A697" s="1" t="s">
        <v>946</v>
      </c>
      <c r="C697" s="11" t="s">
        <v>19</v>
      </c>
      <c r="D697" s="11" t="s">
        <v>21</v>
      </c>
      <c r="F697" s="15"/>
      <c r="G697" s="15"/>
      <c r="I697" s="17"/>
      <c r="O697" s="11" t="s">
        <v>27</v>
      </c>
      <c r="W697" s="36"/>
      <c r="Y697" s="64">
        <f t="shared" si="22"/>
        <v>0</v>
      </c>
      <c r="AA697" s="64">
        <f t="shared" si="21"/>
        <v>0</v>
      </c>
      <c r="AB697" s="64" t="str">
        <f>IF($B697="","",(COUNTIFS(Rships!$C$2:$C$9990,$A697,Rships!$D$2:$D$9990,1)))</f>
        <v/>
      </c>
      <c r="AC697" s="64" t="str">
        <f>IF($B697="","",(COUNTIFS(Rships!$C$2:$C$9990,$A697,Rships!$D$2:$D$9990,2)))</f>
        <v/>
      </c>
      <c r="AD697" s="64" t="str">
        <f>IF($B697="","",(COUNTIFS(Rships!$C$2:$C$9990,$A697,Rships!$D$2:$D$9990,3)))</f>
        <v/>
      </c>
      <c r="AE697" s="64" t="str">
        <f>IF($B697="","",(COUNTIFS(Rships!$C$2:$C$9990,$A697,Rships!$D$2:$D$9990,4)))</f>
        <v/>
      </c>
      <c r="AF697" s="64" t="str">
        <f>IF($B697="","",(COUNTIFS(Rships!$C$2:$C$9990,$A697,Rships!$D$2:$D$9990,5)))</f>
        <v/>
      </c>
      <c r="AG697" s="64" t="str">
        <f>IF($B697="","",(COUNTIFS(Rships!$C$2:$C$9990,$A697,Rships!$D$2:$D$9990,6)))</f>
        <v/>
      </c>
      <c r="AH697" s="64" t="str">
        <f>IF($B697="","",(COUNTIFS(Rships!$C$2:$C$9990,$A697,Rships!$D$2:$D$9990,7)))</f>
        <v/>
      </c>
    </row>
    <row r="698" spans="1:34">
      <c r="A698" s="1" t="s">
        <v>947</v>
      </c>
      <c r="C698" s="11" t="s">
        <v>19</v>
      </c>
      <c r="D698" s="11" t="s">
        <v>21</v>
      </c>
      <c r="F698" s="15"/>
      <c r="G698" s="15"/>
      <c r="I698" s="17"/>
      <c r="O698" s="11" t="s">
        <v>27</v>
      </c>
      <c r="Y698" s="64">
        <f t="shared" si="22"/>
        <v>0</v>
      </c>
      <c r="AA698" s="64">
        <f t="shared" si="21"/>
        <v>0</v>
      </c>
      <c r="AB698" s="64" t="str">
        <f>IF($B698="","",(COUNTIFS(Rships!$C$2:$C$9990,$A698,Rships!$D$2:$D$9990,1)))</f>
        <v/>
      </c>
      <c r="AC698" s="64" t="str">
        <f>IF($B698="","",(COUNTIFS(Rships!$C$2:$C$9990,$A698,Rships!$D$2:$D$9990,2)))</f>
        <v/>
      </c>
      <c r="AD698" s="64" t="str">
        <f>IF($B698="","",(COUNTIFS(Rships!$C$2:$C$9990,$A698,Rships!$D$2:$D$9990,3)))</f>
        <v/>
      </c>
      <c r="AE698" s="64" t="str">
        <f>IF($B698="","",(COUNTIFS(Rships!$C$2:$C$9990,$A698,Rships!$D$2:$D$9990,4)))</f>
        <v/>
      </c>
      <c r="AF698" s="64" t="str">
        <f>IF($B698="","",(COUNTIFS(Rships!$C$2:$C$9990,$A698,Rships!$D$2:$D$9990,5)))</f>
        <v/>
      </c>
      <c r="AG698" s="64" t="str">
        <f>IF($B698="","",(COUNTIFS(Rships!$C$2:$C$9990,$A698,Rships!$D$2:$D$9990,6)))</f>
        <v/>
      </c>
      <c r="AH698" s="64" t="str">
        <f>IF($B698="","",(COUNTIFS(Rships!$C$2:$C$9990,$A698,Rships!$D$2:$D$9990,7)))</f>
        <v/>
      </c>
    </row>
    <row r="699" spans="1:34">
      <c r="A699" s="1" t="s">
        <v>948</v>
      </c>
      <c r="C699" s="11" t="s">
        <v>19</v>
      </c>
      <c r="D699" s="11" t="s">
        <v>21</v>
      </c>
      <c r="F699" s="15"/>
      <c r="G699" s="15"/>
      <c r="I699" s="17"/>
      <c r="O699" s="11" t="s">
        <v>27</v>
      </c>
      <c r="Y699" s="64">
        <f t="shared" si="22"/>
        <v>0</v>
      </c>
      <c r="AA699" s="64">
        <f t="shared" si="21"/>
        <v>0</v>
      </c>
      <c r="AB699" s="64" t="str">
        <f>IF($B699="","",(COUNTIFS(Rships!$C$2:$C$9990,$A699,Rships!$D$2:$D$9990,1)))</f>
        <v/>
      </c>
      <c r="AC699" s="64" t="str">
        <f>IF($B699="","",(COUNTIFS(Rships!$C$2:$C$9990,$A699,Rships!$D$2:$D$9990,2)))</f>
        <v/>
      </c>
      <c r="AD699" s="64" t="str">
        <f>IF($B699="","",(COUNTIFS(Rships!$C$2:$C$9990,$A699,Rships!$D$2:$D$9990,3)))</f>
        <v/>
      </c>
      <c r="AE699" s="64" t="str">
        <f>IF($B699="","",(COUNTIFS(Rships!$C$2:$C$9990,$A699,Rships!$D$2:$D$9990,4)))</f>
        <v/>
      </c>
      <c r="AF699" s="64" t="str">
        <f>IF($B699="","",(COUNTIFS(Rships!$C$2:$C$9990,$A699,Rships!$D$2:$D$9990,5)))</f>
        <v/>
      </c>
      <c r="AG699" s="64" t="str">
        <f>IF($B699="","",(COUNTIFS(Rships!$C$2:$C$9990,$A699,Rships!$D$2:$D$9990,6)))</f>
        <v/>
      </c>
      <c r="AH699" s="64" t="str">
        <f>IF($B699="","",(COUNTIFS(Rships!$C$2:$C$9990,$A699,Rships!$D$2:$D$9990,7)))</f>
        <v/>
      </c>
    </row>
    <row r="700" spans="1:34">
      <c r="A700" s="1" t="s">
        <v>949</v>
      </c>
      <c r="C700" s="11" t="s">
        <v>19</v>
      </c>
      <c r="D700" s="11" t="s">
        <v>21</v>
      </c>
      <c r="F700" s="15"/>
      <c r="G700" s="15"/>
      <c r="I700" s="17"/>
      <c r="O700" s="11" t="s">
        <v>27</v>
      </c>
      <c r="Y700" s="64">
        <f t="shared" si="22"/>
        <v>0</v>
      </c>
      <c r="AA700" s="64">
        <f t="shared" si="21"/>
        <v>0</v>
      </c>
      <c r="AB700" s="64" t="str">
        <f>IF($B700="","",(COUNTIFS(Rships!$C$2:$C$9990,$A700,Rships!$D$2:$D$9990,1)))</f>
        <v/>
      </c>
      <c r="AC700" s="64" t="str">
        <f>IF($B700="","",(COUNTIFS(Rships!$C$2:$C$9990,$A700,Rships!$D$2:$D$9990,2)))</f>
        <v/>
      </c>
      <c r="AD700" s="64" t="str">
        <f>IF($B700="","",(COUNTIFS(Rships!$C$2:$C$9990,$A700,Rships!$D$2:$D$9990,3)))</f>
        <v/>
      </c>
      <c r="AE700" s="64" t="str">
        <f>IF($B700="","",(COUNTIFS(Rships!$C$2:$C$9990,$A700,Rships!$D$2:$D$9990,4)))</f>
        <v/>
      </c>
      <c r="AF700" s="64" t="str">
        <f>IF($B700="","",(COUNTIFS(Rships!$C$2:$C$9990,$A700,Rships!$D$2:$D$9990,5)))</f>
        <v/>
      </c>
      <c r="AG700" s="64" t="str">
        <f>IF($B700="","",(COUNTIFS(Rships!$C$2:$C$9990,$A700,Rships!$D$2:$D$9990,6)))</f>
        <v/>
      </c>
      <c r="AH700" s="64" t="str">
        <f>IF($B700="","",(COUNTIFS(Rships!$C$2:$C$9990,$A700,Rships!$D$2:$D$9990,7)))</f>
        <v/>
      </c>
    </row>
    <row r="701" spans="1:34">
      <c r="A701" s="1" t="s">
        <v>950</v>
      </c>
      <c r="C701" s="11" t="s">
        <v>19</v>
      </c>
      <c r="D701" s="11" t="s">
        <v>21</v>
      </c>
      <c r="F701" s="15"/>
      <c r="G701" s="15"/>
      <c r="I701" s="17"/>
      <c r="O701" s="11" t="s">
        <v>27</v>
      </c>
      <c r="Y701" s="64">
        <f t="shared" si="22"/>
        <v>0</v>
      </c>
      <c r="AA701" s="64">
        <f t="shared" si="21"/>
        <v>0</v>
      </c>
      <c r="AB701" s="64" t="str">
        <f>IF($B701="","",(COUNTIFS(Rships!$C$2:$C$9990,$A701,Rships!$D$2:$D$9990,1)))</f>
        <v/>
      </c>
      <c r="AC701" s="64" t="str">
        <f>IF($B701="","",(COUNTIFS(Rships!$C$2:$C$9990,$A701,Rships!$D$2:$D$9990,2)))</f>
        <v/>
      </c>
      <c r="AD701" s="64" t="str">
        <f>IF($B701="","",(COUNTIFS(Rships!$C$2:$C$9990,$A701,Rships!$D$2:$D$9990,3)))</f>
        <v/>
      </c>
      <c r="AE701" s="64" t="str">
        <f>IF($B701="","",(COUNTIFS(Rships!$C$2:$C$9990,$A701,Rships!$D$2:$D$9990,4)))</f>
        <v/>
      </c>
      <c r="AF701" s="64" t="str">
        <f>IF($B701="","",(COUNTIFS(Rships!$C$2:$C$9990,$A701,Rships!$D$2:$D$9990,5)))</f>
        <v/>
      </c>
      <c r="AG701" s="64" t="str">
        <f>IF($B701="","",(COUNTIFS(Rships!$C$2:$C$9990,$A701,Rships!$D$2:$D$9990,6)))</f>
        <v/>
      </c>
      <c r="AH701" s="64" t="str">
        <f>IF($B701="","",(COUNTIFS(Rships!$C$2:$C$9990,$A701,Rships!$D$2:$D$9990,7)))</f>
        <v/>
      </c>
    </row>
    <row r="702" spans="1:34">
      <c r="A702" s="1" t="s">
        <v>951</v>
      </c>
      <c r="C702" s="11" t="s">
        <v>19</v>
      </c>
      <c r="D702" s="11" t="s">
        <v>21</v>
      </c>
      <c r="F702" s="15"/>
      <c r="G702" s="15"/>
      <c r="I702" s="17"/>
      <c r="O702" s="11" t="s">
        <v>27</v>
      </c>
      <c r="Y702" s="64">
        <f t="shared" si="22"/>
        <v>0</v>
      </c>
      <c r="AA702" s="64">
        <f t="shared" si="21"/>
        <v>0</v>
      </c>
      <c r="AB702" s="64" t="str">
        <f>IF($B702="","",(COUNTIFS(Rships!$C$2:$C$9990,$A702,Rships!$D$2:$D$9990,1)))</f>
        <v/>
      </c>
      <c r="AC702" s="64" t="str">
        <f>IF($B702="","",(COUNTIFS(Rships!$C$2:$C$9990,$A702,Rships!$D$2:$D$9990,2)))</f>
        <v/>
      </c>
      <c r="AD702" s="64" t="str">
        <f>IF($B702="","",(COUNTIFS(Rships!$C$2:$C$9990,$A702,Rships!$D$2:$D$9990,3)))</f>
        <v/>
      </c>
      <c r="AE702" s="64" t="str">
        <f>IF($B702="","",(COUNTIFS(Rships!$C$2:$C$9990,$A702,Rships!$D$2:$D$9990,4)))</f>
        <v/>
      </c>
      <c r="AF702" s="64" t="str">
        <f>IF($B702="","",(COUNTIFS(Rships!$C$2:$C$9990,$A702,Rships!$D$2:$D$9990,5)))</f>
        <v/>
      </c>
      <c r="AG702" s="64" t="str">
        <f>IF($B702="","",(COUNTIFS(Rships!$C$2:$C$9990,$A702,Rships!$D$2:$D$9990,6)))</f>
        <v/>
      </c>
      <c r="AH702" s="64" t="str">
        <f>IF($B702="","",(COUNTIFS(Rships!$C$2:$C$9990,$A702,Rships!$D$2:$D$9990,7)))</f>
        <v/>
      </c>
    </row>
    <row r="703" spans="1:34">
      <c r="A703" s="1" t="s">
        <v>952</v>
      </c>
      <c r="C703" s="11" t="s">
        <v>19</v>
      </c>
      <c r="D703" s="11" t="s">
        <v>21</v>
      </c>
      <c r="F703" s="15"/>
      <c r="G703" s="15"/>
      <c r="I703" s="17"/>
      <c r="O703" s="11" t="s">
        <v>27</v>
      </c>
      <c r="Y703" s="64">
        <f t="shared" si="22"/>
        <v>0</v>
      </c>
      <c r="AA703" s="64">
        <f t="shared" si="21"/>
        <v>0</v>
      </c>
      <c r="AB703" s="64" t="str">
        <f>IF($B703="","",(COUNTIFS(Rships!$C$2:$C$9990,$A703,Rships!$D$2:$D$9990,1)))</f>
        <v/>
      </c>
      <c r="AC703" s="64" t="str">
        <f>IF($B703="","",(COUNTIFS(Rships!$C$2:$C$9990,$A703,Rships!$D$2:$D$9990,2)))</f>
        <v/>
      </c>
      <c r="AD703" s="64" t="str">
        <f>IF($B703="","",(COUNTIFS(Rships!$C$2:$C$9990,$A703,Rships!$D$2:$D$9990,3)))</f>
        <v/>
      </c>
      <c r="AE703" s="64" t="str">
        <f>IF($B703="","",(COUNTIFS(Rships!$C$2:$C$9990,$A703,Rships!$D$2:$D$9990,4)))</f>
        <v/>
      </c>
      <c r="AF703" s="64" t="str">
        <f>IF($B703="","",(COUNTIFS(Rships!$C$2:$C$9990,$A703,Rships!$D$2:$D$9990,5)))</f>
        <v/>
      </c>
      <c r="AG703" s="64" t="str">
        <f>IF($B703="","",(COUNTIFS(Rships!$C$2:$C$9990,$A703,Rships!$D$2:$D$9990,6)))</f>
        <v/>
      </c>
      <c r="AH703" s="64" t="str">
        <f>IF($B703="","",(COUNTIFS(Rships!$C$2:$C$9990,$A703,Rships!$D$2:$D$9990,7)))</f>
        <v/>
      </c>
    </row>
    <row r="704" spans="1:34">
      <c r="A704" s="1" t="s">
        <v>953</v>
      </c>
      <c r="C704" s="11" t="s">
        <v>19</v>
      </c>
      <c r="D704" s="11" t="s">
        <v>21</v>
      </c>
      <c r="F704" s="15"/>
      <c r="G704" s="15"/>
      <c r="I704" s="17"/>
      <c r="O704" s="11" t="s">
        <v>27</v>
      </c>
      <c r="Y704" s="64">
        <f t="shared" si="22"/>
        <v>0</v>
      </c>
      <c r="AA704" s="64">
        <f t="shared" si="21"/>
        <v>0</v>
      </c>
      <c r="AB704" s="64" t="str">
        <f>IF($B704="","",(COUNTIFS(Rships!$C$2:$C$9990,$A704,Rships!$D$2:$D$9990,1)))</f>
        <v/>
      </c>
      <c r="AC704" s="64" t="str">
        <f>IF($B704="","",(COUNTIFS(Rships!$C$2:$C$9990,$A704,Rships!$D$2:$D$9990,2)))</f>
        <v/>
      </c>
      <c r="AD704" s="64" t="str">
        <f>IF($B704="","",(COUNTIFS(Rships!$C$2:$C$9990,$A704,Rships!$D$2:$D$9990,3)))</f>
        <v/>
      </c>
      <c r="AE704" s="64" t="str">
        <f>IF($B704="","",(COUNTIFS(Rships!$C$2:$C$9990,$A704,Rships!$D$2:$D$9990,4)))</f>
        <v/>
      </c>
      <c r="AF704" s="64" t="str">
        <f>IF($B704="","",(COUNTIFS(Rships!$C$2:$C$9990,$A704,Rships!$D$2:$D$9990,5)))</f>
        <v/>
      </c>
      <c r="AG704" s="64" t="str">
        <f>IF($B704="","",(COUNTIFS(Rships!$C$2:$C$9990,$A704,Rships!$D$2:$D$9990,6)))</f>
        <v/>
      </c>
      <c r="AH704" s="64" t="str">
        <f>IF($B704="","",(COUNTIFS(Rships!$C$2:$C$9990,$A704,Rships!$D$2:$D$9990,7)))</f>
        <v/>
      </c>
    </row>
    <row r="705" spans="1:34">
      <c r="A705" s="1" t="s">
        <v>954</v>
      </c>
      <c r="C705" s="11" t="s">
        <v>19</v>
      </c>
      <c r="D705" s="11" t="s">
        <v>21</v>
      </c>
      <c r="F705" s="15"/>
      <c r="G705" s="15"/>
      <c r="I705" s="17"/>
      <c r="O705" s="11" t="s">
        <v>27</v>
      </c>
      <c r="Y705" s="64">
        <f t="shared" si="22"/>
        <v>0</v>
      </c>
      <c r="AA705" s="64">
        <f t="shared" si="21"/>
        <v>0</v>
      </c>
      <c r="AB705" s="64" t="str">
        <f>IF($B705="","",(COUNTIFS(Rships!$C$2:$C$9990,$A705,Rships!$D$2:$D$9990,1)))</f>
        <v/>
      </c>
      <c r="AC705" s="64" t="str">
        <f>IF($B705="","",(COUNTIFS(Rships!$C$2:$C$9990,$A705,Rships!$D$2:$D$9990,2)))</f>
        <v/>
      </c>
      <c r="AD705" s="64" t="str">
        <f>IF($B705="","",(COUNTIFS(Rships!$C$2:$C$9990,$A705,Rships!$D$2:$D$9990,3)))</f>
        <v/>
      </c>
      <c r="AE705" s="64" t="str">
        <f>IF($B705="","",(COUNTIFS(Rships!$C$2:$C$9990,$A705,Rships!$D$2:$D$9990,4)))</f>
        <v/>
      </c>
      <c r="AF705" s="64" t="str">
        <f>IF($B705="","",(COUNTIFS(Rships!$C$2:$C$9990,$A705,Rships!$D$2:$D$9990,5)))</f>
        <v/>
      </c>
      <c r="AG705" s="64" t="str">
        <f>IF($B705="","",(COUNTIFS(Rships!$C$2:$C$9990,$A705,Rships!$D$2:$D$9990,6)))</f>
        <v/>
      </c>
      <c r="AH705" s="64" t="str">
        <f>IF($B705="","",(COUNTIFS(Rships!$C$2:$C$9990,$A705,Rships!$D$2:$D$9990,7)))</f>
        <v/>
      </c>
    </row>
    <row r="706" spans="1:34">
      <c r="A706" s="1" t="s">
        <v>955</v>
      </c>
      <c r="C706" s="11" t="s">
        <v>19</v>
      </c>
      <c r="D706" s="11" t="s">
        <v>21</v>
      </c>
      <c r="F706" s="15"/>
      <c r="G706" s="15"/>
      <c r="I706" s="17"/>
      <c r="O706" s="11" t="s">
        <v>27</v>
      </c>
      <c r="Y706" s="64">
        <f t="shared" si="22"/>
        <v>0</v>
      </c>
      <c r="AA706" s="64">
        <f t="shared" si="21"/>
        <v>0</v>
      </c>
      <c r="AB706" s="64" t="str">
        <f>IF($B706="","",(COUNTIFS(Rships!$C$2:$C$9990,$A706,Rships!$D$2:$D$9990,1)))</f>
        <v/>
      </c>
      <c r="AC706" s="64" t="str">
        <f>IF($B706="","",(COUNTIFS(Rships!$C$2:$C$9990,$A706,Rships!$D$2:$D$9990,2)))</f>
        <v/>
      </c>
      <c r="AD706" s="64" t="str">
        <f>IF($B706="","",(COUNTIFS(Rships!$C$2:$C$9990,$A706,Rships!$D$2:$D$9990,3)))</f>
        <v/>
      </c>
      <c r="AE706" s="64" t="str">
        <f>IF($B706="","",(COUNTIFS(Rships!$C$2:$C$9990,$A706,Rships!$D$2:$D$9990,4)))</f>
        <v/>
      </c>
      <c r="AF706" s="64" t="str">
        <f>IF($B706="","",(COUNTIFS(Rships!$C$2:$C$9990,$A706,Rships!$D$2:$D$9990,5)))</f>
        <v/>
      </c>
      <c r="AG706" s="64" t="str">
        <f>IF($B706="","",(COUNTIFS(Rships!$C$2:$C$9990,$A706,Rships!$D$2:$D$9990,6)))</f>
        <v/>
      </c>
      <c r="AH706" s="64" t="str">
        <f>IF($B706="","",(COUNTIFS(Rships!$C$2:$C$9990,$A706,Rships!$D$2:$D$9990,7)))</f>
        <v/>
      </c>
    </row>
    <row r="707" spans="1:34">
      <c r="A707" s="1" t="s">
        <v>956</v>
      </c>
      <c r="C707" s="11" t="s">
        <v>19</v>
      </c>
      <c r="D707" s="11" t="s">
        <v>21</v>
      </c>
      <c r="F707" s="15"/>
      <c r="G707" s="15"/>
      <c r="I707" s="17"/>
      <c r="O707" s="11" t="s">
        <v>27</v>
      </c>
      <c r="Y707" s="64">
        <f t="shared" si="22"/>
        <v>0</v>
      </c>
      <c r="AA707" s="64">
        <f t="shared" ref="AA707:AA770" si="23">SUM($AB707:$AH707)</f>
        <v>0</v>
      </c>
      <c r="AB707" s="64" t="str">
        <f>IF($B707="","",(COUNTIFS(Rships!$C$2:$C$9990,$A707,Rships!$D$2:$D$9990,1)))</f>
        <v/>
      </c>
      <c r="AC707" s="64" t="str">
        <f>IF($B707="","",(COUNTIFS(Rships!$C$2:$C$9990,$A707,Rships!$D$2:$D$9990,2)))</f>
        <v/>
      </c>
      <c r="AD707" s="64" t="str">
        <f>IF($B707="","",(COUNTIFS(Rships!$C$2:$C$9990,$A707,Rships!$D$2:$D$9990,3)))</f>
        <v/>
      </c>
      <c r="AE707" s="64" t="str">
        <f>IF($B707="","",(COUNTIFS(Rships!$C$2:$C$9990,$A707,Rships!$D$2:$D$9990,4)))</f>
        <v/>
      </c>
      <c r="AF707" s="64" t="str">
        <f>IF($B707="","",(COUNTIFS(Rships!$C$2:$C$9990,$A707,Rships!$D$2:$D$9990,5)))</f>
        <v/>
      </c>
      <c r="AG707" s="64" t="str">
        <f>IF($B707="","",(COUNTIFS(Rships!$C$2:$C$9990,$A707,Rships!$D$2:$D$9990,6)))</f>
        <v/>
      </c>
      <c r="AH707" s="64" t="str">
        <f>IF($B707="","",(COUNTIFS(Rships!$C$2:$C$9990,$A707,Rships!$D$2:$D$9990,7)))</f>
        <v/>
      </c>
    </row>
    <row r="708" spans="1:34">
      <c r="A708" s="1" t="s">
        <v>957</v>
      </c>
      <c r="C708" s="11" t="s">
        <v>19</v>
      </c>
      <c r="D708" s="11" t="s">
        <v>21</v>
      </c>
      <c r="F708" s="15"/>
      <c r="G708" s="15"/>
      <c r="I708" s="17"/>
      <c r="O708" s="11" t="s">
        <v>27</v>
      </c>
      <c r="Y708" s="64">
        <f t="shared" si="22"/>
        <v>0</v>
      </c>
      <c r="AA708" s="64">
        <f t="shared" si="23"/>
        <v>0</v>
      </c>
      <c r="AB708" s="64" t="str">
        <f>IF($B708="","",(COUNTIFS(Rships!$C$2:$C$9990,$A708,Rships!$D$2:$D$9990,1)))</f>
        <v/>
      </c>
      <c r="AC708" s="64" t="str">
        <f>IF($B708="","",(COUNTIFS(Rships!$C$2:$C$9990,$A708,Rships!$D$2:$D$9990,2)))</f>
        <v/>
      </c>
      <c r="AD708" s="64" t="str">
        <f>IF($B708="","",(COUNTIFS(Rships!$C$2:$C$9990,$A708,Rships!$D$2:$D$9990,3)))</f>
        <v/>
      </c>
      <c r="AE708" s="64" t="str">
        <f>IF($B708="","",(COUNTIFS(Rships!$C$2:$C$9990,$A708,Rships!$D$2:$D$9990,4)))</f>
        <v/>
      </c>
      <c r="AF708" s="64" t="str">
        <f>IF($B708="","",(COUNTIFS(Rships!$C$2:$C$9990,$A708,Rships!$D$2:$D$9990,5)))</f>
        <v/>
      </c>
      <c r="AG708" s="64" t="str">
        <f>IF($B708="","",(COUNTIFS(Rships!$C$2:$C$9990,$A708,Rships!$D$2:$D$9990,6)))</f>
        <v/>
      </c>
      <c r="AH708" s="64" t="str">
        <f>IF($B708="","",(COUNTIFS(Rships!$C$2:$C$9990,$A708,Rships!$D$2:$D$9990,7)))</f>
        <v/>
      </c>
    </row>
    <row r="709" spans="1:34">
      <c r="A709" s="1" t="s">
        <v>958</v>
      </c>
      <c r="C709" s="11" t="s">
        <v>19</v>
      </c>
      <c r="D709" s="11" t="s">
        <v>21</v>
      </c>
      <c r="F709" s="15"/>
      <c r="G709" s="15"/>
      <c r="I709" s="17"/>
      <c r="O709" s="11" t="s">
        <v>27</v>
      </c>
      <c r="Y709" s="64">
        <f t="shared" si="22"/>
        <v>0</v>
      </c>
      <c r="AA709" s="64">
        <f t="shared" si="23"/>
        <v>0</v>
      </c>
      <c r="AB709" s="64" t="str">
        <f>IF($B709="","",(COUNTIFS(Rships!$C$2:$C$9990,$A709,Rships!$D$2:$D$9990,1)))</f>
        <v/>
      </c>
      <c r="AC709" s="64" t="str">
        <f>IF($B709="","",(COUNTIFS(Rships!$C$2:$C$9990,$A709,Rships!$D$2:$D$9990,2)))</f>
        <v/>
      </c>
      <c r="AD709" s="64" t="str">
        <f>IF($B709="","",(COUNTIFS(Rships!$C$2:$C$9990,$A709,Rships!$D$2:$D$9990,3)))</f>
        <v/>
      </c>
      <c r="AE709" s="64" t="str">
        <f>IF($B709="","",(COUNTIFS(Rships!$C$2:$C$9990,$A709,Rships!$D$2:$D$9990,4)))</f>
        <v/>
      </c>
      <c r="AF709" s="64" t="str">
        <f>IF($B709="","",(COUNTIFS(Rships!$C$2:$C$9990,$A709,Rships!$D$2:$D$9990,5)))</f>
        <v/>
      </c>
      <c r="AG709" s="64" t="str">
        <f>IF($B709="","",(COUNTIFS(Rships!$C$2:$C$9990,$A709,Rships!$D$2:$D$9990,6)))</f>
        <v/>
      </c>
      <c r="AH709" s="64" t="str">
        <f>IF($B709="","",(COUNTIFS(Rships!$C$2:$C$9990,$A709,Rships!$D$2:$D$9990,7)))</f>
        <v/>
      </c>
    </row>
    <row r="710" spans="1:34">
      <c r="A710" s="1" t="s">
        <v>959</v>
      </c>
      <c r="C710" s="11" t="s">
        <v>19</v>
      </c>
      <c r="D710" s="11" t="s">
        <v>21</v>
      </c>
      <c r="F710" s="15"/>
      <c r="G710" s="15"/>
      <c r="I710" s="17"/>
      <c r="O710" s="11" t="s">
        <v>27</v>
      </c>
      <c r="Y710" s="64">
        <f t="shared" si="22"/>
        <v>0</v>
      </c>
      <c r="AA710" s="64">
        <f t="shared" si="23"/>
        <v>0</v>
      </c>
      <c r="AB710" s="64" t="str">
        <f>IF($B710="","",(COUNTIFS(Rships!$C$2:$C$9990,$A710,Rships!$D$2:$D$9990,1)))</f>
        <v/>
      </c>
      <c r="AC710" s="64" t="str">
        <f>IF($B710="","",(COUNTIFS(Rships!$C$2:$C$9990,$A710,Rships!$D$2:$D$9990,2)))</f>
        <v/>
      </c>
      <c r="AD710" s="64" t="str">
        <f>IF($B710="","",(COUNTIFS(Rships!$C$2:$C$9990,$A710,Rships!$D$2:$D$9990,3)))</f>
        <v/>
      </c>
      <c r="AE710" s="64" t="str">
        <f>IF($B710="","",(COUNTIFS(Rships!$C$2:$C$9990,$A710,Rships!$D$2:$D$9990,4)))</f>
        <v/>
      </c>
      <c r="AF710" s="64" t="str">
        <f>IF($B710="","",(COUNTIFS(Rships!$C$2:$C$9990,$A710,Rships!$D$2:$D$9990,5)))</f>
        <v/>
      </c>
      <c r="AG710" s="64" t="str">
        <f>IF($B710="","",(COUNTIFS(Rships!$C$2:$C$9990,$A710,Rships!$D$2:$D$9990,6)))</f>
        <v/>
      </c>
      <c r="AH710" s="64" t="str">
        <f>IF($B710="","",(COUNTIFS(Rships!$C$2:$C$9990,$A710,Rships!$D$2:$D$9990,7)))</f>
        <v/>
      </c>
    </row>
    <row r="711" spans="1:34">
      <c r="A711" s="1" t="s">
        <v>960</v>
      </c>
      <c r="C711" s="11" t="s">
        <v>19</v>
      </c>
      <c r="D711" s="11" t="s">
        <v>21</v>
      </c>
      <c r="F711" s="15"/>
      <c r="G711" s="15"/>
      <c r="I711" s="17"/>
      <c r="O711" s="11" t="s">
        <v>27</v>
      </c>
      <c r="Y711" s="64">
        <f t="shared" si="22"/>
        <v>0</v>
      </c>
      <c r="AA711" s="64">
        <f t="shared" si="23"/>
        <v>0</v>
      </c>
      <c r="AB711" s="64" t="str">
        <f>IF($B711="","",(COUNTIFS(Rships!$C$2:$C$9990,$A711,Rships!$D$2:$D$9990,1)))</f>
        <v/>
      </c>
      <c r="AC711" s="64" t="str">
        <f>IF($B711="","",(COUNTIFS(Rships!$C$2:$C$9990,$A711,Rships!$D$2:$D$9990,2)))</f>
        <v/>
      </c>
      <c r="AD711" s="64" t="str">
        <f>IF($B711="","",(COUNTIFS(Rships!$C$2:$C$9990,$A711,Rships!$D$2:$D$9990,3)))</f>
        <v/>
      </c>
      <c r="AE711" s="64" t="str">
        <f>IF($B711="","",(COUNTIFS(Rships!$C$2:$C$9990,$A711,Rships!$D$2:$D$9990,4)))</f>
        <v/>
      </c>
      <c r="AF711" s="64" t="str">
        <f>IF($B711="","",(COUNTIFS(Rships!$C$2:$C$9990,$A711,Rships!$D$2:$D$9990,5)))</f>
        <v/>
      </c>
      <c r="AG711" s="64" t="str">
        <f>IF($B711="","",(COUNTIFS(Rships!$C$2:$C$9990,$A711,Rships!$D$2:$D$9990,6)))</f>
        <v/>
      </c>
      <c r="AH711" s="64" t="str">
        <f>IF($B711="","",(COUNTIFS(Rships!$C$2:$C$9990,$A711,Rships!$D$2:$D$9990,7)))</f>
        <v/>
      </c>
    </row>
    <row r="712" spans="1:34">
      <c r="A712" s="1" t="s">
        <v>961</v>
      </c>
      <c r="C712" s="11" t="s">
        <v>19</v>
      </c>
      <c r="D712" s="11" t="s">
        <v>21</v>
      </c>
      <c r="F712" s="15"/>
      <c r="G712" s="15"/>
      <c r="I712" s="17"/>
      <c r="O712" s="11" t="s">
        <v>27</v>
      </c>
      <c r="Y712" s="64">
        <f t="shared" si="22"/>
        <v>0</v>
      </c>
      <c r="AA712" s="64">
        <f t="shared" si="23"/>
        <v>0</v>
      </c>
      <c r="AB712" s="64" t="str">
        <f>IF($B712="","",(COUNTIFS(Rships!$C$2:$C$9990,$A712,Rships!$D$2:$D$9990,1)))</f>
        <v/>
      </c>
      <c r="AC712" s="64" t="str">
        <f>IF($B712="","",(COUNTIFS(Rships!$C$2:$C$9990,$A712,Rships!$D$2:$D$9990,2)))</f>
        <v/>
      </c>
      <c r="AD712" s="64" t="str">
        <f>IF($B712="","",(COUNTIFS(Rships!$C$2:$C$9990,$A712,Rships!$D$2:$D$9990,3)))</f>
        <v/>
      </c>
      <c r="AE712" s="64" t="str">
        <f>IF($B712="","",(COUNTIFS(Rships!$C$2:$C$9990,$A712,Rships!$D$2:$D$9990,4)))</f>
        <v/>
      </c>
      <c r="AF712" s="64" t="str">
        <f>IF($B712="","",(COUNTIFS(Rships!$C$2:$C$9990,$A712,Rships!$D$2:$D$9990,5)))</f>
        <v/>
      </c>
      <c r="AG712" s="64" t="str">
        <f>IF($B712="","",(COUNTIFS(Rships!$C$2:$C$9990,$A712,Rships!$D$2:$D$9990,6)))</f>
        <v/>
      </c>
      <c r="AH712" s="64" t="str">
        <f>IF($B712="","",(COUNTIFS(Rships!$C$2:$C$9990,$A712,Rships!$D$2:$D$9990,7)))</f>
        <v/>
      </c>
    </row>
    <row r="713" spans="1:34">
      <c r="A713" s="1" t="s">
        <v>962</v>
      </c>
      <c r="C713" s="11" t="s">
        <v>19</v>
      </c>
      <c r="D713" s="11" t="s">
        <v>21</v>
      </c>
      <c r="F713" s="15"/>
      <c r="G713" s="15"/>
      <c r="I713" s="17"/>
      <c r="O713" s="11" t="s">
        <v>27</v>
      </c>
      <c r="Y713" s="64">
        <f t="shared" si="22"/>
        <v>0</v>
      </c>
      <c r="AA713" s="64">
        <f t="shared" si="23"/>
        <v>0</v>
      </c>
      <c r="AB713" s="64" t="str">
        <f>IF($B713="","",(COUNTIFS(Rships!$C$2:$C$9990,$A713,Rships!$D$2:$D$9990,1)))</f>
        <v/>
      </c>
      <c r="AC713" s="64" t="str">
        <f>IF($B713="","",(COUNTIFS(Rships!$C$2:$C$9990,$A713,Rships!$D$2:$D$9990,2)))</f>
        <v/>
      </c>
      <c r="AD713" s="64" t="str">
        <f>IF($B713="","",(COUNTIFS(Rships!$C$2:$C$9990,$A713,Rships!$D$2:$D$9990,3)))</f>
        <v/>
      </c>
      <c r="AE713" s="64" t="str">
        <f>IF($B713="","",(COUNTIFS(Rships!$C$2:$C$9990,$A713,Rships!$D$2:$D$9990,4)))</f>
        <v/>
      </c>
      <c r="AF713" s="64" t="str">
        <f>IF($B713="","",(COUNTIFS(Rships!$C$2:$C$9990,$A713,Rships!$D$2:$D$9990,5)))</f>
        <v/>
      </c>
      <c r="AG713" s="64" t="str">
        <f>IF($B713="","",(COUNTIFS(Rships!$C$2:$C$9990,$A713,Rships!$D$2:$D$9990,6)))</f>
        <v/>
      </c>
      <c r="AH713" s="64" t="str">
        <f>IF($B713="","",(COUNTIFS(Rships!$C$2:$C$9990,$A713,Rships!$D$2:$D$9990,7)))</f>
        <v/>
      </c>
    </row>
    <row r="714" spans="1:34">
      <c r="A714" s="1" t="s">
        <v>963</v>
      </c>
      <c r="C714" s="11" t="s">
        <v>19</v>
      </c>
      <c r="D714" s="11" t="s">
        <v>21</v>
      </c>
      <c r="F714" s="15"/>
      <c r="G714" s="15"/>
      <c r="I714" s="17"/>
      <c r="O714" s="11" t="s">
        <v>27</v>
      </c>
      <c r="Y714" s="64">
        <f t="shared" si="22"/>
        <v>0</v>
      </c>
      <c r="AA714" s="64">
        <f t="shared" si="23"/>
        <v>0</v>
      </c>
      <c r="AB714" s="64" t="str">
        <f>IF($B714="","",(COUNTIFS(Rships!$C$2:$C$9990,$A714,Rships!$D$2:$D$9990,1)))</f>
        <v/>
      </c>
      <c r="AC714" s="64" t="str">
        <f>IF($B714="","",(COUNTIFS(Rships!$C$2:$C$9990,$A714,Rships!$D$2:$D$9990,2)))</f>
        <v/>
      </c>
      <c r="AD714" s="64" t="str">
        <f>IF($B714="","",(COUNTIFS(Rships!$C$2:$C$9990,$A714,Rships!$D$2:$D$9990,3)))</f>
        <v/>
      </c>
      <c r="AE714" s="64" t="str">
        <f>IF($B714="","",(COUNTIFS(Rships!$C$2:$C$9990,$A714,Rships!$D$2:$D$9990,4)))</f>
        <v/>
      </c>
      <c r="AF714" s="64" t="str">
        <f>IF($B714="","",(COUNTIFS(Rships!$C$2:$C$9990,$A714,Rships!$D$2:$D$9990,5)))</f>
        <v/>
      </c>
      <c r="AG714" s="64" t="str">
        <f>IF($B714="","",(COUNTIFS(Rships!$C$2:$C$9990,$A714,Rships!$D$2:$D$9990,6)))</f>
        <v/>
      </c>
      <c r="AH714" s="64" t="str">
        <f>IF($B714="","",(COUNTIFS(Rships!$C$2:$C$9990,$A714,Rships!$D$2:$D$9990,7)))</f>
        <v/>
      </c>
    </row>
    <row r="715" spans="1:34">
      <c r="A715" s="1" t="s">
        <v>964</v>
      </c>
      <c r="C715" s="11" t="s">
        <v>19</v>
      </c>
      <c r="D715" s="11" t="s">
        <v>21</v>
      </c>
      <c r="F715" s="15"/>
      <c r="G715" s="15"/>
      <c r="I715" s="17"/>
      <c r="O715" s="11" t="s">
        <v>27</v>
      </c>
      <c r="Y715" s="64">
        <f t="shared" si="22"/>
        <v>0</v>
      </c>
      <c r="AA715" s="64">
        <f t="shared" si="23"/>
        <v>0</v>
      </c>
      <c r="AB715" s="64" t="str">
        <f>IF($B715="","",(COUNTIFS(Rships!$C$2:$C$9990,$A715,Rships!$D$2:$D$9990,1)))</f>
        <v/>
      </c>
      <c r="AC715" s="64" t="str">
        <f>IF($B715="","",(COUNTIFS(Rships!$C$2:$C$9990,$A715,Rships!$D$2:$D$9990,2)))</f>
        <v/>
      </c>
      <c r="AD715" s="64" t="str">
        <f>IF($B715="","",(COUNTIFS(Rships!$C$2:$C$9990,$A715,Rships!$D$2:$D$9990,3)))</f>
        <v/>
      </c>
      <c r="AE715" s="64" t="str">
        <f>IF($B715="","",(COUNTIFS(Rships!$C$2:$C$9990,$A715,Rships!$D$2:$D$9990,4)))</f>
        <v/>
      </c>
      <c r="AF715" s="64" t="str">
        <f>IF($B715="","",(COUNTIFS(Rships!$C$2:$C$9990,$A715,Rships!$D$2:$D$9990,5)))</f>
        <v/>
      </c>
      <c r="AG715" s="64" t="str">
        <f>IF($B715="","",(COUNTIFS(Rships!$C$2:$C$9990,$A715,Rships!$D$2:$D$9990,6)))</f>
        <v/>
      </c>
      <c r="AH715" s="64" t="str">
        <f>IF($B715="","",(COUNTIFS(Rships!$C$2:$C$9990,$A715,Rships!$D$2:$D$9990,7)))</f>
        <v/>
      </c>
    </row>
    <row r="716" spans="1:34">
      <c r="A716" s="1" t="s">
        <v>965</v>
      </c>
      <c r="C716" s="11" t="s">
        <v>19</v>
      </c>
      <c r="D716" s="11" t="s">
        <v>21</v>
      </c>
      <c r="F716" s="15"/>
      <c r="G716" s="15"/>
      <c r="I716" s="17"/>
      <c r="O716" s="11" t="s">
        <v>27</v>
      </c>
      <c r="Y716" s="64">
        <f t="shared" si="22"/>
        <v>0</v>
      </c>
      <c r="AA716" s="64">
        <f t="shared" si="23"/>
        <v>0</v>
      </c>
      <c r="AB716" s="64" t="str">
        <f>IF($B716="","",(COUNTIFS(Rships!$C$2:$C$9990,$A716,Rships!$D$2:$D$9990,1)))</f>
        <v/>
      </c>
      <c r="AC716" s="64" t="str">
        <f>IF($B716="","",(COUNTIFS(Rships!$C$2:$C$9990,$A716,Rships!$D$2:$D$9990,2)))</f>
        <v/>
      </c>
      <c r="AD716" s="64" t="str">
        <f>IF($B716="","",(COUNTIFS(Rships!$C$2:$C$9990,$A716,Rships!$D$2:$D$9990,3)))</f>
        <v/>
      </c>
      <c r="AE716" s="64" t="str">
        <f>IF($B716="","",(COUNTIFS(Rships!$C$2:$C$9990,$A716,Rships!$D$2:$D$9990,4)))</f>
        <v/>
      </c>
      <c r="AF716" s="64" t="str">
        <f>IF($B716="","",(COUNTIFS(Rships!$C$2:$C$9990,$A716,Rships!$D$2:$D$9990,5)))</f>
        <v/>
      </c>
      <c r="AG716" s="64" t="str">
        <f>IF($B716="","",(COUNTIFS(Rships!$C$2:$C$9990,$A716,Rships!$D$2:$D$9990,6)))</f>
        <v/>
      </c>
      <c r="AH716" s="64" t="str">
        <f>IF($B716="","",(COUNTIFS(Rships!$C$2:$C$9990,$A716,Rships!$D$2:$D$9990,7)))</f>
        <v/>
      </c>
    </row>
    <row r="717" spans="1:34">
      <c r="A717" s="1" t="s">
        <v>966</v>
      </c>
      <c r="C717" s="11" t="s">
        <v>19</v>
      </c>
      <c r="D717" s="11" t="s">
        <v>21</v>
      </c>
      <c r="F717" s="15"/>
      <c r="G717" s="15"/>
      <c r="I717" s="17"/>
      <c r="O717" s="11" t="s">
        <v>27</v>
      </c>
      <c r="Y717" s="64">
        <f t="shared" si="22"/>
        <v>0</v>
      </c>
      <c r="AA717" s="64">
        <f t="shared" si="23"/>
        <v>0</v>
      </c>
      <c r="AB717" s="64" t="str">
        <f>IF($B717="","",(COUNTIFS(Rships!$C$2:$C$9990,$A717,Rships!$D$2:$D$9990,1)))</f>
        <v/>
      </c>
      <c r="AC717" s="64" t="str">
        <f>IF($B717="","",(COUNTIFS(Rships!$C$2:$C$9990,$A717,Rships!$D$2:$D$9990,2)))</f>
        <v/>
      </c>
      <c r="AD717" s="64" t="str">
        <f>IF($B717="","",(COUNTIFS(Rships!$C$2:$C$9990,$A717,Rships!$D$2:$D$9990,3)))</f>
        <v/>
      </c>
      <c r="AE717" s="64" t="str">
        <f>IF($B717="","",(COUNTIFS(Rships!$C$2:$C$9990,$A717,Rships!$D$2:$D$9990,4)))</f>
        <v/>
      </c>
      <c r="AF717" s="64" t="str">
        <f>IF($B717="","",(COUNTIFS(Rships!$C$2:$C$9990,$A717,Rships!$D$2:$D$9990,5)))</f>
        <v/>
      </c>
      <c r="AG717" s="64" t="str">
        <f>IF($B717="","",(COUNTIFS(Rships!$C$2:$C$9990,$A717,Rships!$D$2:$D$9990,6)))</f>
        <v/>
      </c>
      <c r="AH717" s="64" t="str">
        <f>IF($B717="","",(COUNTIFS(Rships!$C$2:$C$9990,$A717,Rships!$D$2:$D$9990,7)))</f>
        <v/>
      </c>
    </row>
    <row r="718" spans="1:34">
      <c r="A718" s="1" t="s">
        <v>967</v>
      </c>
      <c r="C718" s="11" t="s">
        <v>19</v>
      </c>
      <c r="D718" s="11" t="s">
        <v>21</v>
      </c>
      <c r="F718" s="15"/>
      <c r="G718" s="15"/>
      <c r="I718" s="17"/>
      <c r="O718" s="11" t="s">
        <v>27</v>
      </c>
      <c r="Y718" s="64">
        <f t="shared" si="22"/>
        <v>0</v>
      </c>
      <c r="AA718" s="64">
        <f t="shared" si="23"/>
        <v>0</v>
      </c>
      <c r="AB718" s="64" t="str">
        <f>IF($B718="","",(COUNTIFS(Rships!$C$2:$C$9990,$A718,Rships!$D$2:$D$9990,1)))</f>
        <v/>
      </c>
      <c r="AC718" s="64" t="str">
        <f>IF($B718="","",(COUNTIFS(Rships!$C$2:$C$9990,$A718,Rships!$D$2:$D$9990,2)))</f>
        <v/>
      </c>
      <c r="AD718" s="64" t="str">
        <f>IF($B718="","",(COUNTIFS(Rships!$C$2:$C$9990,$A718,Rships!$D$2:$D$9990,3)))</f>
        <v/>
      </c>
      <c r="AE718" s="64" t="str">
        <f>IF($B718="","",(COUNTIFS(Rships!$C$2:$C$9990,$A718,Rships!$D$2:$D$9990,4)))</f>
        <v/>
      </c>
      <c r="AF718" s="64" t="str">
        <f>IF($B718="","",(COUNTIFS(Rships!$C$2:$C$9990,$A718,Rships!$D$2:$D$9990,5)))</f>
        <v/>
      </c>
      <c r="AG718" s="64" t="str">
        <f>IF($B718="","",(COUNTIFS(Rships!$C$2:$C$9990,$A718,Rships!$D$2:$D$9990,6)))</f>
        <v/>
      </c>
      <c r="AH718" s="64" t="str">
        <f>IF($B718="","",(COUNTIFS(Rships!$C$2:$C$9990,$A718,Rships!$D$2:$D$9990,7)))</f>
        <v/>
      </c>
    </row>
    <row r="719" spans="1:34">
      <c r="A719" s="1" t="s">
        <v>968</v>
      </c>
      <c r="C719" s="11" t="s">
        <v>19</v>
      </c>
      <c r="D719" s="11" t="s">
        <v>21</v>
      </c>
      <c r="F719" s="15"/>
      <c r="G719" s="15"/>
      <c r="I719" s="17"/>
      <c r="O719" s="11" t="s">
        <v>27</v>
      </c>
      <c r="Y719" s="64">
        <f t="shared" si="22"/>
        <v>0</v>
      </c>
      <c r="AA719" s="64">
        <f t="shared" si="23"/>
        <v>0</v>
      </c>
      <c r="AB719" s="64" t="str">
        <f>IF($B719="","",(COUNTIFS(Rships!$C$2:$C$9990,$A719,Rships!$D$2:$D$9990,1)))</f>
        <v/>
      </c>
      <c r="AC719" s="64" t="str">
        <f>IF($B719="","",(COUNTIFS(Rships!$C$2:$C$9990,$A719,Rships!$D$2:$D$9990,2)))</f>
        <v/>
      </c>
      <c r="AD719" s="64" t="str">
        <f>IF($B719="","",(COUNTIFS(Rships!$C$2:$C$9990,$A719,Rships!$D$2:$D$9990,3)))</f>
        <v/>
      </c>
      <c r="AE719" s="64" t="str">
        <f>IF($B719="","",(COUNTIFS(Rships!$C$2:$C$9990,$A719,Rships!$D$2:$D$9990,4)))</f>
        <v/>
      </c>
      <c r="AF719" s="64" t="str">
        <f>IF($B719="","",(COUNTIFS(Rships!$C$2:$C$9990,$A719,Rships!$D$2:$D$9990,5)))</f>
        <v/>
      </c>
      <c r="AG719" s="64" t="str">
        <f>IF($B719="","",(COUNTIFS(Rships!$C$2:$C$9990,$A719,Rships!$D$2:$D$9990,6)))</f>
        <v/>
      </c>
      <c r="AH719" s="64" t="str">
        <f>IF($B719="","",(COUNTIFS(Rships!$C$2:$C$9990,$A719,Rships!$D$2:$D$9990,7)))</f>
        <v/>
      </c>
    </row>
    <row r="720" spans="1:34">
      <c r="A720" s="1" t="s">
        <v>969</v>
      </c>
      <c r="C720" s="11" t="s">
        <v>19</v>
      </c>
      <c r="D720" s="11" t="s">
        <v>21</v>
      </c>
      <c r="F720" s="15"/>
      <c r="G720" s="15"/>
      <c r="I720" s="17"/>
      <c r="O720" s="11" t="s">
        <v>27</v>
      </c>
      <c r="Y720" s="64">
        <f t="shared" si="22"/>
        <v>0</v>
      </c>
      <c r="AA720" s="64">
        <f t="shared" si="23"/>
        <v>0</v>
      </c>
      <c r="AB720" s="64" t="str">
        <f>IF($B720="","",(COUNTIFS(Rships!$C$2:$C$9990,$A720,Rships!$D$2:$D$9990,1)))</f>
        <v/>
      </c>
      <c r="AC720" s="64" t="str">
        <f>IF($B720="","",(COUNTIFS(Rships!$C$2:$C$9990,$A720,Rships!$D$2:$D$9990,2)))</f>
        <v/>
      </c>
      <c r="AD720" s="64" t="str">
        <f>IF($B720="","",(COUNTIFS(Rships!$C$2:$C$9990,$A720,Rships!$D$2:$D$9990,3)))</f>
        <v/>
      </c>
      <c r="AE720" s="64" t="str">
        <f>IF($B720="","",(COUNTIFS(Rships!$C$2:$C$9990,$A720,Rships!$D$2:$D$9990,4)))</f>
        <v/>
      </c>
      <c r="AF720" s="64" t="str">
        <f>IF($B720="","",(COUNTIFS(Rships!$C$2:$C$9990,$A720,Rships!$D$2:$D$9990,5)))</f>
        <v/>
      </c>
      <c r="AG720" s="64" t="str">
        <f>IF($B720="","",(COUNTIFS(Rships!$C$2:$C$9990,$A720,Rships!$D$2:$D$9990,6)))</f>
        <v/>
      </c>
      <c r="AH720" s="64" t="str">
        <f>IF($B720="","",(COUNTIFS(Rships!$C$2:$C$9990,$A720,Rships!$D$2:$D$9990,7)))</f>
        <v/>
      </c>
    </row>
    <row r="721" spans="1:34">
      <c r="A721" s="1" t="s">
        <v>970</v>
      </c>
      <c r="C721" s="11" t="s">
        <v>19</v>
      </c>
      <c r="D721" s="11" t="s">
        <v>21</v>
      </c>
      <c r="F721" s="15"/>
      <c r="G721" s="15"/>
      <c r="I721" s="17"/>
      <c r="O721" s="11" t="s">
        <v>27</v>
      </c>
      <c r="Y721" s="64">
        <f t="shared" si="22"/>
        <v>0</v>
      </c>
      <c r="AA721" s="64">
        <f t="shared" si="23"/>
        <v>0</v>
      </c>
      <c r="AB721" s="64" t="str">
        <f>IF($B721="","",(COUNTIFS(Rships!$C$2:$C$9990,$A721,Rships!$D$2:$D$9990,1)))</f>
        <v/>
      </c>
      <c r="AC721" s="64" t="str">
        <f>IF($B721="","",(COUNTIFS(Rships!$C$2:$C$9990,$A721,Rships!$D$2:$D$9990,2)))</f>
        <v/>
      </c>
      <c r="AD721" s="64" t="str">
        <f>IF($B721="","",(COUNTIFS(Rships!$C$2:$C$9990,$A721,Rships!$D$2:$D$9990,3)))</f>
        <v/>
      </c>
      <c r="AE721" s="64" t="str">
        <f>IF($B721="","",(COUNTIFS(Rships!$C$2:$C$9990,$A721,Rships!$D$2:$D$9990,4)))</f>
        <v/>
      </c>
      <c r="AF721" s="64" t="str">
        <f>IF($B721="","",(COUNTIFS(Rships!$C$2:$C$9990,$A721,Rships!$D$2:$D$9990,5)))</f>
        <v/>
      </c>
      <c r="AG721" s="64" t="str">
        <f>IF($B721="","",(COUNTIFS(Rships!$C$2:$C$9990,$A721,Rships!$D$2:$D$9990,6)))</f>
        <v/>
      </c>
      <c r="AH721" s="64" t="str">
        <f>IF($B721="","",(COUNTIFS(Rships!$C$2:$C$9990,$A721,Rships!$D$2:$D$9990,7)))</f>
        <v/>
      </c>
    </row>
    <row r="722" spans="1:34">
      <c r="A722" s="1" t="s">
        <v>971</v>
      </c>
      <c r="C722" s="11" t="s">
        <v>19</v>
      </c>
      <c r="D722" s="11" t="s">
        <v>21</v>
      </c>
      <c r="F722" s="15"/>
      <c r="G722" s="15"/>
      <c r="I722" s="17"/>
      <c r="O722" s="11" t="s">
        <v>27</v>
      </c>
      <c r="Y722" s="64">
        <f t="shared" si="22"/>
        <v>0</v>
      </c>
      <c r="AA722" s="64">
        <f t="shared" si="23"/>
        <v>0</v>
      </c>
      <c r="AB722" s="64" t="str">
        <f>IF($B722="","",(COUNTIFS(Rships!$C$2:$C$9990,$A722,Rships!$D$2:$D$9990,1)))</f>
        <v/>
      </c>
      <c r="AC722" s="64" t="str">
        <f>IF($B722="","",(COUNTIFS(Rships!$C$2:$C$9990,$A722,Rships!$D$2:$D$9990,2)))</f>
        <v/>
      </c>
      <c r="AD722" s="64" t="str">
        <f>IF($B722="","",(COUNTIFS(Rships!$C$2:$C$9990,$A722,Rships!$D$2:$D$9990,3)))</f>
        <v/>
      </c>
      <c r="AE722" s="64" t="str">
        <f>IF($B722="","",(COUNTIFS(Rships!$C$2:$C$9990,$A722,Rships!$D$2:$D$9990,4)))</f>
        <v/>
      </c>
      <c r="AF722" s="64" t="str">
        <f>IF($B722="","",(COUNTIFS(Rships!$C$2:$C$9990,$A722,Rships!$D$2:$D$9990,5)))</f>
        <v/>
      </c>
      <c r="AG722" s="64" t="str">
        <f>IF($B722="","",(COUNTIFS(Rships!$C$2:$C$9990,$A722,Rships!$D$2:$D$9990,6)))</f>
        <v/>
      </c>
      <c r="AH722" s="64" t="str">
        <f>IF($B722="","",(COUNTIFS(Rships!$C$2:$C$9990,$A722,Rships!$D$2:$D$9990,7)))</f>
        <v/>
      </c>
    </row>
    <row r="723" spans="1:34">
      <c r="A723" s="1" t="s">
        <v>972</v>
      </c>
      <c r="C723" s="11" t="s">
        <v>19</v>
      </c>
      <c r="D723" s="11" t="s">
        <v>21</v>
      </c>
      <c r="F723" s="15"/>
      <c r="G723" s="15"/>
      <c r="I723" s="17"/>
      <c r="O723" s="11" t="s">
        <v>27</v>
      </c>
      <c r="Y723" s="64">
        <f t="shared" si="22"/>
        <v>0</v>
      </c>
      <c r="AA723" s="64">
        <f t="shared" si="23"/>
        <v>0</v>
      </c>
      <c r="AB723" s="64" t="str">
        <f>IF($B723="","",(COUNTIFS(Rships!$C$2:$C$9990,$A723,Rships!$D$2:$D$9990,1)))</f>
        <v/>
      </c>
      <c r="AC723" s="64" t="str">
        <f>IF($B723="","",(COUNTIFS(Rships!$C$2:$C$9990,$A723,Rships!$D$2:$D$9990,2)))</f>
        <v/>
      </c>
      <c r="AD723" s="64" t="str">
        <f>IF($B723="","",(COUNTIFS(Rships!$C$2:$C$9990,$A723,Rships!$D$2:$D$9990,3)))</f>
        <v/>
      </c>
      <c r="AE723" s="64" t="str">
        <f>IF($B723="","",(COUNTIFS(Rships!$C$2:$C$9990,$A723,Rships!$D$2:$D$9990,4)))</f>
        <v/>
      </c>
      <c r="AF723" s="64" t="str">
        <f>IF($B723="","",(COUNTIFS(Rships!$C$2:$C$9990,$A723,Rships!$D$2:$D$9990,5)))</f>
        <v/>
      </c>
      <c r="AG723" s="64" t="str">
        <f>IF($B723="","",(COUNTIFS(Rships!$C$2:$C$9990,$A723,Rships!$D$2:$D$9990,6)))</f>
        <v/>
      </c>
      <c r="AH723" s="64" t="str">
        <f>IF($B723="","",(COUNTIFS(Rships!$C$2:$C$9990,$A723,Rships!$D$2:$D$9990,7)))</f>
        <v/>
      </c>
    </row>
    <row r="724" spans="1:34">
      <c r="A724" s="1" t="s">
        <v>973</v>
      </c>
      <c r="C724" s="11" t="s">
        <v>19</v>
      </c>
      <c r="D724" s="11" t="s">
        <v>21</v>
      </c>
      <c r="F724" s="15"/>
      <c r="G724" s="15"/>
      <c r="I724" s="17"/>
      <c r="O724" s="11" t="s">
        <v>27</v>
      </c>
      <c r="Y724" s="64">
        <f t="shared" si="22"/>
        <v>0</v>
      </c>
      <c r="AA724" s="64">
        <f t="shared" si="23"/>
        <v>0</v>
      </c>
      <c r="AB724" s="64" t="str">
        <f>IF($B724="","",(COUNTIFS(Rships!$C$2:$C$9990,$A724,Rships!$D$2:$D$9990,1)))</f>
        <v/>
      </c>
      <c r="AC724" s="64" t="str">
        <f>IF($B724="","",(COUNTIFS(Rships!$C$2:$C$9990,$A724,Rships!$D$2:$D$9990,2)))</f>
        <v/>
      </c>
      <c r="AD724" s="64" t="str">
        <f>IF($B724="","",(COUNTIFS(Rships!$C$2:$C$9990,$A724,Rships!$D$2:$D$9990,3)))</f>
        <v/>
      </c>
      <c r="AE724" s="64" t="str">
        <f>IF($B724="","",(COUNTIFS(Rships!$C$2:$C$9990,$A724,Rships!$D$2:$D$9990,4)))</f>
        <v/>
      </c>
      <c r="AF724" s="64" t="str">
        <f>IF($B724="","",(COUNTIFS(Rships!$C$2:$C$9990,$A724,Rships!$D$2:$D$9990,5)))</f>
        <v/>
      </c>
      <c r="AG724" s="64" t="str">
        <f>IF($B724="","",(COUNTIFS(Rships!$C$2:$C$9990,$A724,Rships!$D$2:$D$9990,6)))</f>
        <v/>
      </c>
      <c r="AH724" s="64" t="str">
        <f>IF($B724="","",(COUNTIFS(Rships!$C$2:$C$9990,$A724,Rships!$D$2:$D$9990,7)))</f>
        <v/>
      </c>
    </row>
    <row r="725" spans="1:34">
      <c r="A725" s="1" t="s">
        <v>974</v>
      </c>
      <c r="C725" s="11" t="s">
        <v>19</v>
      </c>
      <c r="D725" s="11" t="s">
        <v>21</v>
      </c>
      <c r="F725" s="15"/>
      <c r="G725" s="15"/>
      <c r="I725" s="17"/>
      <c r="O725" s="11" t="s">
        <v>27</v>
      </c>
      <c r="Y725" s="64">
        <f t="shared" si="22"/>
        <v>0</v>
      </c>
      <c r="AA725" s="64">
        <f t="shared" si="23"/>
        <v>0</v>
      </c>
      <c r="AB725" s="64" t="str">
        <f>IF($B725="","",(COUNTIFS(Rships!$C$2:$C$9990,$A725,Rships!$D$2:$D$9990,1)))</f>
        <v/>
      </c>
      <c r="AC725" s="64" t="str">
        <f>IF($B725="","",(COUNTIFS(Rships!$C$2:$C$9990,$A725,Rships!$D$2:$D$9990,2)))</f>
        <v/>
      </c>
      <c r="AD725" s="64" t="str">
        <f>IF($B725="","",(COUNTIFS(Rships!$C$2:$C$9990,$A725,Rships!$D$2:$D$9990,3)))</f>
        <v/>
      </c>
      <c r="AE725" s="64" t="str">
        <f>IF($B725="","",(COUNTIFS(Rships!$C$2:$C$9990,$A725,Rships!$D$2:$D$9990,4)))</f>
        <v/>
      </c>
      <c r="AF725" s="64" t="str">
        <f>IF($B725="","",(COUNTIFS(Rships!$C$2:$C$9990,$A725,Rships!$D$2:$D$9990,5)))</f>
        <v/>
      </c>
      <c r="AG725" s="64" t="str">
        <f>IF($B725="","",(COUNTIFS(Rships!$C$2:$C$9990,$A725,Rships!$D$2:$D$9990,6)))</f>
        <v/>
      </c>
      <c r="AH725" s="64" t="str">
        <f>IF($B725="","",(COUNTIFS(Rships!$C$2:$C$9990,$A725,Rships!$D$2:$D$9990,7)))</f>
        <v/>
      </c>
    </row>
    <row r="726" spans="1:34">
      <c r="A726" s="1" t="s">
        <v>975</v>
      </c>
      <c r="C726" s="11" t="s">
        <v>19</v>
      </c>
      <c r="D726" s="11" t="s">
        <v>21</v>
      </c>
      <c r="F726" s="15"/>
      <c r="G726" s="15"/>
      <c r="I726" s="17"/>
      <c r="O726" s="11" t="s">
        <v>27</v>
      </c>
      <c r="Y726" s="64">
        <f t="shared" si="22"/>
        <v>0</v>
      </c>
      <c r="AA726" s="64">
        <f t="shared" si="23"/>
        <v>0</v>
      </c>
      <c r="AB726" s="64" t="str">
        <f>IF($B726="","",(COUNTIFS(Rships!$C$2:$C$9990,$A726,Rships!$D$2:$D$9990,1)))</f>
        <v/>
      </c>
      <c r="AC726" s="64" t="str">
        <f>IF($B726="","",(COUNTIFS(Rships!$C$2:$C$9990,$A726,Rships!$D$2:$D$9990,2)))</f>
        <v/>
      </c>
      <c r="AD726" s="64" t="str">
        <f>IF($B726="","",(COUNTIFS(Rships!$C$2:$C$9990,$A726,Rships!$D$2:$D$9990,3)))</f>
        <v/>
      </c>
      <c r="AE726" s="64" t="str">
        <f>IF($B726="","",(COUNTIFS(Rships!$C$2:$C$9990,$A726,Rships!$D$2:$D$9990,4)))</f>
        <v/>
      </c>
      <c r="AF726" s="64" t="str">
        <f>IF($B726="","",(COUNTIFS(Rships!$C$2:$C$9990,$A726,Rships!$D$2:$D$9990,5)))</f>
        <v/>
      </c>
      <c r="AG726" s="64" t="str">
        <f>IF($B726="","",(COUNTIFS(Rships!$C$2:$C$9990,$A726,Rships!$D$2:$D$9990,6)))</f>
        <v/>
      </c>
      <c r="AH726" s="64" t="str">
        <f>IF($B726="","",(COUNTIFS(Rships!$C$2:$C$9990,$A726,Rships!$D$2:$D$9990,7)))</f>
        <v/>
      </c>
    </row>
    <row r="727" spans="1:34">
      <c r="A727" s="1" t="s">
        <v>976</v>
      </c>
      <c r="C727" s="11" t="s">
        <v>19</v>
      </c>
      <c r="D727" s="11" t="s">
        <v>21</v>
      </c>
      <c r="F727" s="15"/>
      <c r="G727" s="15"/>
      <c r="I727" s="17"/>
      <c r="O727" s="11" t="s">
        <v>27</v>
      </c>
      <c r="Y727" s="64">
        <f t="shared" si="22"/>
        <v>0</v>
      </c>
      <c r="AA727" s="64">
        <f t="shared" si="23"/>
        <v>0</v>
      </c>
      <c r="AB727" s="64" t="str">
        <f>IF($B727="","",(COUNTIFS(Rships!$C$2:$C$9990,$A727,Rships!$D$2:$D$9990,1)))</f>
        <v/>
      </c>
      <c r="AC727" s="64" t="str">
        <f>IF($B727="","",(COUNTIFS(Rships!$C$2:$C$9990,$A727,Rships!$D$2:$D$9990,2)))</f>
        <v/>
      </c>
      <c r="AD727" s="64" t="str">
        <f>IF($B727="","",(COUNTIFS(Rships!$C$2:$C$9990,$A727,Rships!$D$2:$D$9990,3)))</f>
        <v/>
      </c>
      <c r="AE727" s="64" t="str">
        <f>IF($B727="","",(COUNTIFS(Rships!$C$2:$C$9990,$A727,Rships!$D$2:$D$9990,4)))</f>
        <v/>
      </c>
      <c r="AF727" s="64" t="str">
        <f>IF($B727="","",(COUNTIFS(Rships!$C$2:$C$9990,$A727,Rships!$D$2:$D$9990,5)))</f>
        <v/>
      </c>
      <c r="AG727" s="64" t="str">
        <f>IF($B727="","",(COUNTIFS(Rships!$C$2:$C$9990,$A727,Rships!$D$2:$D$9990,6)))</f>
        <v/>
      </c>
      <c r="AH727" s="64" t="str">
        <f>IF($B727="","",(COUNTIFS(Rships!$C$2:$C$9990,$A727,Rships!$D$2:$D$9990,7)))</f>
        <v/>
      </c>
    </row>
    <row r="728" spans="1:34">
      <c r="A728" s="1" t="s">
        <v>977</v>
      </c>
      <c r="C728" s="11" t="s">
        <v>19</v>
      </c>
      <c r="D728" s="11" t="s">
        <v>21</v>
      </c>
      <c r="F728" s="15"/>
      <c r="G728" s="15"/>
      <c r="I728" s="17"/>
      <c r="O728" s="11" t="s">
        <v>27</v>
      </c>
      <c r="Y728" s="64">
        <f t="shared" si="22"/>
        <v>0</v>
      </c>
      <c r="AA728" s="64">
        <f t="shared" si="23"/>
        <v>0</v>
      </c>
      <c r="AB728" s="64" t="str">
        <f>IF($B728="","",(COUNTIFS(Rships!$C$2:$C$9990,$A728,Rships!$D$2:$D$9990,1)))</f>
        <v/>
      </c>
      <c r="AC728" s="64" t="str">
        <f>IF($B728="","",(COUNTIFS(Rships!$C$2:$C$9990,$A728,Rships!$D$2:$D$9990,2)))</f>
        <v/>
      </c>
      <c r="AD728" s="64" t="str">
        <f>IF($B728="","",(COUNTIFS(Rships!$C$2:$C$9990,$A728,Rships!$D$2:$D$9990,3)))</f>
        <v/>
      </c>
      <c r="AE728" s="64" t="str">
        <f>IF($B728="","",(COUNTIFS(Rships!$C$2:$C$9990,$A728,Rships!$D$2:$D$9990,4)))</f>
        <v/>
      </c>
      <c r="AF728" s="64" t="str">
        <f>IF($B728="","",(COUNTIFS(Rships!$C$2:$C$9990,$A728,Rships!$D$2:$D$9990,5)))</f>
        <v/>
      </c>
      <c r="AG728" s="64" t="str">
        <f>IF($B728="","",(COUNTIFS(Rships!$C$2:$C$9990,$A728,Rships!$D$2:$D$9990,6)))</f>
        <v/>
      </c>
      <c r="AH728" s="64" t="str">
        <f>IF($B728="","",(COUNTIFS(Rships!$C$2:$C$9990,$A728,Rships!$D$2:$D$9990,7)))</f>
        <v/>
      </c>
    </row>
    <row r="729" spans="1:34">
      <c r="A729" s="1" t="s">
        <v>978</v>
      </c>
      <c r="C729" s="11" t="s">
        <v>19</v>
      </c>
      <c r="D729" s="11" t="s">
        <v>21</v>
      </c>
      <c r="F729" s="15"/>
      <c r="G729" s="15"/>
      <c r="I729" s="17"/>
      <c r="O729" s="11" t="s">
        <v>27</v>
      </c>
      <c r="Y729" s="64">
        <f t="shared" si="22"/>
        <v>0</v>
      </c>
      <c r="AA729" s="64">
        <f t="shared" si="23"/>
        <v>0</v>
      </c>
      <c r="AB729" s="64" t="str">
        <f>IF($B729="","",(COUNTIFS(Rships!$C$2:$C$9990,$A729,Rships!$D$2:$D$9990,1)))</f>
        <v/>
      </c>
      <c r="AC729" s="64" t="str">
        <f>IF($B729="","",(COUNTIFS(Rships!$C$2:$C$9990,$A729,Rships!$D$2:$D$9990,2)))</f>
        <v/>
      </c>
      <c r="AD729" s="64" t="str">
        <f>IF($B729="","",(COUNTIFS(Rships!$C$2:$C$9990,$A729,Rships!$D$2:$D$9990,3)))</f>
        <v/>
      </c>
      <c r="AE729" s="64" t="str">
        <f>IF($B729="","",(COUNTIFS(Rships!$C$2:$C$9990,$A729,Rships!$D$2:$D$9990,4)))</f>
        <v/>
      </c>
      <c r="AF729" s="64" t="str">
        <f>IF($B729="","",(COUNTIFS(Rships!$C$2:$C$9990,$A729,Rships!$D$2:$D$9990,5)))</f>
        <v/>
      </c>
      <c r="AG729" s="64" t="str">
        <f>IF($B729="","",(COUNTIFS(Rships!$C$2:$C$9990,$A729,Rships!$D$2:$D$9990,6)))</f>
        <v/>
      </c>
      <c r="AH729" s="64" t="str">
        <f>IF($B729="","",(COUNTIFS(Rships!$C$2:$C$9990,$A729,Rships!$D$2:$D$9990,7)))</f>
        <v/>
      </c>
    </row>
    <row r="730" spans="1:34">
      <c r="A730" s="1" t="s">
        <v>979</v>
      </c>
      <c r="C730" s="11" t="s">
        <v>19</v>
      </c>
      <c r="D730" s="11" t="s">
        <v>21</v>
      </c>
      <c r="F730" s="15"/>
      <c r="G730" s="15"/>
      <c r="I730" s="17"/>
      <c r="O730" s="11" t="s">
        <v>27</v>
      </c>
      <c r="Y730" s="64">
        <f t="shared" si="22"/>
        <v>0</v>
      </c>
      <c r="AA730" s="64">
        <f t="shared" si="23"/>
        <v>0</v>
      </c>
      <c r="AB730" s="64" t="str">
        <f>IF($B730="","",(COUNTIFS(Rships!$C$2:$C$9990,$A730,Rships!$D$2:$D$9990,1)))</f>
        <v/>
      </c>
      <c r="AC730" s="64" t="str">
        <f>IF($B730="","",(COUNTIFS(Rships!$C$2:$C$9990,$A730,Rships!$D$2:$D$9990,2)))</f>
        <v/>
      </c>
      <c r="AD730" s="64" t="str">
        <f>IF($B730="","",(COUNTIFS(Rships!$C$2:$C$9990,$A730,Rships!$D$2:$D$9990,3)))</f>
        <v/>
      </c>
      <c r="AE730" s="64" t="str">
        <f>IF($B730="","",(COUNTIFS(Rships!$C$2:$C$9990,$A730,Rships!$D$2:$D$9990,4)))</f>
        <v/>
      </c>
      <c r="AF730" s="64" t="str">
        <f>IF($B730="","",(COUNTIFS(Rships!$C$2:$C$9990,$A730,Rships!$D$2:$D$9990,5)))</f>
        <v/>
      </c>
      <c r="AG730" s="64" t="str">
        <f>IF($B730="","",(COUNTIFS(Rships!$C$2:$C$9990,$A730,Rships!$D$2:$D$9990,6)))</f>
        <v/>
      </c>
      <c r="AH730" s="64" t="str">
        <f>IF($B730="","",(COUNTIFS(Rships!$C$2:$C$9990,$A730,Rships!$D$2:$D$9990,7)))</f>
        <v/>
      </c>
    </row>
    <row r="731" spans="1:34">
      <c r="A731" s="1" t="s">
        <v>980</v>
      </c>
      <c r="C731" s="11" t="s">
        <v>19</v>
      </c>
      <c r="D731" s="11" t="s">
        <v>21</v>
      </c>
      <c r="F731" s="15"/>
      <c r="G731" s="15"/>
      <c r="I731" s="17"/>
      <c r="O731" s="11" t="s">
        <v>27</v>
      </c>
      <c r="Y731" s="64">
        <f t="shared" si="22"/>
        <v>0</v>
      </c>
      <c r="AA731" s="64">
        <f t="shared" si="23"/>
        <v>0</v>
      </c>
      <c r="AB731" s="64" t="str">
        <f>IF($B731="","",(COUNTIFS(Rships!$C$2:$C$9990,$A731,Rships!$D$2:$D$9990,1)))</f>
        <v/>
      </c>
      <c r="AC731" s="64" t="str">
        <f>IF($B731="","",(COUNTIFS(Rships!$C$2:$C$9990,$A731,Rships!$D$2:$D$9990,2)))</f>
        <v/>
      </c>
      <c r="AD731" s="64" t="str">
        <f>IF($B731="","",(COUNTIFS(Rships!$C$2:$C$9990,$A731,Rships!$D$2:$D$9990,3)))</f>
        <v/>
      </c>
      <c r="AE731" s="64" t="str">
        <f>IF($B731="","",(COUNTIFS(Rships!$C$2:$C$9990,$A731,Rships!$D$2:$D$9990,4)))</f>
        <v/>
      </c>
      <c r="AF731" s="64" t="str">
        <f>IF($B731="","",(COUNTIFS(Rships!$C$2:$C$9990,$A731,Rships!$D$2:$D$9990,5)))</f>
        <v/>
      </c>
      <c r="AG731" s="64" t="str">
        <f>IF($B731="","",(COUNTIFS(Rships!$C$2:$C$9990,$A731,Rships!$D$2:$D$9990,6)))</f>
        <v/>
      </c>
      <c r="AH731" s="64" t="str">
        <f>IF($B731="","",(COUNTIFS(Rships!$C$2:$C$9990,$A731,Rships!$D$2:$D$9990,7)))</f>
        <v/>
      </c>
    </row>
    <row r="732" spans="1:34">
      <c r="A732" s="1" t="s">
        <v>981</v>
      </c>
      <c r="C732" s="11" t="s">
        <v>19</v>
      </c>
      <c r="D732" s="11" t="s">
        <v>21</v>
      </c>
      <c r="F732" s="15"/>
      <c r="G732" s="15"/>
      <c r="I732" s="17"/>
      <c r="O732" s="11" t="s">
        <v>27</v>
      </c>
      <c r="Y732" s="64">
        <f t="shared" si="22"/>
        <v>0</v>
      </c>
      <c r="AA732" s="64">
        <f t="shared" si="23"/>
        <v>0</v>
      </c>
      <c r="AB732" s="64" t="str">
        <f>IF($B732="","",(COUNTIFS(Rships!$C$2:$C$9990,$A732,Rships!$D$2:$D$9990,1)))</f>
        <v/>
      </c>
      <c r="AC732" s="64" t="str">
        <f>IF($B732="","",(COUNTIFS(Rships!$C$2:$C$9990,$A732,Rships!$D$2:$D$9990,2)))</f>
        <v/>
      </c>
      <c r="AD732" s="64" t="str">
        <f>IF($B732="","",(COUNTIFS(Rships!$C$2:$C$9990,$A732,Rships!$D$2:$D$9990,3)))</f>
        <v/>
      </c>
      <c r="AE732" s="64" t="str">
        <f>IF($B732="","",(COUNTIFS(Rships!$C$2:$C$9990,$A732,Rships!$D$2:$D$9990,4)))</f>
        <v/>
      </c>
      <c r="AF732" s="64" t="str">
        <f>IF($B732="","",(COUNTIFS(Rships!$C$2:$C$9990,$A732,Rships!$D$2:$D$9990,5)))</f>
        <v/>
      </c>
      <c r="AG732" s="64" t="str">
        <f>IF($B732="","",(COUNTIFS(Rships!$C$2:$C$9990,$A732,Rships!$D$2:$D$9990,6)))</f>
        <v/>
      </c>
      <c r="AH732" s="64" t="str">
        <f>IF($B732="","",(COUNTIFS(Rships!$C$2:$C$9990,$A732,Rships!$D$2:$D$9990,7)))</f>
        <v/>
      </c>
    </row>
    <row r="733" spans="1:34">
      <c r="A733" s="1" t="s">
        <v>982</v>
      </c>
      <c r="C733" s="11" t="s">
        <v>19</v>
      </c>
      <c r="D733" s="11" t="s">
        <v>21</v>
      </c>
      <c r="F733" s="15"/>
      <c r="G733" s="15"/>
      <c r="I733" s="17"/>
      <c r="O733" s="11" t="s">
        <v>27</v>
      </c>
      <c r="Y733" s="64">
        <f t="shared" si="22"/>
        <v>0</v>
      </c>
      <c r="AA733" s="64">
        <f t="shared" si="23"/>
        <v>0</v>
      </c>
      <c r="AB733" s="64" t="str">
        <f>IF($B733="","",(COUNTIFS(Rships!$C$2:$C$9990,$A733,Rships!$D$2:$D$9990,1)))</f>
        <v/>
      </c>
      <c r="AC733" s="64" t="str">
        <f>IF($B733="","",(COUNTIFS(Rships!$C$2:$C$9990,$A733,Rships!$D$2:$D$9990,2)))</f>
        <v/>
      </c>
      <c r="AD733" s="64" t="str">
        <f>IF($B733="","",(COUNTIFS(Rships!$C$2:$C$9990,$A733,Rships!$D$2:$D$9990,3)))</f>
        <v/>
      </c>
      <c r="AE733" s="64" t="str">
        <f>IF($B733="","",(COUNTIFS(Rships!$C$2:$C$9990,$A733,Rships!$D$2:$D$9990,4)))</f>
        <v/>
      </c>
      <c r="AF733" s="64" t="str">
        <f>IF($B733="","",(COUNTIFS(Rships!$C$2:$C$9990,$A733,Rships!$D$2:$D$9990,5)))</f>
        <v/>
      </c>
      <c r="AG733" s="64" t="str">
        <f>IF($B733="","",(COUNTIFS(Rships!$C$2:$C$9990,$A733,Rships!$D$2:$D$9990,6)))</f>
        <v/>
      </c>
      <c r="AH733" s="64" t="str">
        <f>IF($B733="","",(COUNTIFS(Rships!$C$2:$C$9990,$A733,Rships!$D$2:$D$9990,7)))</f>
        <v/>
      </c>
    </row>
    <row r="734" spans="1:34">
      <c r="A734" s="1" t="s">
        <v>983</v>
      </c>
      <c r="C734" s="11" t="s">
        <v>19</v>
      </c>
      <c r="D734" s="11" t="s">
        <v>21</v>
      </c>
      <c r="F734" s="15"/>
      <c r="G734" s="15"/>
      <c r="I734" s="17"/>
      <c r="O734" s="11" t="s">
        <v>27</v>
      </c>
      <c r="Y734" s="64">
        <f t="shared" si="22"/>
        <v>0</v>
      </c>
      <c r="AA734" s="64">
        <f t="shared" si="23"/>
        <v>0</v>
      </c>
      <c r="AB734" s="64" t="str">
        <f>IF($B734="","",(COUNTIFS(Rships!$C$2:$C$9990,$A734,Rships!$D$2:$D$9990,1)))</f>
        <v/>
      </c>
      <c r="AC734" s="64" t="str">
        <f>IF($B734="","",(COUNTIFS(Rships!$C$2:$C$9990,$A734,Rships!$D$2:$D$9990,2)))</f>
        <v/>
      </c>
      <c r="AD734" s="64" t="str">
        <f>IF($B734="","",(COUNTIFS(Rships!$C$2:$C$9990,$A734,Rships!$D$2:$D$9990,3)))</f>
        <v/>
      </c>
      <c r="AE734" s="64" t="str">
        <f>IF($B734="","",(COUNTIFS(Rships!$C$2:$C$9990,$A734,Rships!$D$2:$D$9990,4)))</f>
        <v/>
      </c>
      <c r="AF734" s="64" t="str">
        <f>IF($B734="","",(COUNTIFS(Rships!$C$2:$C$9990,$A734,Rships!$D$2:$D$9990,5)))</f>
        <v/>
      </c>
      <c r="AG734" s="64" t="str">
        <f>IF($B734="","",(COUNTIFS(Rships!$C$2:$C$9990,$A734,Rships!$D$2:$D$9990,6)))</f>
        <v/>
      </c>
      <c r="AH734" s="64" t="str">
        <f>IF($B734="","",(COUNTIFS(Rships!$C$2:$C$9990,$A734,Rships!$D$2:$D$9990,7)))</f>
        <v/>
      </c>
    </row>
    <row r="735" spans="1:34">
      <c r="A735" s="1" t="s">
        <v>984</v>
      </c>
      <c r="C735" s="11" t="s">
        <v>19</v>
      </c>
      <c r="D735" s="11" t="s">
        <v>21</v>
      </c>
      <c r="F735" s="15"/>
      <c r="G735" s="15"/>
      <c r="I735" s="17"/>
      <c r="O735" s="11" t="s">
        <v>27</v>
      </c>
      <c r="Y735" s="64">
        <f t="shared" si="22"/>
        <v>0</v>
      </c>
      <c r="AA735" s="64">
        <f t="shared" si="23"/>
        <v>0</v>
      </c>
      <c r="AB735" s="64" t="str">
        <f>IF($B735="","",(COUNTIFS(Rships!$C$2:$C$9990,$A735,Rships!$D$2:$D$9990,1)))</f>
        <v/>
      </c>
      <c r="AC735" s="64" t="str">
        <f>IF($B735="","",(COUNTIFS(Rships!$C$2:$C$9990,$A735,Rships!$D$2:$D$9990,2)))</f>
        <v/>
      </c>
      <c r="AD735" s="64" t="str">
        <f>IF($B735="","",(COUNTIFS(Rships!$C$2:$C$9990,$A735,Rships!$D$2:$D$9990,3)))</f>
        <v/>
      </c>
      <c r="AE735" s="64" t="str">
        <f>IF($B735="","",(COUNTIFS(Rships!$C$2:$C$9990,$A735,Rships!$D$2:$D$9990,4)))</f>
        <v/>
      </c>
      <c r="AF735" s="64" t="str">
        <f>IF($B735="","",(COUNTIFS(Rships!$C$2:$C$9990,$A735,Rships!$D$2:$D$9990,5)))</f>
        <v/>
      </c>
      <c r="AG735" s="64" t="str">
        <f>IF($B735="","",(COUNTIFS(Rships!$C$2:$C$9990,$A735,Rships!$D$2:$D$9990,6)))</f>
        <v/>
      </c>
      <c r="AH735" s="64" t="str">
        <f>IF($B735="","",(COUNTIFS(Rships!$C$2:$C$9990,$A735,Rships!$D$2:$D$9990,7)))</f>
        <v/>
      </c>
    </row>
    <row r="736" spans="1:34">
      <c r="A736" s="1" t="s">
        <v>985</v>
      </c>
      <c r="C736" s="11" t="s">
        <v>19</v>
      </c>
      <c r="D736" s="11" t="s">
        <v>21</v>
      </c>
      <c r="F736" s="15"/>
      <c r="G736" s="15"/>
      <c r="I736" s="17"/>
      <c r="O736" s="11" t="s">
        <v>27</v>
      </c>
      <c r="Y736" s="64">
        <f t="shared" si="22"/>
        <v>0</v>
      </c>
      <c r="AA736" s="64">
        <f t="shared" si="23"/>
        <v>0</v>
      </c>
      <c r="AB736" s="64" t="str">
        <f>IF($B736="","",(COUNTIFS(Rships!$C$2:$C$9990,$A736,Rships!$D$2:$D$9990,1)))</f>
        <v/>
      </c>
      <c r="AC736" s="64" t="str">
        <f>IF($B736="","",(COUNTIFS(Rships!$C$2:$C$9990,$A736,Rships!$D$2:$D$9990,2)))</f>
        <v/>
      </c>
      <c r="AD736" s="64" t="str">
        <f>IF($B736="","",(COUNTIFS(Rships!$C$2:$C$9990,$A736,Rships!$D$2:$D$9990,3)))</f>
        <v/>
      </c>
      <c r="AE736" s="64" t="str">
        <f>IF($B736="","",(COUNTIFS(Rships!$C$2:$C$9990,$A736,Rships!$D$2:$D$9990,4)))</f>
        <v/>
      </c>
      <c r="AF736" s="64" t="str">
        <f>IF($B736="","",(COUNTIFS(Rships!$C$2:$C$9990,$A736,Rships!$D$2:$D$9990,5)))</f>
        <v/>
      </c>
      <c r="AG736" s="64" t="str">
        <f>IF($B736="","",(COUNTIFS(Rships!$C$2:$C$9990,$A736,Rships!$D$2:$D$9990,6)))</f>
        <v/>
      </c>
      <c r="AH736" s="64" t="str">
        <f>IF($B736="","",(COUNTIFS(Rships!$C$2:$C$9990,$A736,Rships!$D$2:$D$9990,7)))</f>
        <v/>
      </c>
    </row>
    <row r="737" spans="1:34">
      <c r="A737" s="1" t="s">
        <v>986</v>
      </c>
      <c r="C737" s="11" t="s">
        <v>19</v>
      </c>
      <c r="D737" s="11" t="s">
        <v>21</v>
      </c>
      <c r="F737" s="15"/>
      <c r="G737" s="15"/>
      <c r="I737" s="17"/>
      <c r="O737" s="11" t="s">
        <v>27</v>
      </c>
      <c r="Y737" s="64">
        <f t="shared" si="22"/>
        <v>0</v>
      </c>
      <c r="AA737" s="64">
        <f t="shared" si="23"/>
        <v>0</v>
      </c>
      <c r="AB737" s="64" t="str">
        <f>IF($B737="","",(COUNTIFS(Rships!$C$2:$C$9990,$A737,Rships!$D$2:$D$9990,1)))</f>
        <v/>
      </c>
      <c r="AC737" s="64" t="str">
        <f>IF($B737="","",(COUNTIFS(Rships!$C$2:$C$9990,$A737,Rships!$D$2:$D$9990,2)))</f>
        <v/>
      </c>
      <c r="AD737" s="64" t="str">
        <f>IF($B737="","",(COUNTIFS(Rships!$C$2:$C$9990,$A737,Rships!$D$2:$D$9990,3)))</f>
        <v/>
      </c>
      <c r="AE737" s="64" t="str">
        <f>IF($B737="","",(COUNTIFS(Rships!$C$2:$C$9990,$A737,Rships!$D$2:$D$9990,4)))</f>
        <v/>
      </c>
      <c r="AF737" s="64" t="str">
        <f>IF($B737="","",(COUNTIFS(Rships!$C$2:$C$9990,$A737,Rships!$D$2:$D$9990,5)))</f>
        <v/>
      </c>
      <c r="AG737" s="64" t="str">
        <f>IF($B737="","",(COUNTIFS(Rships!$C$2:$C$9990,$A737,Rships!$D$2:$D$9990,6)))</f>
        <v/>
      </c>
      <c r="AH737" s="64" t="str">
        <f>IF($B737="","",(COUNTIFS(Rships!$C$2:$C$9990,$A737,Rships!$D$2:$D$9990,7)))</f>
        <v/>
      </c>
    </row>
    <row r="738" spans="1:34">
      <c r="A738" s="1" t="s">
        <v>987</v>
      </c>
      <c r="C738" s="11" t="s">
        <v>19</v>
      </c>
      <c r="D738" s="11" t="s">
        <v>21</v>
      </c>
      <c r="F738" s="15"/>
      <c r="G738" s="15"/>
      <c r="I738" s="17"/>
      <c r="O738" s="11" t="s">
        <v>27</v>
      </c>
      <c r="Y738" s="64">
        <f t="shared" si="22"/>
        <v>0</v>
      </c>
      <c r="AA738" s="64">
        <f t="shared" si="23"/>
        <v>0</v>
      </c>
      <c r="AB738" s="64" t="str">
        <f>IF($B738="","",(COUNTIFS(Rships!$C$2:$C$9990,$A738,Rships!$D$2:$D$9990,1)))</f>
        <v/>
      </c>
      <c r="AC738" s="64" t="str">
        <f>IF($B738="","",(COUNTIFS(Rships!$C$2:$C$9990,$A738,Rships!$D$2:$D$9990,2)))</f>
        <v/>
      </c>
      <c r="AD738" s="64" t="str">
        <f>IF($B738="","",(COUNTIFS(Rships!$C$2:$C$9990,$A738,Rships!$D$2:$D$9990,3)))</f>
        <v/>
      </c>
      <c r="AE738" s="64" t="str">
        <f>IF($B738="","",(COUNTIFS(Rships!$C$2:$C$9990,$A738,Rships!$D$2:$D$9990,4)))</f>
        <v/>
      </c>
      <c r="AF738" s="64" t="str">
        <f>IF($B738="","",(COUNTIFS(Rships!$C$2:$C$9990,$A738,Rships!$D$2:$D$9990,5)))</f>
        <v/>
      </c>
      <c r="AG738" s="64" t="str">
        <f>IF($B738="","",(COUNTIFS(Rships!$C$2:$C$9990,$A738,Rships!$D$2:$D$9990,6)))</f>
        <v/>
      </c>
      <c r="AH738" s="64" t="str">
        <f>IF($B738="","",(COUNTIFS(Rships!$C$2:$C$9990,$A738,Rships!$D$2:$D$9990,7)))</f>
        <v/>
      </c>
    </row>
    <row r="739" spans="1:34">
      <c r="A739" s="1" t="s">
        <v>988</v>
      </c>
      <c r="C739" s="11" t="s">
        <v>19</v>
      </c>
      <c r="D739" s="11" t="s">
        <v>21</v>
      </c>
      <c r="F739" s="15"/>
      <c r="G739" s="15"/>
      <c r="I739" s="17"/>
      <c r="O739" s="11" t="s">
        <v>27</v>
      </c>
      <c r="Y739" s="64">
        <f t="shared" si="22"/>
        <v>0</v>
      </c>
      <c r="AA739" s="64">
        <f t="shared" si="23"/>
        <v>0</v>
      </c>
      <c r="AB739" s="64" t="str">
        <f>IF($B739="","",(COUNTIFS(Rships!$C$2:$C$9990,$A739,Rships!$D$2:$D$9990,1)))</f>
        <v/>
      </c>
      <c r="AC739" s="64" t="str">
        <f>IF($B739="","",(COUNTIFS(Rships!$C$2:$C$9990,$A739,Rships!$D$2:$D$9990,2)))</f>
        <v/>
      </c>
      <c r="AD739" s="64" t="str">
        <f>IF($B739="","",(COUNTIFS(Rships!$C$2:$C$9990,$A739,Rships!$D$2:$D$9990,3)))</f>
        <v/>
      </c>
      <c r="AE739" s="64" t="str">
        <f>IF($B739="","",(COUNTIFS(Rships!$C$2:$C$9990,$A739,Rships!$D$2:$D$9990,4)))</f>
        <v/>
      </c>
      <c r="AF739" s="64" t="str">
        <f>IF($B739="","",(COUNTIFS(Rships!$C$2:$C$9990,$A739,Rships!$D$2:$D$9990,5)))</f>
        <v/>
      </c>
      <c r="AG739" s="64" t="str">
        <f>IF($B739="","",(COUNTIFS(Rships!$C$2:$C$9990,$A739,Rships!$D$2:$D$9990,6)))</f>
        <v/>
      </c>
      <c r="AH739" s="64" t="str">
        <f>IF($B739="","",(COUNTIFS(Rships!$C$2:$C$9990,$A739,Rships!$D$2:$D$9990,7)))</f>
        <v/>
      </c>
    </row>
    <row r="740" spans="1:34">
      <c r="A740" s="1" t="s">
        <v>989</v>
      </c>
      <c r="C740" s="11" t="s">
        <v>19</v>
      </c>
      <c r="D740" s="11" t="s">
        <v>21</v>
      </c>
      <c r="F740" s="15"/>
      <c r="G740" s="15"/>
      <c r="I740" s="17"/>
      <c r="O740" s="11" t="s">
        <v>27</v>
      </c>
      <c r="Y740" s="64">
        <f t="shared" si="22"/>
        <v>0</v>
      </c>
      <c r="AA740" s="64">
        <f t="shared" si="23"/>
        <v>0</v>
      </c>
      <c r="AB740" s="64" t="str">
        <f>IF($B740="","",(COUNTIFS(Rships!$C$2:$C$9990,$A740,Rships!$D$2:$D$9990,1)))</f>
        <v/>
      </c>
      <c r="AC740" s="64" t="str">
        <f>IF($B740="","",(COUNTIFS(Rships!$C$2:$C$9990,$A740,Rships!$D$2:$D$9990,2)))</f>
        <v/>
      </c>
      <c r="AD740" s="64" t="str">
        <f>IF($B740="","",(COUNTIFS(Rships!$C$2:$C$9990,$A740,Rships!$D$2:$D$9990,3)))</f>
        <v/>
      </c>
      <c r="AE740" s="64" t="str">
        <f>IF($B740="","",(COUNTIFS(Rships!$C$2:$C$9990,$A740,Rships!$D$2:$D$9990,4)))</f>
        <v/>
      </c>
      <c r="AF740" s="64" t="str">
        <f>IF($B740="","",(COUNTIFS(Rships!$C$2:$C$9990,$A740,Rships!$D$2:$D$9990,5)))</f>
        <v/>
      </c>
      <c r="AG740" s="64" t="str">
        <f>IF($B740="","",(COUNTIFS(Rships!$C$2:$C$9990,$A740,Rships!$D$2:$D$9990,6)))</f>
        <v/>
      </c>
      <c r="AH740" s="64" t="str">
        <f>IF($B740="","",(COUNTIFS(Rships!$C$2:$C$9990,$A740,Rships!$D$2:$D$9990,7)))</f>
        <v/>
      </c>
    </row>
    <row r="741" spans="1:34">
      <c r="A741" s="1" t="s">
        <v>990</v>
      </c>
      <c r="C741" s="11" t="s">
        <v>19</v>
      </c>
      <c r="D741" s="11" t="s">
        <v>21</v>
      </c>
      <c r="F741" s="15"/>
      <c r="G741" s="15"/>
      <c r="I741" s="17"/>
      <c r="O741" s="11" t="s">
        <v>27</v>
      </c>
      <c r="Y741" s="64">
        <f t="shared" si="22"/>
        <v>0</v>
      </c>
      <c r="AA741" s="64">
        <f t="shared" si="23"/>
        <v>0</v>
      </c>
      <c r="AB741" s="64" t="str">
        <f>IF($B741="","",(COUNTIFS(Rships!$C$2:$C$9990,$A741,Rships!$D$2:$D$9990,1)))</f>
        <v/>
      </c>
      <c r="AC741" s="64" t="str">
        <f>IF($B741="","",(COUNTIFS(Rships!$C$2:$C$9990,$A741,Rships!$D$2:$D$9990,2)))</f>
        <v/>
      </c>
      <c r="AD741" s="64" t="str">
        <f>IF($B741="","",(COUNTIFS(Rships!$C$2:$C$9990,$A741,Rships!$D$2:$D$9990,3)))</f>
        <v/>
      </c>
      <c r="AE741" s="64" t="str">
        <f>IF($B741="","",(COUNTIFS(Rships!$C$2:$C$9990,$A741,Rships!$D$2:$D$9990,4)))</f>
        <v/>
      </c>
      <c r="AF741" s="64" t="str">
        <f>IF($B741="","",(COUNTIFS(Rships!$C$2:$C$9990,$A741,Rships!$D$2:$D$9990,5)))</f>
        <v/>
      </c>
      <c r="AG741" s="64" t="str">
        <f>IF($B741="","",(COUNTIFS(Rships!$C$2:$C$9990,$A741,Rships!$D$2:$D$9990,6)))</f>
        <v/>
      </c>
      <c r="AH741" s="64" t="str">
        <f>IF($B741="","",(COUNTIFS(Rships!$C$2:$C$9990,$A741,Rships!$D$2:$D$9990,7)))</f>
        <v/>
      </c>
    </row>
    <row r="742" spans="1:34">
      <c r="A742" s="1" t="s">
        <v>991</v>
      </c>
      <c r="C742" s="11" t="s">
        <v>19</v>
      </c>
      <c r="D742" s="11" t="s">
        <v>21</v>
      </c>
      <c r="F742" s="15"/>
      <c r="G742" s="15"/>
      <c r="I742" s="17"/>
      <c r="O742" s="11" t="s">
        <v>27</v>
      </c>
      <c r="Y742" s="64">
        <f t="shared" si="22"/>
        <v>0</v>
      </c>
      <c r="AA742" s="64">
        <f t="shared" si="23"/>
        <v>0</v>
      </c>
      <c r="AB742" s="64" t="str">
        <f>IF($B742="","",(COUNTIFS(Rships!$C$2:$C$9990,$A742,Rships!$D$2:$D$9990,1)))</f>
        <v/>
      </c>
      <c r="AC742" s="64" t="str">
        <f>IF($B742="","",(COUNTIFS(Rships!$C$2:$C$9990,$A742,Rships!$D$2:$D$9990,2)))</f>
        <v/>
      </c>
      <c r="AD742" s="64" t="str">
        <f>IF($B742="","",(COUNTIFS(Rships!$C$2:$C$9990,$A742,Rships!$D$2:$D$9990,3)))</f>
        <v/>
      </c>
      <c r="AE742" s="64" t="str">
        <f>IF($B742="","",(COUNTIFS(Rships!$C$2:$C$9990,$A742,Rships!$D$2:$D$9990,4)))</f>
        <v/>
      </c>
      <c r="AF742" s="64" t="str">
        <f>IF($B742="","",(COUNTIFS(Rships!$C$2:$C$9990,$A742,Rships!$D$2:$D$9990,5)))</f>
        <v/>
      </c>
      <c r="AG742" s="64" t="str">
        <f>IF($B742="","",(COUNTIFS(Rships!$C$2:$C$9990,$A742,Rships!$D$2:$D$9990,6)))</f>
        <v/>
      </c>
      <c r="AH742" s="64" t="str">
        <f>IF($B742="","",(COUNTIFS(Rships!$C$2:$C$9990,$A742,Rships!$D$2:$D$9990,7)))</f>
        <v/>
      </c>
    </row>
    <row r="743" spans="1:34">
      <c r="A743" s="1" t="s">
        <v>992</v>
      </c>
      <c r="C743" s="11" t="s">
        <v>19</v>
      </c>
      <c r="D743" s="11" t="s">
        <v>21</v>
      </c>
      <c r="F743" s="15"/>
      <c r="G743" s="15"/>
      <c r="I743" s="17"/>
      <c r="O743" s="11" t="s">
        <v>27</v>
      </c>
      <c r="Y743" s="64">
        <f t="shared" si="22"/>
        <v>0</v>
      </c>
      <c r="AA743" s="64">
        <f t="shared" si="23"/>
        <v>0</v>
      </c>
      <c r="AB743" s="64" t="str">
        <f>IF($B743="","",(COUNTIFS(Rships!$C$2:$C$9990,$A743,Rships!$D$2:$D$9990,1)))</f>
        <v/>
      </c>
      <c r="AC743" s="64" t="str">
        <f>IF($B743="","",(COUNTIFS(Rships!$C$2:$C$9990,$A743,Rships!$D$2:$D$9990,2)))</f>
        <v/>
      </c>
      <c r="AD743" s="64" t="str">
        <f>IF($B743="","",(COUNTIFS(Rships!$C$2:$C$9990,$A743,Rships!$D$2:$D$9990,3)))</f>
        <v/>
      </c>
      <c r="AE743" s="64" t="str">
        <f>IF($B743="","",(COUNTIFS(Rships!$C$2:$C$9990,$A743,Rships!$D$2:$D$9990,4)))</f>
        <v/>
      </c>
      <c r="AF743" s="64" t="str">
        <f>IF($B743="","",(COUNTIFS(Rships!$C$2:$C$9990,$A743,Rships!$D$2:$D$9990,5)))</f>
        <v/>
      </c>
      <c r="AG743" s="64" t="str">
        <f>IF($B743="","",(COUNTIFS(Rships!$C$2:$C$9990,$A743,Rships!$D$2:$D$9990,6)))</f>
        <v/>
      </c>
      <c r="AH743" s="64" t="str">
        <f>IF($B743="","",(COUNTIFS(Rships!$C$2:$C$9990,$A743,Rships!$D$2:$D$9990,7)))</f>
        <v/>
      </c>
    </row>
    <row r="744" spans="1:34">
      <c r="A744" s="1" t="s">
        <v>993</v>
      </c>
      <c r="C744" s="11" t="s">
        <v>19</v>
      </c>
      <c r="D744" s="11" t="s">
        <v>21</v>
      </c>
      <c r="F744" s="15"/>
      <c r="G744" s="15"/>
      <c r="I744" s="17"/>
      <c r="O744" s="11" t="s">
        <v>27</v>
      </c>
      <c r="Y744" s="64">
        <f t="shared" si="22"/>
        <v>0</v>
      </c>
      <c r="AA744" s="64">
        <f t="shared" si="23"/>
        <v>0</v>
      </c>
      <c r="AB744" s="64" t="str">
        <f>IF($B744="","",(COUNTIFS(Rships!$C$2:$C$9990,$A744,Rships!$D$2:$D$9990,1)))</f>
        <v/>
      </c>
      <c r="AC744" s="64" t="str">
        <f>IF($B744="","",(COUNTIFS(Rships!$C$2:$C$9990,$A744,Rships!$D$2:$D$9990,2)))</f>
        <v/>
      </c>
      <c r="AD744" s="64" t="str">
        <f>IF($B744="","",(COUNTIFS(Rships!$C$2:$C$9990,$A744,Rships!$D$2:$D$9990,3)))</f>
        <v/>
      </c>
      <c r="AE744" s="64" t="str">
        <f>IF($B744="","",(COUNTIFS(Rships!$C$2:$C$9990,$A744,Rships!$D$2:$D$9990,4)))</f>
        <v/>
      </c>
      <c r="AF744" s="64" t="str">
        <f>IF($B744="","",(COUNTIFS(Rships!$C$2:$C$9990,$A744,Rships!$D$2:$D$9990,5)))</f>
        <v/>
      </c>
      <c r="AG744" s="64" t="str">
        <f>IF($B744="","",(COUNTIFS(Rships!$C$2:$C$9990,$A744,Rships!$D$2:$D$9990,6)))</f>
        <v/>
      </c>
      <c r="AH744" s="64" t="str">
        <f>IF($B744="","",(COUNTIFS(Rships!$C$2:$C$9990,$A744,Rships!$D$2:$D$9990,7)))</f>
        <v/>
      </c>
    </row>
    <row r="745" spans="1:34">
      <c r="A745" s="1" t="s">
        <v>994</v>
      </c>
      <c r="C745" s="11" t="s">
        <v>19</v>
      </c>
      <c r="D745" s="11" t="s">
        <v>21</v>
      </c>
      <c r="F745" s="15"/>
      <c r="G745" s="15"/>
      <c r="I745" s="17"/>
      <c r="O745" s="11" t="s">
        <v>27</v>
      </c>
      <c r="Y745" s="64">
        <f t="shared" si="22"/>
        <v>0</v>
      </c>
      <c r="AA745" s="64">
        <f t="shared" si="23"/>
        <v>0</v>
      </c>
      <c r="AB745" s="64" t="str">
        <f>IF($B745="","",(COUNTIFS(Rships!$C$2:$C$9990,$A745,Rships!$D$2:$D$9990,1)))</f>
        <v/>
      </c>
      <c r="AC745" s="64" t="str">
        <f>IF($B745="","",(COUNTIFS(Rships!$C$2:$C$9990,$A745,Rships!$D$2:$D$9990,2)))</f>
        <v/>
      </c>
      <c r="AD745" s="64" t="str">
        <f>IF($B745="","",(COUNTIFS(Rships!$C$2:$C$9990,$A745,Rships!$D$2:$D$9990,3)))</f>
        <v/>
      </c>
      <c r="AE745" s="64" t="str">
        <f>IF($B745="","",(COUNTIFS(Rships!$C$2:$C$9990,$A745,Rships!$D$2:$D$9990,4)))</f>
        <v/>
      </c>
      <c r="AF745" s="64" t="str">
        <f>IF($B745="","",(COUNTIFS(Rships!$C$2:$C$9990,$A745,Rships!$D$2:$D$9990,5)))</f>
        <v/>
      </c>
      <c r="AG745" s="64" t="str">
        <f>IF($B745="","",(COUNTIFS(Rships!$C$2:$C$9990,$A745,Rships!$D$2:$D$9990,6)))</f>
        <v/>
      </c>
      <c r="AH745" s="64" t="str">
        <f>IF($B745="","",(COUNTIFS(Rships!$C$2:$C$9990,$A745,Rships!$D$2:$D$9990,7)))</f>
        <v/>
      </c>
    </row>
    <row r="746" spans="1:34">
      <c r="A746" s="1" t="s">
        <v>995</v>
      </c>
      <c r="C746" s="11" t="s">
        <v>19</v>
      </c>
      <c r="D746" s="11" t="s">
        <v>21</v>
      </c>
      <c r="F746" s="15"/>
      <c r="G746" s="15"/>
      <c r="I746" s="17"/>
      <c r="O746" s="11" t="s">
        <v>27</v>
      </c>
      <c r="Y746" s="64">
        <f t="shared" si="22"/>
        <v>0</v>
      </c>
      <c r="AA746" s="64">
        <f t="shared" si="23"/>
        <v>0</v>
      </c>
      <c r="AB746" s="64" t="str">
        <f>IF($B746="","",(COUNTIFS(Rships!$C$2:$C$9990,$A746,Rships!$D$2:$D$9990,1)))</f>
        <v/>
      </c>
      <c r="AC746" s="64" t="str">
        <f>IF($B746="","",(COUNTIFS(Rships!$C$2:$C$9990,$A746,Rships!$D$2:$D$9990,2)))</f>
        <v/>
      </c>
      <c r="AD746" s="64" t="str">
        <f>IF($B746="","",(COUNTIFS(Rships!$C$2:$C$9990,$A746,Rships!$D$2:$D$9990,3)))</f>
        <v/>
      </c>
      <c r="AE746" s="64" t="str">
        <f>IF($B746="","",(COUNTIFS(Rships!$C$2:$C$9990,$A746,Rships!$D$2:$D$9990,4)))</f>
        <v/>
      </c>
      <c r="AF746" s="64" t="str">
        <f>IF($B746="","",(COUNTIFS(Rships!$C$2:$C$9990,$A746,Rships!$D$2:$D$9990,5)))</f>
        <v/>
      </c>
      <c r="AG746" s="64" t="str">
        <f>IF($B746="","",(COUNTIFS(Rships!$C$2:$C$9990,$A746,Rships!$D$2:$D$9990,6)))</f>
        <v/>
      </c>
      <c r="AH746" s="64" t="str">
        <f>IF($B746="","",(COUNTIFS(Rships!$C$2:$C$9990,$A746,Rships!$D$2:$D$9990,7)))</f>
        <v/>
      </c>
    </row>
    <row r="747" spans="1:34">
      <c r="A747" s="1" t="s">
        <v>996</v>
      </c>
      <c r="C747" s="11" t="s">
        <v>19</v>
      </c>
      <c r="D747" s="11" t="s">
        <v>21</v>
      </c>
      <c r="F747" s="15"/>
      <c r="G747" s="15"/>
      <c r="I747" s="17"/>
      <c r="O747" s="11" t="s">
        <v>27</v>
      </c>
      <c r="Y747" s="64">
        <f t="shared" si="22"/>
        <v>0</v>
      </c>
      <c r="AA747" s="64">
        <f t="shared" si="23"/>
        <v>0</v>
      </c>
      <c r="AB747" s="64" t="str">
        <f>IF($B747="","",(COUNTIFS(Rships!$C$2:$C$9990,$A747,Rships!$D$2:$D$9990,1)))</f>
        <v/>
      </c>
      <c r="AC747" s="64" t="str">
        <f>IF($B747="","",(COUNTIFS(Rships!$C$2:$C$9990,$A747,Rships!$D$2:$D$9990,2)))</f>
        <v/>
      </c>
      <c r="AD747" s="64" t="str">
        <f>IF($B747="","",(COUNTIFS(Rships!$C$2:$C$9990,$A747,Rships!$D$2:$D$9990,3)))</f>
        <v/>
      </c>
      <c r="AE747" s="64" t="str">
        <f>IF($B747="","",(COUNTIFS(Rships!$C$2:$C$9990,$A747,Rships!$D$2:$D$9990,4)))</f>
        <v/>
      </c>
      <c r="AF747" s="64" t="str">
        <f>IF($B747="","",(COUNTIFS(Rships!$C$2:$C$9990,$A747,Rships!$D$2:$D$9990,5)))</f>
        <v/>
      </c>
      <c r="AG747" s="64" t="str">
        <f>IF($B747="","",(COUNTIFS(Rships!$C$2:$C$9990,$A747,Rships!$D$2:$D$9990,6)))</f>
        <v/>
      </c>
      <c r="AH747" s="64" t="str">
        <f>IF($B747="","",(COUNTIFS(Rships!$C$2:$C$9990,$A747,Rships!$D$2:$D$9990,7)))</f>
        <v/>
      </c>
    </row>
    <row r="748" spans="1:34">
      <c r="A748" s="1" t="s">
        <v>997</v>
      </c>
      <c r="C748" s="11" t="s">
        <v>19</v>
      </c>
      <c r="D748" s="11" t="s">
        <v>21</v>
      </c>
      <c r="F748" s="15"/>
      <c r="G748" s="15"/>
      <c r="I748" s="17"/>
      <c r="O748" s="11" t="s">
        <v>27</v>
      </c>
      <c r="Y748" s="64">
        <f t="shared" si="22"/>
        <v>0</v>
      </c>
      <c r="AA748" s="64">
        <f t="shared" si="23"/>
        <v>0</v>
      </c>
      <c r="AB748" s="64" t="str">
        <f>IF($B748="","",(COUNTIFS(Rships!$C$2:$C$9990,$A748,Rships!$D$2:$D$9990,1)))</f>
        <v/>
      </c>
      <c r="AC748" s="64" t="str">
        <f>IF($B748="","",(COUNTIFS(Rships!$C$2:$C$9990,$A748,Rships!$D$2:$D$9990,2)))</f>
        <v/>
      </c>
      <c r="AD748" s="64" t="str">
        <f>IF($B748="","",(COUNTIFS(Rships!$C$2:$C$9990,$A748,Rships!$D$2:$D$9990,3)))</f>
        <v/>
      </c>
      <c r="AE748" s="64" t="str">
        <f>IF($B748="","",(COUNTIFS(Rships!$C$2:$C$9990,$A748,Rships!$D$2:$D$9990,4)))</f>
        <v/>
      </c>
      <c r="AF748" s="64" t="str">
        <f>IF($B748="","",(COUNTIFS(Rships!$C$2:$C$9990,$A748,Rships!$D$2:$D$9990,5)))</f>
        <v/>
      </c>
      <c r="AG748" s="64" t="str">
        <f>IF($B748="","",(COUNTIFS(Rships!$C$2:$C$9990,$A748,Rships!$D$2:$D$9990,6)))</f>
        <v/>
      </c>
      <c r="AH748" s="64" t="str">
        <f>IF($B748="","",(COUNTIFS(Rships!$C$2:$C$9990,$A748,Rships!$D$2:$D$9990,7)))</f>
        <v/>
      </c>
    </row>
    <row r="749" spans="1:34">
      <c r="A749" s="1" t="s">
        <v>998</v>
      </c>
      <c r="C749" s="11" t="s">
        <v>19</v>
      </c>
      <c r="D749" s="11" t="s">
        <v>21</v>
      </c>
      <c r="F749" s="15"/>
      <c r="G749" s="15"/>
      <c r="I749" s="17"/>
      <c r="O749" s="11" t="s">
        <v>27</v>
      </c>
      <c r="Y749" s="64">
        <f t="shared" si="22"/>
        <v>0</v>
      </c>
      <c r="AA749" s="64">
        <f t="shared" si="23"/>
        <v>0</v>
      </c>
      <c r="AB749" s="64" t="str">
        <f>IF($B749="","",(COUNTIFS(Rships!$C$2:$C$9990,$A749,Rships!$D$2:$D$9990,1)))</f>
        <v/>
      </c>
      <c r="AC749" s="64" t="str">
        <f>IF($B749="","",(COUNTIFS(Rships!$C$2:$C$9990,$A749,Rships!$D$2:$D$9990,2)))</f>
        <v/>
      </c>
      <c r="AD749" s="64" t="str">
        <f>IF($B749="","",(COUNTIFS(Rships!$C$2:$C$9990,$A749,Rships!$D$2:$D$9990,3)))</f>
        <v/>
      </c>
      <c r="AE749" s="64" t="str">
        <f>IF($B749="","",(COUNTIFS(Rships!$C$2:$C$9990,$A749,Rships!$D$2:$D$9990,4)))</f>
        <v/>
      </c>
      <c r="AF749" s="64" t="str">
        <f>IF($B749="","",(COUNTIFS(Rships!$C$2:$C$9990,$A749,Rships!$D$2:$D$9990,5)))</f>
        <v/>
      </c>
      <c r="AG749" s="64" t="str">
        <f>IF($B749="","",(COUNTIFS(Rships!$C$2:$C$9990,$A749,Rships!$D$2:$D$9990,6)))</f>
        <v/>
      </c>
      <c r="AH749" s="64" t="str">
        <f>IF($B749="","",(COUNTIFS(Rships!$C$2:$C$9990,$A749,Rships!$D$2:$D$9990,7)))</f>
        <v/>
      </c>
    </row>
    <row r="750" spans="1:34">
      <c r="A750" s="1" t="s">
        <v>999</v>
      </c>
      <c r="C750" s="11" t="s">
        <v>19</v>
      </c>
      <c r="D750" s="11" t="s">
        <v>21</v>
      </c>
      <c r="F750" s="15"/>
      <c r="G750" s="15"/>
      <c r="I750" s="17"/>
      <c r="O750" s="11" t="s">
        <v>27</v>
      </c>
      <c r="Y750" s="64">
        <f t="shared" si="22"/>
        <v>0</v>
      </c>
      <c r="AA750" s="64">
        <f t="shared" si="23"/>
        <v>0</v>
      </c>
      <c r="AB750" s="64" t="str">
        <f>IF($B750="","",(COUNTIFS(Rships!$C$2:$C$9990,$A750,Rships!$D$2:$D$9990,1)))</f>
        <v/>
      </c>
      <c r="AC750" s="64" t="str">
        <f>IF($B750="","",(COUNTIFS(Rships!$C$2:$C$9990,$A750,Rships!$D$2:$D$9990,2)))</f>
        <v/>
      </c>
      <c r="AD750" s="64" t="str">
        <f>IF($B750="","",(COUNTIFS(Rships!$C$2:$C$9990,$A750,Rships!$D$2:$D$9990,3)))</f>
        <v/>
      </c>
      <c r="AE750" s="64" t="str">
        <f>IF($B750="","",(COUNTIFS(Rships!$C$2:$C$9990,$A750,Rships!$D$2:$D$9990,4)))</f>
        <v/>
      </c>
      <c r="AF750" s="64" t="str">
        <f>IF($B750="","",(COUNTIFS(Rships!$C$2:$C$9990,$A750,Rships!$D$2:$D$9990,5)))</f>
        <v/>
      </c>
      <c r="AG750" s="64" t="str">
        <f>IF($B750="","",(COUNTIFS(Rships!$C$2:$C$9990,$A750,Rships!$D$2:$D$9990,6)))</f>
        <v/>
      </c>
      <c r="AH750" s="64" t="str">
        <f>IF($B750="","",(COUNTIFS(Rships!$C$2:$C$9990,$A750,Rships!$D$2:$D$9990,7)))</f>
        <v/>
      </c>
    </row>
    <row r="751" spans="1:34">
      <c r="A751" s="1" t="s">
        <v>1000</v>
      </c>
      <c r="C751" s="11" t="s">
        <v>19</v>
      </c>
      <c r="D751" s="11" t="s">
        <v>21</v>
      </c>
      <c r="F751" s="15"/>
      <c r="G751" s="15"/>
      <c r="I751" s="17"/>
      <c r="O751" s="11" t="s">
        <v>27</v>
      </c>
      <c r="Y751" s="64">
        <f t="shared" si="22"/>
        <v>0</v>
      </c>
      <c r="AA751" s="64">
        <f t="shared" si="23"/>
        <v>0</v>
      </c>
      <c r="AB751" s="64" t="str">
        <f>IF($B751="","",(COUNTIFS(Rships!$C$2:$C$9990,$A751,Rships!$D$2:$D$9990,1)))</f>
        <v/>
      </c>
      <c r="AC751" s="64" t="str">
        <f>IF($B751="","",(COUNTIFS(Rships!$C$2:$C$9990,$A751,Rships!$D$2:$D$9990,2)))</f>
        <v/>
      </c>
      <c r="AD751" s="64" t="str">
        <f>IF($B751="","",(COUNTIFS(Rships!$C$2:$C$9990,$A751,Rships!$D$2:$D$9990,3)))</f>
        <v/>
      </c>
      <c r="AE751" s="64" t="str">
        <f>IF($B751="","",(COUNTIFS(Rships!$C$2:$C$9990,$A751,Rships!$D$2:$D$9990,4)))</f>
        <v/>
      </c>
      <c r="AF751" s="64" t="str">
        <f>IF($B751="","",(COUNTIFS(Rships!$C$2:$C$9990,$A751,Rships!$D$2:$D$9990,5)))</f>
        <v/>
      </c>
      <c r="AG751" s="64" t="str">
        <f>IF($B751="","",(COUNTIFS(Rships!$C$2:$C$9990,$A751,Rships!$D$2:$D$9990,6)))</f>
        <v/>
      </c>
      <c r="AH751" s="64" t="str">
        <f>IF($B751="","",(COUNTIFS(Rships!$C$2:$C$9990,$A751,Rships!$D$2:$D$9990,7)))</f>
        <v/>
      </c>
    </row>
    <row r="752" spans="1:34">
      <c r="A752" s="1" t="s">
        <v>1001</v>
      </c>
      <c r="C752" s="11" t="s">
        <v>19</v>
      </c>
      <c r="D752" s="11" t="s">
        <v>21</v>
      </c>
      <c r="F752" s="15"/>
      <c r="G752" s="15"/>
      <c r="I752" s="17"/>
      <c r="O752" s="11" t="s">
        <v>27</v>
      </c>
      <c r="Y752" s="64">
        <f t="shared" si="22"/>
        <v>0</v>
      </c>
      <c r="AA752" s="64">
        <f t="shared" si="23"/>
        <v>0</v>
      </c>
      <c r="AB752" s="64" t="str">
        <f>IF($B752="","",(COUNTIFS(Rships!$C$2:$C$9990,$A752,Rships!$D$2:$D$9990,1)))</f>
        <v/>
      </c>
      <c r="AC752" s="64" t="str">
        <f>IF($B752="","",(COUNTIFS(Rships!$C$2:$C$9990,$A752,Rships!$D$2:$D$9990,2)))</f>
        <v/>
      </c>
      <c r="AD752" s="64" t="str">
        <f>IF($B752="","",(COUNTIFS(Rships!$C$2:$C$9990,$A752,Rships!$D$2:$D$9990,3)))</f>
        <v/>
      </c>
      <c r="AE752" s="64" t="str">
        <f>IF($B752="","",(COUNTIFS(Rships!$C$2:$C$9990,$A752,Rships!$D$2:$D$9990,4)))</f>
        <v/>
      </c>
      <c r="AF752" s="64" t="str">
        <f>IF($B752="","",(COUNTIFS(Rships!$C$2:$C$9990,$A752,Rships!$D$2:$D$9990,5)))</f>
        <v/>
      </c>
      <c r="AG752" s="64" t="str">
        <f>IF($B752="","",(COUNTIFS(Rships!$C$2:$C$9990,$A752,Rships!$D$2:$D$9990,6)))</f>
        <v/>
      </c>
      <c r="AH752" s="64" t="str">
        <f>IF($B752="","",(COUNTIFS(Rships!$C$2:$C$9990,$A752,Rships!$D$2:$D$9990,7)))</f>
        <v/>
      </c>
    </row>
    <row r="753" spans="1:34">
      <c r="A753" s="1" t="s">
        <v>1002</v>
      </c>
      <c r="C753" s="11" t="s">
        <v>19</v>
      </c>
      <c r="D753" s="11" t="s">
        <v>21</v>
      </c>
      <c r="F753" s="15"/>
      <c r="G753" s="15"/>
      <c r="I753" s="17"/>
      <c r="O753" s="11" t="s">
        <v>27</v>
      </c>
      <c r="Y753" s="64">
        <f t="shared" si="22"/>
        <v>0</v>
      </c>
      <c r="AA753" s="64">
        <f t="shared" si="23"/>
        <v>0</v>
      </c>
      <c r="AB753" s="64" t="str">
        <f>IF($B753="","",(COUNTIFS(Rships!$C$2:$C$9990,$A753,Rships!$D$2:$D$9990,1)))</f>
        <v/>
      </c>
      <c r="AC753" s="64" t="str">
        <f>IF($B753="","",(COUNTIFS(Rships!$C$2:$C$9990,$A753,Rships!$D$2:$D$9990,2)))</f>
        <v/>
      </c>
      <c r="AD753" s="64" t="str">
        <f>IF($B753="","",(COUNTIFS(Rships!$C$2:$C$9990,$A753,Rships!$D$2:$D$9990,3)))</f>
        <v/>
      </c>
      <c r="AE753" s="64" t="str">
        <f>IF($B753="","",(COUNTIFS(Rships!$C$2:$C$9990,$A753,Rships!$D$2:$D$9990,4)))</f>
        <v/>
      </c>
      <c r="AF753" s="64" t="str">
        <f>IF($B753="","",(COUNTIFS(Rships!$C$2:$C$9990,$A753,Rships!$D$2:$D$9990,5)))</f>
        <v/>
      </c>
      <c r="AG753" s="64" t="str">
        <f>IF($B753="","",(COUNTIFS(Rships!$C$2:$C$9990,$A753,Rships!$D$2:$D$9990,6)))</f>
        <v/>
      </c>
      <c r="AH753" s="64" t="str">
        <f>IF($B753="","",(COUNTIFS(Rships!$C$2:$C$9990,$A753,Rships!$D$2:$D$9990,7)))</f>
        <v/>
      </c>
    </row>
    <row r="754" spans="1:34">
      <c r="A754" s="1" t="s">
        <v>1003</v>
      </c>
      <c r="C754" s="11" t="s">
        <v>19</v>
      </c>
      <c r="D754" s="11" t="s">
        <v>21</v>
      </c>
      <c r="F754" s="15"/>
      <c r="G754" s="15"/>
      <c r="I754" s="17"/>
      <c r="O754" s="11" t="s">
        <v>27</v>
      </c>
      <c r="Y754" s="64">
        <f t="shared" si="22"/>
        <v>0</v>
      </c>
      <c r="AA754" s="64">
        <f t="shared" si="23"/>
        <v>0</v>
      </c>
      <c r="AB754" s="64" t="str">
        <f>IF($B754="","",(COUNTIFS(Rships!$C$2:$C$9990,$A754,Rships!$D$2:$D$9990,1)))</f>
        <v/>
      </c>
      <c r="AC754" s="64" t="str">
        <f>IF($B754="","",(COUNTIFS(Rships!$C$2:$C$9990,$A754,Rships!$D$2:$D$9990,2)))</f>
        <v/>
      </c>
      <c r="AD754" s="64" t="str">
        <f>IF($B754="","",(COUNTIFS(Rships!$C$2:$C$9990,$A754,Rships!$D$2:$D$9990,3)))</f>
        <v/>
      </c>
      <c r="AE754" s="64" t="str">
        <f>IF($B754="","",(COUNTIFS(Rships!$C$2:$C$9990,$A754,Rships!$D$2:$D$9990,4)))</f>
        <v/>
      </c>
      <c r="AF754" s="64" t="str">
        <f>IF($B754="","",(COUNTIFS(Rships!$C$2:$C$9990,$A754,Rships!$D$2:$D$9990,5)))</f>
        <v/>
      </c>
      <c r="AG754" s="64" t="str">
        <f>IF($B754="","",(COUNTIFS(Rships!$C$2:$C$9990,$A754,Rships!$D$2:$D$9990,6)))</f>
        <v/>
      </c>
      <c r="AH754" s="64" t="str">
        <f>IF($B754="","",(COUNTIFS(Rships!$C$2:$C$9990,$A754,Rships!$D$2:$D$9990,7)))</f>
        <v/>
      </c>
    </row>
    <row r="755" spans="1:34">
      <c r="A755" s="1" t="s">
        <v>1004</v>
      </c>
      <c r="C755" s="11" t="s">
        <v>19</v>
      </c>
      <c r="D755" s="11" t="s">
        <v>21</v>
      </c>
      <c r="F755" s="15"/>
      <c r="G755" s="15"/>
      <c r="I755" s="17"/>
      <c r="O755" s="11" t="s">
        <v>27</v>
      </c>
      <c r="Y755" s="64">
        <f t="shared" ref="Y755:Y818" si="24">SUMIF($B$2:$B$100,$A755,$AA$2:$AA$100)</f>
        <v>0</v>
      </c>
      <c r="AA755" s="64">
        <f t="shared" si="23"/>
        <v>0</v>
      </c>
      <c r="AB755" s="64" t="str">
        <f>IF($B755="","",(COUNTIFS(Rships!$C$2:$C$9990,$A755,Rships!$D$2:$D$9990,1)))</f>
        <v/>
      </c>
      <c r="AC755" s="64" t="str">
        <f>IF($B755="","",(COUNTIFS(Rships!$C$2:$C$9990,$A755,Rships!$D$2:$D$9990,2)))</f>
        <v/>
      </c>
      <c r="AD755" s="64" t="str">
        <f>IF($B755="","",(COUNTIFS(Rships!$C$2:$C$9990,$A755,Rships!$D$2:$D$9990,3)))</f>
        <v/>
      </c>
      <c r="AE755" s="64" t="str">
        <f>IF($B755="","",(COUNTIFS(Rships!$C$2:$C$9990,$A755,Rships!$D$2:$D$9990,4)))</f>
        <v/>
      </c>
      <c r="AF755" s="64" t="str">
        <f>IF($B755="","",(COUNTIFS(Rships!$C$2:$C$9990,$A755,Rships!$D$2:$D$9990,5)))</f>
        <v/>
      </c>
      <c r="AG755" s="64" t="str">
        <f>IF($B755="","",(COUNTIFS(Rships!$C$2:$C$9990,$A755,Rships!$D$2:$D$9990,6)))</f>
        <v/>
      </c>
      <c r="AH755" s="64" t="str">
        <f>IF($B755="","",(COUNTIFS(Rships!$C$2:$C$9990,$A755,Rships!$D$2:$D$9990,7)))</f>
        <v/>
      </c>
    </row>
    <row r="756" spans="1:34">
      <c r="A756" s="1" t="s">
        <v>1005</v>
      </c>
      <c r="C756" s="11" t="s">
        <v>19</v>
      </c>
      <c r="D756" s="11" t="s">
        <v>21</v>
      </c>
      <c r="F756" s="15"/>
      <c r="G756" s="15"/>
      <c r="I756" s="17"/>
      <c r="O756" s="11" t="s">
        <v>27</v>
      </c>
      <c r="Y756" s="64">
        <f t="shared" si="24"/>
        <v>0</v>
      </c>
      <c r="AA756" s="64">
        <f t="shared" si="23"/>
        <v>0</v>
      </c>
      <c r="AB756" s="64" t="str">
        <f>IF($B756="","",(COUNTIFS(Rships!$C$2:$C$9990,$A756,Rships!$D$2:$D$9990,1)))</f>
        <v/>
      </c>
      <c r="AC756" s="64" t="str">
        <f>IF($B756="","",(COUNTIFS(Rships!$C$2:$C$9990,$A756,Rships!$D$2:$D$9990,2)))</f>
        <v/>
      </c>
      <c r="AD756" s="64" t="str">
        <f>IF($B756="","",(COUNTIFS(Rships!$C$2:$C$9990,$A756,Rships!$D$2:$D$9990,3)))</f>
        <v/>
      </c>
      <c r="AE756" s="64" t="str">
        <f>IF($B756="","",(COUNTIFS(Rships!$C$2:$C$9990,$A756,Rships!$D$2:$D$9990,4)))</f>
        <v/>
      </c>
      <c r="AF756" s="64" t="str">
        <f>IF($B756="","",(COUNTIFS(Rships!$C$2:$C$9990,$A756,Rships!$D$2:$D$9990,5)))</f>
        <v/>
      </c>
      <c r="AG756" s="64" t="str">
        <f>IF($B756="","",(COUNTIFS(Rships!$C$2:$C$9990,$A756,Rships!$D$2:$D$9990,6)))</f>
        <v/>
      </c>
      <c r="AH756" s="64" t="str">
        <f>IF($B756="","",(COUNTIFS(Rships!$C$2:$C$9990,$A756,Rships!$D$2:$D$9990,7)))</f>
        <v/>
      </c>
    </row>
    <row r="757" spans="1:34">
      <c r="A757" s="1" t="s">
        <v>1006</v>
      </c>
      <c r="C757" s="11" t="s">
        <v>19</v>
      </c>
      <c r="D757" s="11" t="s">
        <v>21</v>
      </c>
      <c r="F757" s="15"/>
      <c r="G757" s="15"/>
      <c r="I757" s="17"/>
      <c r="O757" s="11" t="s">
        <v>27</v>
      </c>
      <c r="Y757" s="64">
        <f t="shared" si="24"/>
        <v>0</v>
      </c>
      <c r="AA757" s="64">
        <f t="shared" si="23"/>
        <v>0</v>
      </c>
      <c r="AB757" s="64" t="str">
        <f>IF($B757="","",(COUNTIFS(Rships!$C$2:$C$9990,$A757,Rships!$D$2:$D$9990,1)))</f>
        <v/>
      </c>
      <c r="AC757" s="64" t="str">
        <f>IF($B757="","",(COUNTIFS(Rships!$C$2:$C$9990,$A757,Rships!$D$2:$D$9990,2)))</f>
        <v/>
      </c>
      <c r="AD757" s="64" t="str">
        <f>IF($B757="","",(COUNTIFS(Rships!$C$2:$C$9990,$A757,Rships!$D$2:$D$9990,3)))</f>
        <v/>
      </c>
      <c r="AE757" s="64" t="str">
        <f>IF($B757="","",(COUNTIFS(Rships!$C$2:$C$9990,$A757,Rships!$D$2:$D$9990,4)))</f>
        <v/>
      </c>
      <c r="AF757" s="64" t="str">
        <f>IF($B757="","",(COUNTIFS(Rships!$C$2:$C$9990,$A757,Rships!$D$2:$D$9990,5)))</f>
        <v/>
      </c>
      <c r="AG757" s="64" t="str">
        <f>IF($B757="","",(COUNTIFS(Rships!$C$2:$C$9990,$A757,Rships!$D$2:$D$9990,6)))</f>
        <v/>
      </c>
      <c r="AH757" s="64" t="str">
        <f>IF($B757="","",(COUNTIFS(Rships!$C$2:$C$9990,$A757,Rships!$D$2:$D$9990,7)))</f>
        <v/>
      </c>
    </row>
    <row r="758" spans="1:34">
      <c r="A758" s="1" t="s">
        <v>1007</v>
      </c>
      <c r="C758" s="11" t="s">
        <v>19</v>
      </c>
      <c r="D758" s="11" t="s">
        <v>21</v>
      </c>
      <c r="F758" s="15"/>
      <c r="G758" s="15"/>
      <c r="I758" s="17"/>
      <c r="O758" s="11" t="s">
        <v>27</v>
      </c>
      <c r="Y758" s="64">
        <f t="shared" si="24"/>
        <v>0</v>
      </c>
      <c r="AA758" s="64">
        <f t="shared" si="23"/>
        <v>0</v>
      </c>
      <c r="AB758" s="64" t="str">
        <f>IF($B758="","",(COUNTIFS(Rships!$C$2:$C$9990,$A758,Rships!$D$2:$D$9990,1)))</f>
        <v/>
      </c>
      <c r="AC758" s="64" t="str">
        <f>IF($B758="","",(COUNTIFS(Rships!$C$2:$C$9990,$A758,Rships!$D$2:$D$9990,2)))</f>
        <v/>
      </c>
      <c r="AD758" s="64" t="str">
        <f>IF($B758="","",(COUNTIFS(Rships!$C$2:$C$9990,$A758,Rships!$D$2:$D$9990,3)))</f>
        <v/>
      </c>
      <c r="AE758" s="64" t="str">
        <f>IF($B758="","",(COUNTIFS(Rships!$C$2:$C$9990,$A758,Rships!$D$2:$D$9990,4)))</f>
        <v/>
      </c>
      <c r="AF758" s="64" t="str">
        <f>IF($B758="","",(COUNTIFS(Rships!$C$2:$C$9990,$A758,Rships!$D$2:$D$9990,5)))</f>
        <v/>
      </c>
      <c r="AG758" s="64" t="str">
        <f>IF($B758="","",(COUNTIFS(Rships!$C$2:$C$9990,$A758,Rships!$D$2:$D$9990,6)))</f>
        <v/>
      </c>
      <c r="AH758" s="64" t="str">
        <f>IF($B758="","",(COUNTIFS(Rships!$C$2:$C$9990,$A758,Rships!$D$2:$D$9990,7)))</f>
        <v/>
      </c>
    </row>
    <row r="759" spans="1:34">
      <c r="A759" s="1" t="s">
        <v>1008</v>
      </c>
      <c r="C759" s="11" t="s">
        <v>19</v>
      </c>
      <c r="D759" s="11" t="s">
        <v>21</v>
      </c>
      <c r="F759" s="15"/>
      <c r="G759" s="15"/>
      <c r="I759" s="17"/>
      <c r="O759" s="11" t="s">
        <v>27</v>
      </c>
      <c r="Y759" s="64">
        <f t="shared" si="24"/>
        <v>0</v>
      </c>
      <c r="AA759" s="64">
        <f t="shared" si="23"/>
        <v>0</v>
      </c>
      <c r="AB759" s="64" t="str">
        <f>IF($B759="","",(COUNTIFS(Rships!$C$2:$C$9990,$A759,Rships!$D$2:$D$9990,1)))</f>
        <v/>
      </c>
      <c r="AC759" s="64" t="str">
        <f>IF($B759="","",(COUNTIFS(Rships!$C$2:$C$9990,$A759,Rships!$D$2:$D$9990,2)))</f>
        <v/>
      </c>
      <c r="AD759" s="64" t="str">
        <f>IF($B759="","",(COUNTIFS(Rships!$C$2:$C$9990,$A759,Rships!$D$2:$D$9990,3)))</f>
        <v/>
      </c>
      <c r="AE759" s="64" t="str">
        <f>IF($B759="","",(COUNTIFS(Rships!$C$2:$C$9990,$A759,Rships!$D$2:$D$9990,4)))</f>
        <v/>
      </c>
      <c r="AF759" s="64" t="str">
        <f>IF($B759="","",(COUNTIFS(Rships!$C$2:$C$9990,$A759,Rships!$D$2:$D$9990,5)))</f>
        <v/>
      </c>
      <c r="AG759" s="64" t="str">
        <f>IF($B759="","",(COUNTIFS(Rships!$C$2:$C$9990,$A759,Rships!$D$2:$D$9990,6)))</f>
        <v/>
      </c>
      <c r="AH759" s="64" t="str">
        <f>IF($B759="","",(COUNTIFS(Rships!$C$2:$C$9990,$A759,Rships!$D$2:$D$9990,7)))</f>
        <v/>
      </c>
    </row>
    <row r="760" spans="1:34">
      <c r="A760" s="1" t="s">
        <v>1009</v>
      </c>
      <c r="C760" s="11" t="s">
        <v>19</v>
      </c>
      <c r="D760" s="11" t="s">
        <v>21</v>
      </c>
      <c r="F760" s="15"/>
      <c r="G760" s="15"/>
      <c r="I760" s="17"/>
      <c r="O760" s="11" t="s">
        <v>27</v>
      </c>
      <c r="Y760" s="64">
        <f t="shared" si="24"/>
        <v>0</v>
      </c>
      <c r="AA760" s="64">
        <f t="shared" si="23"/>
        <v>0</v>
      </c>
      <c r="AB760" s="64" t="str">
        <f>IF($B760="","",(COUNTIFS(Rships!$C$2:$C$9990,$A760,Rships!$D$2:$D$9990,1)))</f>
        <v/>
      </c>
      <c r="AC760" s="64" t="str">
        <f>IF($B760="","",(COUNTIFS(Rships!$C$2:$C$9990,$A760,Rships!$D$2:$D$9990,2)))</f>
        <v/>
      </c>
      <c r="AD760" s="64" t="str">
        <f>IF($B760="","",(COUNTIFS(Rships!$C$2:$C$9990,$A760,Rships!$D$2:$D$9990,3)))</f>
        <v/>
      </c>
      <c r="AE760" s="64" t="str">
        <f>IF($B760="","",(COUNTIFS(Rships!$C$2:$C$9990,$A760,Rships!$D$2:$D$9990,4)))</f>
        <v/>
      </c>
      <c r="AF760" s="64" t="str">
        <f>IF($B760="","",(COUNTIFS(Rships!$C$2:$C$9990,$A760,Rships!$D$2:$D$9990,5)))</f>
        <v/>
      </c>
      <c r="AG760" s="64" t="str">
        <f>IF($B760="","",(COUNTIFS(Rships!$C$2:$C$9990,$A760,Rships!$D$2:$D$9990,6)))</f>
        <v/>
      </c>
      <c r="AH760" s="64" t="str">
        <f>IF($B760="","",(COUNTIFS(Rships!$C$2:$C$9990,$A760,Rships!$D$2:$D$9990,7)))</f>
        <v/>
      </c>
    </row>
    <row r="761" spans="1:34">
      <c r="A761" s="1" t="s">
        <v>1010</v>
      </c>
      <c r="C761" s="11" t="s">
        <v>19</v>
      </c>
      <c r="D761" s="11" t="s">
        <v>21</v>
      </c>
      <c r="F761" s="15"/>
      <c r="G761" s="15"/>
      <c r="I761" s="17"/>
      <c r="O761" s="11" t="s">
        <v>27</v>
      </c>
      <c r="Y761" s="64">
        <f t="shared" si="24"/>
        <v>0</v>
      </c>
      <c r="AA761" s="64">
        <f t="shared" si="23"/>
        <v>0</v>
      </c>
      <c r="AB761" s="64" t="str">
        <f>IF($B761="","",(COUNTIFS(Rships!$C$2:$C$9990,$A761,Rships!$D$2:$D$9990,1)))</f>
        <v/>
      </c>
      <c r="AC761" s="64" t="str">
        <f>IF($B761="","",(COUNTIFS(Rships!$C$2:$C$9990,$A761,Rships!$D$2:$D$9990,2)))</f>
        <v/>
      </c>
      <c r="AD761" s="64" t="str">
        <f>IF($B761="","",(COUNTIFS(Rships!$C$2:$C$9990,$A761,Rships!$D$2:$D$9990,3)))</f>
        <v/>
      </c>
      <c r="AE761" s="64" t="str">
        <f>IF($B761="","",(COUNTIFS(Rships!$C$2:$C$9990,$A761,Rships!$D$2:$D$9990,4)))</f>
        <v/>
      </c>
      <c r="AF761" s="64" t="str">
        <f>IF($B761="","",(COUNTIFS(Rships!$C$2:$C$9990,$A761,Rships!$D$2:$D$9990,5)))</f>
        <v/>
      </c>
      <c r="AG761" s="64" t="str">
        <f>IF($B761="","",(COUNTIFS(Rships!$C$2:$C$9990,$A761,Rships!$D$2:$D$9990,6)))</f>
        <v/>
      </c>
      <c r="AH761" s="64" t="str">
        <f>IF($B761="","",(COUNTIFS(Rships!$C$2:$C$9990,$A761,Rships!$D$2:$D$9990,7)))</f>
        <v/>
      </c>
    </row>
    <row r="762" spans="1:34">
      <c r="A762" s="1" t="s">
        <v>1011</v>
      </c>
      <c r="C762" s="11" t="s">
        <v>19</v>
      </c>
      <c r="D762" s="11" t="s">
        <v>21</v>
      </c>
      <c r="F762" s="15"/>
      <c r="G762" s="15"/>
      <c r="I762" s="17"/>
      <c r="O762" s="11" t="s">
        <v>27</v>
      </c>
      <c r="Y762" s="64">
        <f t="shared" si="24"/>
        <v>0</v>
      </c>
      <c r="AA762" s="64">
        <f t="shared" si="23"/>
        <v>0</v>
      </c>
      <c r="AB762" s="64" t="str">
        <f>IF($B762="","",(COUNTIFS(Rships!$C$2:$C$9990,$A762,Rships!$D$2:$D$9990,1)))</f>
        <v/>
      </c>
      <c r="AC762" s="64" t="str">
        <f>IF($B762="","",(COUNTIFS(Rships!$C$2:$C$9990,$A762,Rships!$D$2:$D$9990,2)))</f>
        <v/>
      </c>
      <c r="AD762" s="64" t="str">
        <f>IF($B762="","",(COUNTIFS(Rships!$C$2:$C$9990,$A762,Rships!$D$2:$D$9990,3)))</f>
        <v/>
      </c>
      <c r="AE762" s="64" t="str">
        <f>IF($B762="","",(COUNTIFS(Rships!$C$2:$C$9990,$A762,Rships!$D$2:$D$9990,4)))</f>
        <v/>
      </c>
      <c r="AF762" s="64" t="str">
        <f>IF($B762="","",(COUNTIFS(Rships!$C$2:$C$9990,$A762,Rships!$D$2:$D$9990,5)))</f>
        <v/>
      </c>
      <c r="AG762" s="64" t="str">
        <f>IF($B762="","",(COUNTIFS(Rships!$C$2:$C$9990,$A762,Rships!$D$2:$D$9990,6)))</f>
        <v/>
      </c>
      <c r="AH762" s="64" t="str">
        <f>IF($B762="","",(COUNTIFS(Rships!$C$2:$C$9990,$A762,Rships!$D$2:$D$9990,7)))</f>
        <v/>
      </c>
    </row>
    <row r="763" spans="1:34">
      <c r="A763" s="1" t="s">
        <v>1012</v>
      </c>
      <c r="C763" s="11" t="s">
        <v>19</v>
      </c>
      <c r="D763" s="11" t="s">
        <v>21</v>
      </c>
      <c r="F763" s="15"/>
      <c r="G763" s="15"/>
      <c r="I763" s="17"/>
      <c r="O763" s="11" t="s">
        <v>27</v>
      </c>
      <c r="Y763" s="64">
        <f t="shared" si="24"/>
        <v>0</v>
      </c>
      <c r="AA763" s="64">
        <f t="shared" si="23"/>
        <v>0</v>
      </c>
      <c r="AB763" s="64" t="str">
        <f>IF($B763="","",(COUNTIFS(Rships!$C$2:$C$9990,$A763,Rships!$D$2:$D$9990,1)))</f>
        <v/>
      </c>
      <c r="AC763" s="64" t="str">
        <f>IF($B763="","",(COUNTIFS(Rships!$C$2:$C$9990,$A763,Rships!$D$2:$D$9990,2)))</f>
        <v/>
      </c>
      <c r="AD763" s="64" t="str">
        <f>IF($B763="","",(COUNTIFS(Rships!$C$2:$C$9990,$A763,Rships!$D$2:$D$9990,3)))</f>
        <v/>
      </c>
      <c r="AE763" s="64" t="str">
        <f>IF($B763="","",(COUNTIFS(Rships!$C$2:$C$9990,$A763,Rships!$D$2:$D$9990,4)))</f>
        <v/>
      </c>
      <c r="AF763" s="64" t="str">
        <f>IF($B763="","",(COUNTIFS(Rships!$C$2:$C$9990,$A763,Rships!$D$2:$D$9990,5)))</f>
        <v/>
      </c>
      <c r="AG763" s="64" t="str">
        <f>IF($B763="","",(COUNTIFS(Rships!$C$2:$C$9990,$A763,Rships!$D$2:$D$9990,6)))</f>
        <v/>
      </c>
      <c r="AH763" s="64" t="str">
        <f>IF($B763="","",(COUNTIFS(Rships!$C$2:$C$9990,$A763,Rships!$D$2:$D$9990,7)))</f>
        <v/>
      </c>
    </row>
    <row r="764" spans="1:34">
      <c r="A764" s="1" t="s">
        <v>1013</v>
      </c>
      <c r="C764" s="11" t="s">
        <v>19</v>
      </c>
      <c r="D764" s="11" t="s">
        <v>21</v>
      </c>
      <c r="F764" s="15"/>
      <c r="G764" s="15"/>
      <c r="I764" s="17"/>
      <c r="O764" s="11" t="s">
        <v>27</v>
      </c>
      <c r="Y764" s="64">
        <f t="shared" si="24"/>
        <v>0</v>
      </c>
      <c r="AA764" s="64">
        <f t="shared" si="23"/>
        <v>0</v>
      </c>
      <c r="AB764" s="64" t="str">
        <f>IF($B764="","",(COUNTIFS(Rships!$C$2:$C$9990,$A764,Rships!$D$2:$D$9990,1)))</f>
        <v/>
      </c>
      <c r="AC764" s="64" t="str">
        <f>IF($B764="","",(COUNTIFS(Rships!$C$2:$C$9990,$A764,Rships!$D$2:$D$9990,2)))</f>
        <v/>
      </c>
      <c r="AD764" s="64" t="str">
        <f>IF($B764="","",(COUNTIFS(Rships!$C$2:$C$9990,$A764,Rships!$D$2:$D$9990,3)))</f>
        <v/>
      </c>
      <c r="AE764" s="64" t="str">
        <f>IF($B764="","",(COUNTIFS(Rships!$C$2:$C$9990,$A764,Rships!$D$2:$D$9990,4)))</f>
        <v/>
      </c>
      <c r="AF764" s="64" t="str">
        <f>IF($B764="","",(COUNTIFS(Rships!$C$2:$C$9990,$A764,Rships!$D$2:$D$9990,5)))</f>
        <v/>
      </c>
      <c r="AG764" s="64" t="str">
        <f>IF($B764="","",(COUNTIFS(Rships!$C$2:$C$9990,$A764,Rships!$D$2:$D$9990,6)))</f>
        <v/>
      </c>
      <c r="AH764" s="64" t="str">
        <f>IF($B764="","",(COUNTIFS(Rships!$C$2:$C$9990,$A764,Rships!$D$2:$D$9990,7)))</f>
        <v/>
      </c>
    </row>
    <row r="765" spans="1:34">
      <c r="A765" s="1" t="s">
        <v>1014</v>
      </c>
      <c r="C765" s="11" t="s">
        <v>19</v>
      </c>
      <c r="D765" s="11" t="s">
        <v>21</v>
      </c>
      <c r="F765" s="15"/>
      <c r="G765" s="15"/>
      <c r="I765" s="17"/>
      <c r="O765" s="11" t="s">
        <v>27</v>
      </c>
      <c r="Y765" s="64">
        <f t="shared" si="24"/>
        <v>0</v>
      </c>
      <c r="AA765" s="64">
        <f t="shared" si="23"/>
        <v>0</v>
      </c>
      <c r="AB765" s="64" t="str">
        <f>IF($B765="","",(COUNTIFS(Rships!$C$2:$C$9990,$A765,Rships!$D$2:$D$9990,1)))</f>
        <v/>
      </c>
      <c r="AC765" s="64" t="str">
        <f>IF($B765="","",(COUNTIFS(Rships!$C$2:$C$9990,$A765,Rships!$D$2:$D$9990,2)))</f>
        <v/>
      </c>
      <c r="AD765" s="64" t="str">
        <f>IF($B765="","",(COUNTIFS(Rships!$C$2:$C$9990,$A765,Rships!$D$2:$D$9990,3)))</f>
        <v/>
      </c>
      <c r="AE765" s="64" t="str">
        <f>IF($B765="","",(COUNTIFS(Rships!$C$2:$C$9990,$A765,Rships!$D$2:$D$9990,4)))</f>
        <v/>
      </c>
      <c r="AF765" s="64" t="str">
        <f>IF($B765="","",(COUNTIFS(Rships!$C$2:$C$9990,$A765,Rships!$D$2:$D$9990,5)))</f>
        <v/>
      </c>
      <c r="AG765" s="64" t="str">
        <f>IF($B765="","",(COUNTIFS(Rships!$C$2:$C$9990,$A765,Rships!$D$2:$D$9990,6)))</f>
        <v/>
      </c>
      <c r="AH765" s="64" t="str">
        <f>IF($B765="","",(COUNTIFS(Rships!$C$2:$C$9990,$A765,Rships!$D$2:$D$9990,7)))</f>
        <v/>
      </c>
    </row>
    <row r="766" spans="1:34">
      <c r="A766" s="1" t="s">
        <v>1015</v>
      </c>
      <c r="C766" s="11" t="s">
        <v>19</v>
      </c>
      <c r="D766" s="11" t="s">
        <v>21</v>
      </c>
      <c r="F766" s="15"/>
      <c r="G766" s="15"/>
      <c r="I766" s="17"/>
      <c r="O766" s="11" t="s">
        <v>27</v>
      </c>
      <c r="Y766" s="64">
        <f t="shared" si="24"/>
        <v>0</v>
      </c>
      <c r="AA766" s="64">
        <f t="shared" si="23"/>
        <v>0</v>
      </c>
      <c r="AB766" s="64" t="str">
        <f>IF($B766="","",(COUNTIFS(Rships!$C$2:$C$9990,$A766,Rships!$D$2:$D$9990,1)))</f>
        <v/>
      </c>
      <c r="AC766" s="64" t="str">
        <f>IF($B766="","",(COUNTIFS(Rships!$C$2:$C$9990,$A766,Rships!$D$2:$D$9990,2)))</f>
        <v/>
      </c>
      <c r="AD766" s="64" t="str">
        <f>IF($B766="","",(COUNTIFS(Rships!$C$2:$C$9990,$A766,Rships!$D$2:$D$9990,3)))</f>
        <v/>
      </c>
      <c r="AE766" s="64" t="str">
        <f>IF($B766="","",(COUNTIFS(Rships!$C$2:$C$9990,$A766,Rships!$D$2:$D$9990,4)))</f>
        <v/>
      </c>
      <c r="AF766" s="64" t="str">
        <f>IF($B766="","",(COUNTIFS(Rships!$C$2:$C$9990,$A766,Rships!$D$2:$D$9990,5)))</f>
        <v/>
      </c>
      <c r="AG766" s="64" t="str">
        <f>IF($B766="","",(COUNTIFS(Rships!$C$2:$C$9990,$A766,Rships!$D$2:$D$9990,6)))</f>
        <v/>
      </c>
      <c r="AH766" s="64" t="str">
        <f>IF($B766="","",(COUNTIFS(Rships!$C$2:$C$9990,$A766,Rships!$D$2:$D$9990,7)))</f>
        <v/>
      </c>
    </row>
    <row r="767" spans="1:34">
      <c r="A767" s="1" t="s">
        <v>1016</v>
      </c>
      <c r="C767" s="11" t="s">
        <v>19</v>
      </c>
      <c r="D767" s="11" t="s">
        <v>21</v>
      </c>
      <c r="F767" s="15"/>
      <c r="G767" s="15"/>
      <c r="I767" s="17"/>
      <c r="O767" s="11" t="s">
        <v>27</v>
      </c>
      <c r="Y767" s="64">
        <f t="shared" si="24"/>
        <v>0</v>
      </c>
      <c r="AA767" s="64">
        <f t="shared" si="23"/>
        <v>0</v>
      </c>
      <c r="AB767" s="64" t="str">
        <f>IF($B767="","",(COUNTIFS(Rships!$C$2:$C$9990,$A767,Rships!$D$2:$D$9990,1)))</f>
        <v/>
      </c>
      <c r="AC767" s="64" t="str">
        <f>IF($B767="","",(COUNTIFS(Rships!$C$2:$C$9990,$A767,Rships!$D$2:$D$9990,2)))</f>
        <v/>
      </c>
      <c r="AD767" s="64" t="str">
        <f>IF($B767="","",(COUNTIFS(Rships!$C$2:$C$9990,$A767,Rships!$D$2:$D$9990,3)))</f>
        <v/>
      </c>
      <c r="AE767" s="64" t="str">
        <f>IF($B767="","",(COUNTIFS(Rships!$C$2:$C$9990,$A767,Rships!$D$2:$D$9990,4)))</f>
        <v/>
      </c>
      <c r="AF767" s="64" t="str">
        <f>IF($B767="","",(COUNTIFS(Rships!$C$2:$C$9990,$A767,Rships!$D$2:$D$9990,5)))</f>
        <v/>
      </c>
      <c r="AG767" s="64" t="str">
        <f>IF($B767="","",(COUNTIFS(Rships!$C$2:$C$9990,$A767,Rships!$D$2:$D$9990,6)))</f>
        <v/>
      </c>
      <c r="AH767" s="64" t="str">
        <f>IF($B767="","",(COUNTIFS(Rships!$C$2:$C$9990,$A767,Rships!$D$2:$D$9990,7)))</f>
        <v/>
      </c>
    </row>
    <row r="768" spans="1:34">
      <c r="A768" s="1" t="s">
        <v>1017</v>
      </c>
      <c r="C768" s="11" t="s">
        <v>19</v>
      </c>
      <c r="D768" s="11" t="s">
        <v>21</v>
      </c>
      <c r="F768" s="15"/>
      <c r="G768" s="15"/>
      <c r="I768" s="17"/>
      <c r="O768" s="11" t="s">
        <v>27</v>
      </c>
      <c r="Y768" s="64">
        <f t="shared" si="24"/>
        <v>0</v>
      </c>
      <c r="AA768" s="64">
        <f t="shared" si="23"/>
        <v>0</v>
      </c>
      <c r="AB768" s="64" t="str">
        <f>IF($B768="","",(COUNTIFS(Rships!$C$2:$C$9990,$A768,Rships!$D$2:$D$9990,1)))</f>
        <v/>
      </c>
      <c r="AC768" s="64" t="str">
        <f>IF($B768="","",(COUNTIFS(Rships!$C$2:$C$9990,$A768,Rships!$D$2:$D$9990,2)))</f>
        <v/>
      </c>
      <c r="AD768" s="64" t="str">
        <f>IF($B768="","",(COUNTIFS(Rships!$C$2:$C$9990,$A768,Rships!$D$2:$D$9990,3)))</f>
        <v/>
      </c>
      <c r="AE768" s="64" t="str">
        <f>IF($B768="","",(COUNTIFS(Rships!$C$2:$C$9990,$A768,Rships!$D$2:$D$9990,4)))</f>
        <v/>
      </c>
      <c r="AF768" s="64" t="str">
        <f>IF($B768="","",(COUNTIFS(Rships!$C$2:$C$9990,$A768,Rships!$D$2:$D$9990,5)))</f>
        <v/>
      </c>
      <c r="AG768" s="64" t="str">
        <f>IF($B768="","",(COUNTIFS(Rships!$C$2:$C$9990,$A768,Rships!$D$2:$D$9990,6)))</f>
        <v/>
      </c>
      <c r="AH768" s="64" t="str">
        <f>IF($B768="","",(COUNTIFS(Rships!$C$2:$C$9990,$A768,Rships!$D$2:$D$9990,7)))</f>
        <v/>
      </c>
    </row>
    <row r="769" spans="1:34">
      <c r="A769" s="1" t="s">
        <v>1018</v>
      </c>
      <c r="C769" s="11" t="s">
        <v>19</v>
      </c>
      <c r="D769" s="11" t="s">
        <v>21</v>
      </c>
      <c r="F769" s="15"/>
      <c r="G769" s="15"/>
      <c r="I769" s="17"/>
      <c r="O769" s="11" t="s">
        <v>27</v>
      </c>
      <c r="Y769" s="64">
        <f t="shared" si="24"/>
        <v>0</v>
      </c>
      <c r="AA769" s="64">
        <f t="shared" si="23"/>
        <v>0</v>
      </c>
      <c r="AB769" s="64" t="str">
        <f>IF($B769="","",(COUNTIFS(Rships!$C$2:$C$9990,$A769,Rships!$D$2:$D$9990,1)))</f>
        <v/>
      </c>
      <c r="AC769" s="64" t="str">
        <f>IF($B769="","",(COUNTIFS(Rships!$C$2:$C$9990,$A769,Rships!$D$2:$D$9990,2)))</f>
        <v/>
      </c>
      <c r="AD769" s="64" t="str">
        <f>IF($B769="","",(COUNTIFS(Rships!$C$2:$C$9990,$A769,Rships!$D$2:$D$9990,3)))</f>
        <v/>
      </c>
      <c r="AE769" s="64" t="str">
        <f>IF($B769="","",(COUNTIFS(Rships!$C$2:$C$9990,$A769,Rships!$D$2:$D$9990,4)))</f>
        <v/>
      </c>
      <c r="AF769" s="64" t="str">
        <f>IF($B769="","",(COUNTIFS(Rships!$C$2:$C$9990,$A769,Rships!$D$2:$D$9990,5)))</f>
        <v/>
      </c>
      <c r="AG769" s="64" t="str">
        <f>IF($B769="","",(COUNTIFS(Rships!$C$2:$C$9990,$A769,Rships!$D$2:$D$9990,6)))</f>
        <v/>
      </c>
      <c r="AH769" s="64" t="str">
        <f>IF($B769="","",(COUNTIFS(Rships!$C$2:$C$9990,$A769,Rships!$D$2:$D$9990,7)))</f>
        <v/>
      </c>
    </row>
    <row r="770" spans="1:34">
      <c r="A770" s="1" t="s">
        <v>1019</v>
      </c>
      <c r="C770" s="11" t="s">
        <v>19</v>
      </c>
      <c r="D770" s="11" t="s">
        <v>21</v>
      </c>
      <c r="F770" s="15"/>
      <c r="G770" s="15"/>
      <c r="I770" s="17"/>
      <c r="O770" s="11" t="s">
        <v>27</v>
      </c>
      <c r="Y770" s="64">
        <f t="shared" si="24"/>
        <v>0</v>
      </c>
      <c r="AA770" s="64">
        <f t="shared" si="23"/>
        <v>0</v>
      </c>
      <c r="AB770" s="64" t="str">
        <f>IF($B770="","",(COUNTIFS(Rships!$C$2:$C$9990,$A770,Rships!$D$2:$D$9990,1)))</f>
        <v/>
      </c>
      <c r="AC770" s="64" t="str">
        <f>IF($B770="","",(COUNTIFS(Rships!$C$2:$C$9990,$A770,Rships!$D$2:$D$9990,2)))</f>
        <v/>
      </c>
      <c r="AD770" s="64" t="str">
        <f>IF($B770="","",(COUNTIFS(Rships!$C$2:$C$9990,$A770,Rships!$D$2:$D$9990,3)))</f>
        <v/>
      </c>
      <c r="AE770" s="64" t="str">
        <f>IF($B770="","",(COUNTIFS(Rships!$C$2:$C$9990,$A770,Rships!$D$2:$D$9990,4)))</f>
        <v/>
      </c>
      <c r="AF770" s="64" t="str">
        <f>IF($B770="","",(COUNTIFS(Rships!$C$2:$C$9990,$A770,Rships!$D$2:$D$9990,5)))</f>
        <v/>
      </c>
      <c r="AG770" s="64" t="str">
        <f>IF($B770="","",(COUNTIFS(Rships!$C$2:$C$9990,$A770,Rships!$D$2:$D$9990,6)))</f>
        <v/>
      </c>
      <c r="AH770" s="64" t="str">
        <f>IF($B770="","",(COUNTIFS(Rships!$C$2:$C$9990,$A770,Rships!$D$2:$D$9990,7)))</f>
        <v/>
      </c>
    </row>
    <row r="771" spans="1:34">
      <c r="A771" s="1" t="s">
        <v>1020</v>
      </c>
      <c r="C771" s="11" t="s">
        <v>19</v>
      </c>
      <c r="D771" s="11" t="s">
        <v>21</v>
      </c>
      <c r="F771" s="15"/>
      <c r="G771" s="15"/>
      <c r="I771" s="17"/>
      <c r="O771" s="11" t="s">
        <v>27</v>
      </c>
      <c r="Y771" s="64">
        <f t="shared" si="24"/>
        <v>0</v>
      </c>
      <c r="AA771" s="64">
        <f t="shared" ref="AA771:AA834" si="25">SUM($AB771:$AH771)</f>
        <v>0</v>
      </c>
      <c r="AB771" s="64" t="str">
        <f>IF($B771="","",(COUNTIFS(Rships!$C$2:$C$9990,$A771,Rships!$D$2:$D$9990,1)))</f>
        <v/>
      </c>
      <c r="AC771" s="64" t="str">
        <f>IF($B771="","",(COUNTIFS(Rships!$C$2:$C$9990,$A771,Rships!$D$2:$D$9990,2)))</f>
        <v/>
      </c>
      <c r="AD771" s="64" t="str">
        <f>IF($B771="","",(COUNTIFS(Rships!$C$2:$C$9990,$A771,Rships!$D$2:$D$9990,3)))</f>
        <v/>
      </c>
      <c r="AE771" s="64" t="str">
        <f>IF($B771="","",(COUNTIFS(Rships!$C$2:$C$9990,$A771,Rships!$D$2:$D$9990,4)))</f>
        <v/>
      </c>
      <c r="AF771" s="64" t="str">
        <f>IF($B771="","",(COUNTIFS(Rships!$C$2:$C$9990,$A771,Rships!$D$2:$D$9990,5)))</f>
        <v/>
      </c>
      <c r="AG771" s="64" t="str">
        <f>IF($B771="","",(COUNTIFS(Rships!$C$2:$C$9990,$A771,Rships!$D$2:$D$9990,6)))</f>
        <v/>
      </c>
      <c r="AH771" s="64" t="str">
        <f>IF($B771="","",(COUNTIFS(Rships!$C$2:$C$9990,$A771,Rships!$D$2:$D$9990,7)))</f>
        <v/>
      </c>
    </row>
    <row r="772" spans="1:34">
      <c r="A772" s="1" t="s">
        <v>1021</v>
      </c>
      <c r="C772" s="11" t="s">
        <v>19</v>
      </c>
      <c r="D772" s="11" t="s">
        <v>21</v>
      </c>
      <c r="F772" s="15"/>
      <c r="G772" s="15"/>
      <c r="I772" s="17"/>
      <c r="O772" s="11" t="s">
        <v>27</v>
      </c>
      <c r="Y772" s="64">
        <f t="shared" si="24"/>
        <v>0</v>
      </c>
      <c r="AA772" s="64">
        <f t="shared" si="25"/>
        <v>0</v>
      </c>
      <c r="AB772" s="64" t="str">
        <f>IF($B772="","",(COUNTIFS(Rships!$C$2:$C$9990,$A772,Rships!$D$2:$D$9990,1)))</f>
        <v/>
      </c>
      <c r="AC772" s="64" t="str">
        <f>IF($B772="","",(COUNTIFS(Rships!$C$2:$C$9990,$A772,Rships!$D$2:$D$9990,2)))</f>
        <v/>
      </c>
      <c r="AD772" s="64" t="str">
        <f>IF($B772="","",(COUNTIFS(Rships!$C$2:$C$9990,$A772,Rships!$D$2:$D$9990,3)))</f>
        <v/>
      </c>
      <c r="AE772" s="64" t="str">
        <f>IF($B772="","",(COUNTIFS(Rships!$C$2:$C$9990,$A772,Rships!$D$2:$D$9990,4)))</f>
        <v/>
      </c>
      <c r="AF772" s="64" t="str">
        <f>IF($B772="","",(COUNTIFS(Rships!$C$2:$C$9990,$A772,Rships!$D$2:$D$9990,5)))</f>
        <v/>
      </c>
      <c r="AG772" s="64" t="str">
        <f>IF($B772="","",(COUNTIFS(Rships!$C$2:$C$9990,$A772,Rships!$D$2:$D$9990,6)))</f>
        <v/>
      </c>
      <c r="AH772" s="64" t="str">
        <f>IF($B772="","",(COUNTIFS(Rships!$C$2:$C$9990,$A772,Rships!$D$2:$D$9990,7)))</f>
        <v/>
      </c>
    </row>
    <row r="773" spans="1:34">
      <c r="A773" s="1" t="s">
        <v>1022</v>
      </c>
      <c r="C773" s="11" t="s">
        <v>19</v>
      </c>
      <c r="D773" s="11" t="s">
        <v>21</v>
      </c>
      <c r="F773" s="15"/>
      <c r="G773" s="15"/>
      <c r="I773" s="17"/>
      <c r="O773" s="11" t="s">
        <v>27</v>
      </c>
      <c r="Y773" s="64">
        <f t="shared" si="24"/>
        <v>0</v>
      </c>
      <c r="AA773" s="64">
        <f t="shared" si="25"/>
        <v>0</v>
      </c>
      <c r="AB773" s="64" t="str">
        <f>IF($B773="","",(COUNTIFS(Rships!$C$2:$C$9990,$A773,Rships!$D$2:$D$9990,1)))</f>
        <v/>
      </c>
      <c r="AC773" s="64" t="str">
        <f>IF($B773="","",(COUNTIFS(Rships!$C$2:$C$9990,$A773,Rships!$D$2:$D$9990,2)))</f>
        <v/>
      </c>
      <c r="AD773" s="64" t="str">
        <f>IF($B773="","",(COUNTIFS(Rships!$C$2:$C$9990,$A773,Rships!$D$2:$D$9990,3)))</f>
        <v/>
      </c>
      <c r="AE773" s="64" t="str">
        <f>IF($B773="","",(COUNTIFS(Rships!$C$2:$C$9990,$A773,Rships!$D$2:$D$9990,4)))</f>
        <v/>
      </c>
      <c r="AF773" s="64" t="str">
        <f>IF($B773="","",(COUNTIFS(Rships!$C$2:$C$9990,$A773,Rships!$D$2:$D$9990,5)))</f>
        <v/>
      </c>
      <c r="AG773" s="64" t="str">
        <f>IF($B773="","",(COUNTIFS(Rships!$C$2:$C$9990,$A773,Rships!$D$2:$D$9990,6)))</f>
        <v/>
      </c>
      <c r="AH773" s="64" t="str">
        <f>IF($B773="","",(COUNTIFS(Rships!$C$2:$C$9990,$A773,Rships!$D$2:$D$9990,7)))</f>
        <v/>
      </c>
    </row>
    <row r="774" spans="1:34">
      <c r="A774" s="1" t="s">
        <v>1023</v>
      </c>
      <c r="C774" s="11" t="s">
        <v>19</v>
      </c>
      <c r="D774" s="11" t="s">
        <v>21</v>
      </c>
      <c r="F774" s="15"/>
      <c r="G774" s="15"/>
      <c r="I774" s="17"/>
      <c r="O774" s="11" t="s">
        <v>27</v>
      </c>
      <c r="Y774" s="64">
        <f t="shared" si="24"/>
        <v>0</v>
      </c>
      <c r="AA774" s="64">
        <f t="shared" si="25"/>
        <v>0</v>
      </c>
      <c r="AB774" s="64" t="str">
        <f>IF($B774="","",(COUNTIFS(Rships!$C$2:$C$9990,$A774,Rships!$D$2:$D$9990,1)))</f>
        <v/>
      </c>
      <c r="AC774" s="64" t="str">
        <f>IF($B774="","",(COUNTIFS(Rships!$C$2:$C$9990,$A774,Rships!$D$2:$D$9990,2)))</f>
        <v/>
      </c>
      <c r="AD774" s="64" t="str">
        <f>IF($B774="","",(COUNTIFS(Rships!$C$2:$C$9990,$A774,Rships!$D$2:$D$9990,3)))</f>
        <v/>
      </c>
      <c r="AE774" s="64" t="str">
        <f>IF($B774="","",(COUNTIFS(Rships!$C$2:$C$9990,$A774,Rships!$D$2:$D$9990,4)))</f>
        <v/>
      </c>
      <c r="AF774" s="64" t="str">
        <f>IF($B774="","",(COUNTIFS(Rships!$C$2:$C$9990,$A774,Rships!$D$2:$D$9990,5)))</f>
        <v/>
      </c>
      <c r="AG774" s="64" t="str">
        <f>IF($B774="","",(COUNTIFS(Rships!$C$2:$C$9990,$A774,Rships!$D$2:$D$9990,6)))</f>
        <v/>
      </c>
      <c r="AH774" s="64" t="str">
        <f>IF($B774="","",(COUNTIFS(Rships!$C$2:$C$9990,$A774,Rships!$D$2:$D$9990,7)))</f>
        <v/>
      </c>
    </row>
    <row r="775" spans="1:34">
      <c r="A775" s="1" t="s">
        <v>1024</v>
      </c>
      <c r="C775" s="11" t="s">
        <v>19</v>
      </c>
      <c r="D775" s="11" t="s">
        <v>21</v>
      </c>
      <c r="F775" s="15"/>
      <c r="G775" s="15"/>
      <c r="I775" s="17"/>
      <c r="O775" s="11" t="s">
        <v>27</v>
      </c>
      <c r="Y775" s="64">
        <f t="shared" si="24"/>
        <v>0</v>
      </c>
      <c r="AA775" s="64">
        <f t="shared" si="25"/>
        <v>0</v>
      </c>
      <c r="AB775" s="64" t="str">
        <f>IF($B775="","",(COUNTIFS(Rships!$C$2:$C$9990,$A775,Rships!$D$2:$D$9990,1)))</f>
        <v/>
      </c>
      <c r="AC775" s="64" t="str">
        <f>IF($B775="","",(COUNTIFS(Rships!$C$2:$C$9990,$A775,Rships!$D$2:$D$9990,2)))</f>
        <v/>
      </c>
      <c r="AD775" s="64" t="str">
        <f>IF($B775="","",(COUNTIFS(Rships!$C$2:$C$9990,$A775,Rships!$D$2:$D$9990,3)))</f>
        <v/>
      </c>
      <c r="AE775" s="64" t="str">
        <f>IF($B775="","",(COUNTIFS(Rships!$C$2:$C$9990,$A775,Rships!$D$2:$D$9990,4)))</f>
        <v/>
      </c>
      <c r="AF775" s="64" t="str">
        <f>IF($B775="","",(COUNTIFS(Rships!$C$2:$C$9990,$A775,Rships!$D$2:$D$9990,5)))</f>
        <v/>
      </c>
      <c r="AG775" s="64" t="str">
        <f>IF($B775="","",(COUNTIFS(Rships!$C$2:$C$9990,$A775,Rships!$D$2:$D$9990,6)))</f>
        <v/>
      </c>
      <c r="AH775" s="64" t="str">
        <f>IF($B775="","",(COUNTIFS(Rships!$C$2:$C$9990,$A775,Rships!$D$2:$D$9990,7)))</f>
        <v/>
      </c>
    </row>
    <row r="776" spans="1:34">
      <c r="A776" s="1" t="s">
        <v>1025</v>
      </c>
      <c r="C776" s="11" t="s">
        <v>19</v>
      </c>
      <c r="D776" s="11" t="s">
        <v>21</v>
      </c>
      <c r="F776" s="15"/>
      <c r="G776" s="15"/>
      <c r="I776" s="17"/>
      <c r="O776" s="11" t="s">
        <v>27</v>
      </c>
      <c r="Y776" s="64">
        <f t="shared" si="24"/>
        <v>0</v>
      </c>
      <c r="AA776" s="64">
        <f t="shared" si="25"/>
        <v>0</v>
      </c>
      <c r="AB776" s="64" t="str">
        <f>IF($B776="","",(COUNTIFS(Rships!$C$2:$C$9990,$A776,Rships!$D$2:$D$9990,1)))</f>
        <v/>
      </c>
      <c r="AC776" s="64" t="str">
        <f>IF($B776="","",(COUNTIFS(Rships!$C$2:$C$9990,$A776,Rships!$D$2:$D$9990,2)))</f>
        <v/>
      </c>
      <c r="AD776" s="64" t="str">
        <f>IF($B776="","",(COUNTIFS(Rships!$C$2:$C$9990,$A776,Rships!$D$2:$D$9990,3)))</f>
        <v/>
      </c>
      <c r="AE776" s="64" t="str">
        <f>IF($B776="","",(COUNTIFS(Rships!$C$2:$C$9990,$A776,Rships!$D$2:$D$9990,4)))</f>
        <v/>
      </c>
      <c r="AF776" s="64" t="str">
        <f>IF($B776="","",(COUNTIFS(Rships!$C$2:$C$9990,$A776,Rships!$D$2:$D$9990,5)))</f>
        <v/>
      </c>
      <c r="AG776" s="64" t="str">
        <f>IF($B776="","",(COUNTIFS(Rships!$C$2:$C$9990,$A776,Rships!$D$2:$D$9990,6)))</f>
        <v/>
      </c>
      <c r="AH776" s="64" t="str">
        <f>IF($B776="","",(COUNTIFS(Rships!$C$2:$C$9990,$A776,Rships!$D$2:$D$9990,7)))</f>
        <v/>
      </c>
    </row>
    <row r="777" spans="1:34">
      <c r="A777" s="1" t="s">
        <v>1026</v>
      </c>
      <c r="C777" s="11" t="s">
        <v>19</v>
      </c>
      <c r="D777" s="11" t="s">
        <v>21</v>
      </c>
      <c r="F777" s="15"/>
      <c r="G777" s="15"/>
      <c r="I777" s="17"/>
      <c r="O777" s="11" t="s">
        <v>27</v>
      </c>
      <c r="Y777" s="64">
        <f t="shared" si="24"/>
        <v>0</v>
      </c>
      <c r="AA777" s="64">
        <f t="shared" si="25"/>
        <v>0</v>
      </c>
      <c r="AB777" s="64" t="str">
        <f>IF($B777="","",(COUNTIFS(Rships!$C$2:$C$9990,$A777,Rships!$D$2:$D$9990,1)))</f>
        <v/>
      </c>
      <c r="AC777" s="64" t="str">
        <f>IF($B777="","",(COUNTIFS(Rships!$C$2:$C$9990,$A777,Rships!$D$2:$D$9990,2)))</f>
        <v/>
      </c>
      <c r="AD777" s="64" t="str">
        <f>IF($B777="","",(COUNTIFS(Rships!$C$2:$C$9990,$A777,Rships!$D$2:$D$9990,3)))</f>
        <v/>
      </c>
      <c r="AE777" s="64" t="str">
        <f>IF($B777="","",(COUNTIFS(Rships!$C$2:$C$9990,$A777,Rships!$D$2:$D$9990,4)))</f>
        <v/>
      </c>
      <c r="AF777" s="64" t="str">
        <f>IF($B777="","",(COUNTIFS(Rships!$C$2:$C$9990,$A777,Rships!$D$2:$D$9990,5)))</f>
        <v/>
      </c>
      <c r="AG777" s="64" t="str">
        <f>IF($B777="","",(COUNTIFS(Rships!$C$2:$C$9990,$A777,Rships!$D$2:$D$9990,6)))</f>
        <v/>
      </c>
      <c r="AH777" s="64" t="str">
        <f>IF($B777="","",(COUNTIFS(Rships!$C$2:$C$9990,$A777,Rships!$D$2:$D$9990,7)))</f>
        <v/>
      </c>
    </row>
    <row r="778" spans="1:34">
      <c r="A778" s="1" t="s">
        <v>1027</v>
      </c>
      <c r="C778" s="11" t="s">
        <v>19</v>
      </c>
      <c r="D778" s="11" t="s">
        <v>21</v>
      </c>
      <c r="F778" s="15"/>
      <c r="G778" s="15"/>
      <c r="I778" s="17"/>
      <c r="O778" s="11" t="s">
        <v>27</v>
      </c>
      <c r="Y778" s="64">
        <f t="shared" si="24"/>
        <v>0</v>
      </c>
      <c r="AA778" s="64">
        <f t="shared" si="25"/>
        <v>0</v>
      </c>
      <c r="AB778" s="64" t="str">
        <f>IF($B778="","",(COUNTIFS(Rships!$C$2:$C$9990,$A778,Rships!$D$2:$D$9990,1)))</f>
        <v/>
      </c>
      <c r="AC778" s="64" t="str">
        <f>IF($B778="","",(COUNTIFS(Rships!$C$2:$C$9990,$A778,Rships!$D$2:$D$9990,2)))</f>
        <v/>
      </c>
      <c r="AD778" s="64" t="str">
        <f>IF($B778="","",(COUNTIFS(Rships!$C$2:$C$9990,$A778,Rships!$D$2:$D$9990,3)))</f>
        <v/>
      </c>
      <c r="AE778" s="64" t="str">
        <f>IF($B778="","",(COUNTIFS(Rships!$C$2:$C$9990,$A778,Rships!$D$2:$D$9990,4)))</f>
        <v/>
      </c>
      <c r="AF778" s="64" t="str">
        <f>IF($B778="","",(COUNTIFS(Rships!$C$2:$C$9990,$A778,Rships!$D$2:$D$9990,5)))</f>
        <v/>
      </c>
      <c r="AG778" s="64" t="str">
        <f>IF($B778="","",(COUNTIFS(Rships!$C$2:$C$9990,$A778,Rships!$D$2:$D$9990,6)))</f>
        <v/>
      </c>
      <c r="AH778" s="64" t="str">
        <f>IF($B778="","",(COUNTIFS(Rships!$C$2:$C$9990,$A778,Rships!$D$2:$D$9990,7)))</f>
        <v/>
      </c>
    </row>
    <row r="779" spans="1:34">
      <c r="A779" s="1" t="s">
        <v>1028</v>
      </c>
      <c r="C779" s="11" t="s">
        <v>19</v>
      </c>
      <c r="D779" s="11" t="s">
        <v>21</v>
      </c>
      <c r="F779" s="15"/>
      <c r="G779" s="15"/>
      <c r="I779" s="17"/>
      <c r="O779" s="11" t="s">
        <v>27</v>
      </c>
      <c r="Y779" s="64">
        <f t="shared" si="24"/>
        <v>0</v>
      </c>
      <c r="AA779" s="64">
        <f t="shared" si="25"/>
        <v>0</v>
      </c>
      <c r="AB779" s="64" t="str">
        <f>IF($B779="","",(COUNTIFS(Rships!$C$2:$C$9990,$A779,Rships!$D$2:$D$9990,1)))</f>
        <v/>
      </c>
      <c r="AC779" s="64" t="str">
        <f>IF($B779="","",(COUNTIFS(Rships!$C$2:$C$9990,$A779,Rships!$D$2:$D$9990,2)))</f>
        <v/>
      </c>
      <c r="AD779" s="64" t="str">
        <f>IF($B779="","",(COUNTIFS(Rships!$C$2:$C$9990,$A779,Rships!$D$2:$D$9990,3)))</f>
        <v/>
      </c>
      <c r="AE779" s="64" t="str">
        <f>IF($B779="","",(COUNTIFS(Rships!$C$2:$C$9990,$A779,Rships!$D$2:$D$9990,4)))</f>
        <v/>
      </c>
      <c r="AF779" s="64" t="str">
        <f>IF($B779="","",(COUNTIFS(Rships!$C$2:$C$9990,$A779,Rships!$D$2:$D$9990,5)))</f>
        <v/>
      </c>
      <c r="AG779" s="64" t="str">
        <f>IF($B779="","",(COUNTIFS(Rships!$C$2:$C$9990,$A779,Rships!$D$2:$D$9990,6)))</f>
        <v/>
      </c>
      <c r="AH779" s="64" t="str">
        <f>IF($B779="","",(COUNTIFS(Rships!$C$2:$C$9990,$A779,Rships!$D$2:$D$9990,7)))</f>
        <v/>
      </c>
    </row>
    <row r="780" spans="1:34">
      <c r="A780" s="1" t="s">
        <v>1029</v>
      </c>
      <c r="C780" s="11" t="s">
        <v>19</v>
      </c>
      <c r="D780" s="11" t="s">
        <v>21</v>
      </c>
      <c r="F780" s="15"/>
      <c r="G780" s="15"/>
      <c r="I780" s="17"/>
      <c r="O780" s="11" t="s">
        <v>27</v>
      </c>
      <c r="Y780" s="64">
        <f t="shared" si="24"/>
        <v>0</v>
      </c>
      <c r="AA780" s="64">
        <f t="shared" si="25"/>
        <v>0</v>
      </c>
      <c r="AB780" s="64" t="str">
        <f>IF($B780="","",(COUNTIFS(Rships!$C$2:$C$9990,$A780,Rships!$D$2:$D$9990,1)))</f>
        <v/>
      </c>
      <c r="AC780" s="64" t="str">
        <f>IF($B780="","",(COUNTIFS(Rships!$C$2:$C$9990,$A780,Rships!$D$2:$D$9990,2)))</f>
        <v/>
      </c>
      <c r="AD780" s="64" t="str">
        <f>IF($B780="","",(COUNTIFS(Rships!$C$2:$C$9990,$A780,Rships!$D$2:$D$9990,3)))</f>
        <v/>
      </c>
      <c r="AE780" s="64" t="str">
        <f>IF($B780="","",(COUNTIFS(Rships!$C$2:$C$9990,$A780,Rships!$D$2:$D$9990,4)))</f>
        <v/>
      </c>
      <c r="AF780" s="64" t="str">
        <f>IF($B780="","",(COUNTIFS(Rships!$C$2:$C$9990,$A780,Rships!$D$2:$D$9990,5)))</f>
        <v/>
      </c>
      <c r="AG780" s="64" t="str">
        <f>IF($B780="","",(COUNTIFS(Rships!$C$2:$C$9990,$A780,Rships!$D$2:$D$9990,6)))</f>
        <v/>
      </c>
      <c r="AH780" s="64" t="str">
        <f>IF($B780="","",(COUNTIFS(Rships!$C$2:$C$9990,$A780,Rships!$D$2:$D$9990,7)))</f>
        <v/>
      </c>
    </row>
    <row r="781" spans="1:34">
      <c r="A781" s="1" t="s">
        <v>1030</v>
      </c>
      <c r="C781" s="11" t="s">
        <v>19</v>
      </c>
      <c r="D781" s="11" t="s">
        <v>21</v>
      </c>
      <c r="F781" s="15"/>
      <c r="G781" s="15"/>
      <c r="I781" s="17"/>
      <c r="O781" s="11" t="s">
        <v>27</v>
      </c>
      <c r="Y781" s="64">
        <f t="shared" si="24"/>
        <v>0</v>
      </c>
      <c r="AA781" s="64">
        <f t="shared" si="25"/>
        <v>0</v>
      </c>
      <c r="AB781" s="64" t="str">
        <f>IF($B781="","",(COUNTIFS(Rships!$C$2:$C$9990,$A781,Rships!$D$2:$D$9990,1)))</f>
        <v/>
      </c>
      <c r="AC781" s="64" t="str">
        <f>IF($B781="","",(COUNTIFS(Rships!$C$2:$C$9990,$A781,Rships!$D$2:$D$9990,2)))</f>
        <v/>
      </c>
      <c r="AD781" s="64" t="str">
        <f>IF($B781="","",(COUNTIFS(Rships!$C$2:$C$9990,$A781,Rships!$D$2:$D$9990,3)))</f>
        <v/>
      </c>
      <c r="AE781" s="64" t="str">
        <f>IF($B781="","",(COUNTIFS(Rships!$C$2:$C$9990,$A781,Rships!$D$2:$D$9990,4)))</f>
        <v/>
      </c>
      <c r="AF781" s="64" t="str">
        <f>IF($B781="","",(COUNTIFS(Rships!$C$2:$C$9990,$A781,Rships!$D$2:$D$9990,5)))</f>
        <v/>
      </c>
      <c r="AG781" s="64" t="str">
        <f>IF($B781="","",(COUNTIFS(Rships!$C$2:$C$9990,$A781,Rships!$D$2:$D$9990,6)))</f>
        <v/>
      </c>
      <c r="AH781" s="64" t="str">
        <f>IF($B781="","",(COUNTIFS(Rships!$C$2:$C$9990,$A781,Rships!$D$2:$D$9990,7)))</f>
        <v/>
      </c>
    </row>
    <row r="782" spans="1:34">
      <c r="A782" s="1" t="s">
        <v>1031</v>
      </c>
      <c r="C782" s="11" t="s">
        <v>19</v>
      </c>
      <c r="D782" s="11" t="s">
        <v>21</v>
      </c>
      <c r="F782" s="15"/>
      <c r="G782" s="15"/>
      <c r="I782" s="17"/>
      <c r="O782" s="11" t="s">
        <v>27</v>
      </c>
      <c r="Y782" s="64">
        <f t="shared" si="24"/>
        <v>0</v>
      </c>
      <c r="AA782" s="64">
        <f t="shared" si="25"/>
        <v>0</v>
      </c>
      <c r="AB782" s="64" t="str">
        <f>IF($B782="","",(COUNTIFS(Rships!$C$2:$C$9990,$A782,Rships!$D$2:$D$9990,1)))</f>
        <v/>
      </c>
      <c r="AC782" s="64" t="str">
        <f>IF($B782="","",(COUNTIFS(Rships!$C$2:$C$9990,$A782,Rships!$D$2:$D$9990,2)))</f>
        <v/>
      </c>
      <c r="AD782" s="64" t="str">
        <f>IF($B782="","",(COUNTIFS(Rships!$C$2:$C$9990,$A782,Rships!$D$2:$D$9990,3)))</f>
        <v/>
      </c>
      <c r="AE782" s="64" t="str">
        <f>IF($B782="","",(COUNTIFS(Rships!$C$2:$C$9990,$A782,Rships!$D$2:$D$9990,4)))</f>
        <v/>
      </c>
      <c r="AF782" s="64" t="str">
        <f>IF($B782="","",(COUNTIFS(Rships!$C$2:$C$9990,$A782,Rships!$D$2:$D$9990,5)))</f>
        <v/>
      </c>
      <c r="AG782" s="64" t="str">
        <f>IF($B782="","",(COUNTIFS(Rships!$C$2:$C$9990,$A782,Rships!$D$2:$D$9990,6)))</f>
        <v/>
      </c>
      <c r="AH782" s="64" t="str">
        <f>IF($B782="","",(COUNTIFS(Rships!$C$2:$C$9990,$A782,Rships!$D$2:$D$9990,7)))</f>
        <v/>
      </c>
    </row>
    <row r="783" spans="1:34">
      <c r="A783" s="1" t="s">
        <v>1032</v>
      </c>
      <c r="C783" s="11" t="s">
        <v>19</v>
      </c>
      <c r="D783" s="11" t="s">
        <v>21</v>
      </c>
      <c r="F783" s="15"/>
      <c r="G783" s="15"/>
      <c r="I783" s="17"/>
      <c r="O783" s="11" t="s">
        <v>27</v>
      </c>
      <c r="Y783" s="64">
        <f t="shared" si="24"/>
        <v>0</v>
      </c>
      <c r="AA783" s="64">
        <f t="shared" si="25"/>
        <v>0</v>
      </c>
      <c r="AB783" s="64" t="str">
        <f>IF($B783="","",(COUNTIFS(Rships!$C$2:$C$9990,$A783,Rships!$D$2:$D$9990,1)))</f>
        <v/>
      </c>
      <c r="AC783" s="64" t="str">
        <f>IF($B783="","",(COUNTIFS(Rships!$C$2:$C$9990,$A783,Rships!$D$2:$D$9990,2)))</f>
        <v/>
      </c>
      <c r="AD783" s="64" t="str">
        <f>IF($B783="","",(COUNTIFS(Rships!$C$2:$C$9990,$A783,Rships!$D$2:$D$9990,3)))</f>
        <v/>
      </c>
      <c r="AE783" s="64" t="str">
        <f>IF($B783="","",(COUNTIFS(Rships!$C$2:$C$9990,$A783,Rships!$D$2:$D$9990,4)))</f>
        <v/>
      </c>
      <c r="AF783" s="64" t="str">
        <f>IF($B783="","",(COUNTIFS(Rships!$C$2:$C$9990,$A783,Rships!$D$2:$D$9990,5)))</f>
        <v/>
      </c>
      <c r="AG783" s="64" t="str">
        <f>IF($B783="","",(COUNTIFS(Rships!$C$2:$C$9990,$A783,Rships!$D$2:$D$9990,6)))</f>
        <v/>
      </c>
      <c r="AH783" s="64" t="str">
        <f>IF($B783="","",(COUNTIFS(Rships!$C$2:$C$9990,$A783,Rships!$D$2:$D$9990,7)))</f>
        <v/>
      </c>
    </row>
    <row r="784" spans="1:34">
      <c r="A784" s="1" t="s">
        <v>1033</v>
      </c>
      <c r="C784" s="11" t="s">
        <v>19</v>
      </c>
      <c r="D784" s="11" t="s">
        <v>21</v>
      </c>
      <c r="F784" s="15"/>
      <c r="G784" s="15"/>
      <c r="I784" s="17"/>
      <c r="O784" s="11" t="s">
        <v>27</v>
      </c>
      <c r="Y784" s="64">
        <f t="shared" si="24"/>
        <v>0</v>
      </c>
      <c r="AA784" s="64">
        <f t="shared" si="25"/>
        <v>0</v>
      </c>
      <c r="AB784" s="64" t="str">
        <f>IF($B784="","",(COUNTIFS(Rships!$C$2:$C$9990,$A784,Rships!$D$2:$D$9990,1)))</f>
        <v/>
      </c>
      <c r="AC784" s="64" t="str">
        <f>IF($B784="","",(COUNTIFS(Rships!$C$2:$C$9990,$A784,Rships!$D$2:$D$9990,2)))</f>
        <v/>
      </c>
      <c r="AD784" s="64" t="str">
        <f>IF($B784="","",(COUNTIFS(Rships!$C$2:$C$9990,$A784,Rships!$D$2:$D$9990,3)))</f>
        <v/>
      </c>
      <c r="AE784" s="64" t="str">
        <f>IF($B784="","",(COUNTIFS(Rships!$C$2:$C$9990,$A784,Rships!$D$2:$D$9990,4)))</f>
        <v/>
      </c>
      <c r="AF784" s="64" t="str">
        <f>IF($B784="","",(COUNTIFS(Rships!$C$2:$C$9990,$A784,Rships!$D$2:$D$9990,5)))</f>
        <v/>
      </c>
      <c r="AG784" s="64" t="str">
        <f>IF($B784="","",(COUNTIFS(Rships!$C$2:$C$9990,$A784,Rships!$D$2:$D$9990,6)))</f>
        <v/>
      </c>
      <c r="AH784" s="64" t="str">
        <f>IF($B784="","",(COUNTIFS(Rships!$C$2:$C$9990,$A784,Rships!$D$2:$D$9990,7)))</f>
        <v/>
      </c>
    </row>
    <row r="785" spans="1:34">
      <c r="A785" s="1" t="s">
        <v>1034</v>
      </c>
      <c r="C785" s="11" t="s">
        <v>19</v>
      </c>
      <c r="D785" s="11" t="s">
        <v>21</v>
      </c>
      <c r="F785" s="15"/>
      <c r="G785" s="15"/>
      <c r="I785" s="17"/>
      <c r="O785" s="11" t="s">
        <v>27</v>
      </c>
      <c r="Y785" s="64">
        <f t="shared" si="24"/>
        <v>0</v>
      </c>
      <c r="AA785" s="64">
        <f t="shared" si="25"/>
        <v>0</v>
      </c>
      <c r="AB785" s="64" t="str">
        <f>IF($B785="","",(COUNTIFS(Rships!$C$2:$C$9990,$A785,Rships!$D$2:$D$9990,1)))</f>
        <v/>
      </c>
      <c r="AC785" s="64" t="str">
        <f>IF($B785="","",(COUNTIFS(Rships!$C$2:$C$9990,$A785,Rships!$D$2:$D$9990,2)))</f>
        <v/>
      </c>
      <c r="AD785" s="64" t="str">
        <f>IF($B785="","",(COUNTIFS(Rships!$C$2:$C$9990,$A785,Rships!$D$2:$D$9990,3)))</f>
        <v/>
      </c>
      <c r="AE785" s="64" t="str">
        <f>IF($B785="","",(COUNTIFS(Rships!$C$2:$C$9990,$A785,Rships!$D$2:$D$9990,4)))</f>
        <v/>
      </c>
      <c r="AF785" s="64" t="str">
        <f>IF($B785="","",(COUNTIFS(Rships!$C$2:$C$9990,$A785,Rships!$D$2:$D$9990,5)))</f>
        <v/>
      </c>
      <c r="AG785" s="64" t="str">
        <f>IF($B785="","",(COUNTIFS(Rships!$C$2:$C$9990,$A785,Rships!$D$2:$D$9990,6)))</f>
        <v/>
      </c>
      <c r="AH785" s="64" t="str">
        <f>IF($B785="","",(COUNTIFS(Rships!$C$2:$C$9990,$A785,Rships!$D$2:$D$9990,7)))</f>
        <v/>
      </c>
    </row>
    <row r="786" spans="1:34">
      <c r="A786" s="1" t="s">
        <v>1035</v>
      </c>
      <c r="C786" s="11" t="s">
        <v>19</v>
      </c>
      <c r="D786" s="11" t="s">
        <v>21</v>
      </c>
      <c r="F786" s="15"/>
      <c r="G786" s="15"/>
      <c r="I786" s="17"/>
      <c r="O786" s="11" t="s">
        <v>27</v>
      </c>
      <c r="Y786" s="64">
        <f t="shared" si="24"/>
        <v>0</v>
      </c>
      <c r="AA786" s="64">
        <f t="shared" si="25"/>
        <v>0</v>
      </c>
      <c r="AB786" s="64" t="str">
        <f>IF($B786="","",(COUNTIFS(Rships!$C$2:$C$9990,$A786,Rships!$D$2:$D$9990,1)))</f>
        <v/>
      </c>
      <c r="AC786" s="64" t="str">
        <f>IF($B786="","",(COUNTIFS(Rships!$C$2:$C$9990,$A786,Rships!$D$2:$D$9990,2)))</f>
        <v/>
      </c>
      <c r="AD786" s="64" t="str">
        <f>IF($B786="","",(COUNTIFS(Rships!$C$2:$C$9990,$A786,Rships!$D$2:$D$9990,3)))</f>
        <v/>
      </c>
      <c r="AE786" s="64" t="str">
        <f>IF($B786="","",(COUNTIFS(Rships!$C$2:$C$9990,$A786,Rships!$D$2:$D$9990,4)))</f>
        <v/>
      </c>
      <c r="AF786" s="64" t="str">
        <f>IF($B786="","",(COUNTIFS(Rships!$C$2:$C$9990,$A786,Rships!$D$2:$D$9990,5)))</f>
        <v/>
      </c>
      <c r="AG786" s="64" t="str">
        <f>IF($B786="","",(COUNTIFS(Rships!$C$2:$C$9990,$A786,Rships!$D$2:$D$9990,6)))</f>
        <v/>
      </c>
      <c r="AH786" s="64" t="str">
        <f>IF($B786="","",(COUNTIFS(Rships!$C$2:$C$9990,$A786,Rships!$D$2:$D$9990,7)))</f>
        <v/>
      </c>
    </row>
    <row r="787" spans="1:34">
      <c r="A787" s="1" t="s">
        <v>1036</v>
      </c>
      <c r="C787" s="11" t="s">
        <v>19</v>
      </c>
      <c r="D787" s="11" t="s">
        <v>21</v>
      </c>
      <c r="F787" s="15"/>
      <c r="G787" s="15"/>
      <c r="I787" s="17"/>
      <c r="O787" s="11" t="s">
        <v>27</v>
      </c>
      <c r="Y787" s="64">
        <f t="shared" si="24"/>
        <v>0</v>
      </c>
      <c r="AA787" s="64">
        <f t="shared" si="25"/>
        <v>0</v>
      </c>
      <c r="AB787" s="64" t="str">
        <f>IF($B787="","",(COUNTIFS(Rships!$C$2:$C$9990,$A787,Rships!$D$2:$D$9990,1)))</f>
        <v/>
      </c>
      <c r="AC787" s="64" t="str">
        <f>IF($B787="","",(COUNTIFS(Rships!$C$2:$C$9990,$A787,Rships!$D$2:$D$9990,2)))</f>
        <v/>
      </c>
      <c r="AD787" s="64" t="str">
        <f>IF($B787="","",(COUNTIFS(Rships!$C$2:$C$9990,$A787,Rships!$D$2:$D$9990,3)))</f>
        <v/>
      </c>
      <c r="AE787" s="64" t="str">
        <f>IF($B787="","",(COUNTIFS(Rships!$C$2:$C$9990,$A787,Rships!$D$2:$D$9990,4)))</f>
        <v/>
      </c>
      <c r="AF787" s="64" t="str">
        <f>IF($B787="","",(COUNTIFS(Rships!$C$2:$C$9990,$A787,Rships!$D$2:$D$9990,5)))</f>
        <v/>
      </c>
      <c r="AG787" s="64" t="str">
        <f>IF($B787="","",(COUNTIFS(Rships!$C$2:$C$9990,$A787,Rships!$D$2:$D$9990,6)))</f>
        <v/>
      </c>
      <c r="AH787" s="64" t="str">
        <f>IF($B787="","",(COUNTIFS(Rships!$C$2:$C$9990,$A787,Rships!$D$2:$D$9990,7)))</f>
        <v/>
      </c>
    </row>
    <row r="788" spans="1:34">
      <c r="A788" s="1" t="s">
        <v>1037</v>
      </c>
      <c r="C788" s="11" t="s">
        <v>19</v>
      </c>
      <c r="D788" s="11" t="s">
        <v>21</v>
      </c>
      <c r="F788" s="15"/>
      <c r="G788" s="15"/>
      <c r="I788" s="17"/>
      <c r="O788" s="11" t="s">
        <v>27</v>
      </c>
      <c r="Y788" s="64">
        <f t="shared" si="24"/>
        <v>0</v>
      </c>
      <c r="AA788" s="64">
        <f t="shared" si="25"/>
        <v>0</v>
      </c>
      <c r="AB788" s="64" t="str">
        <f>IF($B788="","",(COUNTIFS(Rships!$C$2:$C$9990,$A788,Rships!$D$2:$D$9990,1)))</f>
        <v/>
      </c>
      <c r="AC788" s="64" t="str">
        <f>IF($B788="","",(COUNTIFS(Rships!$C$2:$C$9990,$A788,Rships!$D$2:$D$9990,2)))</f>
        <v/>
      </c>
      <c r="AD788" s="64" t="str">
        <f>IF($B788="","",(COUNTIFS(Rships!$C$2:$C$9990,$A788,Rships!$D$2:$D$9990,3)))</f>
        <v/>
      </c>
      <c r="AE788" s="64" t="str">
        <f>IF($B788="","",(COUNTIFS(Rships!$C$2:$C$9990,$A788,Rships!$D$2:$D$9990,4)))</f>
        <v/>
      </c>
      <c r="AF788" s="64" t="str">
        <f>IF($B788="","",(COUNTIFS(Rships!$C$2:$C$9990,$A788,Rships!$D$2:$D$9990,5)))</f>
        <v/>
      </c>
      <c r="AG788" s="64" t="str">
        <f>IF($B788="","",(COUNTIFS(Rships!$C$2:$C$9990,$A788,Rships!$D$2:$D$9990,6)))</f>
        <v/>
      </c>
      <c r="AH788" s="64" t="str">
        <f>IF($B788="","",(COUNTIFS(Rships!$C$2:$C$9990,$A788,Rships!$D$2:$D$9990,7)))</f>
        <v/>
      </c>
    </row>
    <row r="789" spans="1:34">
      <c r="A789" s="1" t="s">
        <v>1038</v>
      </c>
      <c r="C789" s="11" t="s">
        <v>19</v>
      </c>
      <c r="D789" s="11" t="s">
        <v>21</v>
      </c>
      <c r="F789" s="15"/>
      <c r="G789" s="15"/>
      <c r="I789" s="17"/>
      <c r="O789" s="11" t="s">
        <v>27</v>
      </c>
      <c r="Y789" s="64">
        <f t="shared" si="24"/>
        <v>0</v>
      </c>
      <c r="AA789" s="64">
        <f t="shared" si="25"/>
        <v>0</v>
      </c>
      <c r="AB789" s="64" t="str">
        <f>IF($B789="","",(COUNTIFS(Rships!$C$2:$C$9990,$A789,Rships!$D$2:$D$9990,1)))</f>
        <v/>
      </c>
      <c r="AC789" s="64" t="str">
        <f>IF($B789="","",(COUNTIFS(Rships!$C$2:$C$9990,$A789,Rships!$D$2:$D$9990,2)))</f>
        <v/>
      </c>
      <c r="AD789" s="64" t="str">
        <f>IF($B789="","",(COUNTIFS(Rships!$C$2:$C$9990,$A789,Rships!$D$2:$D$9990,3)))</f>
        <v/>
      </c>
      <c r="AE789" s="64" t="str">
        <f>IF($B789="","",(COUNTIFS(Rships!$C$2:$C$9990,$A789,Rships!$D$2:$D$9990,4)))</f>
        <v/>
      </c>
      <c r="AF789" s="64" t="str">
        <f>IF($B789="","",(COUNTIFS(Rships!$C$2:$C$9990,$A789,Rships!$D$2:$D$9990,5)))</f>
        <v/>
      </c>
      <c r="AG789" s="64" t="str">
        <f>IF($B789="","",(COUNTIFS(Rships!$C$2:$C$9990,$A789,Rships!$D$2:$D$9990,6)))</f>
        <v/>
      </c>
      <c r="AH789" s="64" t="str">
        <f>IF($B789="","",(COUNTIFS(Rships!$C$2:$C$9990,$A789,Rships!$D$2:$D$9990,7)))</f>
        <v/>
      </c>
    </row>
    <row r="790" spans="1:34">
      <c r="A790" s="1" t="s">
        <v>1039</v>
      </c>
      <c r="C790" s="11" t="s">
        <v>19</v>
      </c>
      <c r="D790" s="11" t="s">
        <v>21</v>
      </c>
      <c r="F790" s="15"/>
      <c r="G790" s="15"/>
      <c r="I790" s="17"/>
      <c r="O790" s="11" t="s">
        <v>27</v>
      </c>
      <c r="Y790" s="64">
        <f t="shared" si="24"/>
        <v>0</v>
      </c>
      <c r="AA790" s="64">
        <f t="shared" si="25"/>
        <v>0</v>
      </c>
      <c r="AB790" s="64" t="str">
        <f>IF($B790="","",(COUNTIFS(Rships!$C$2:$C$9990,$A790,Rships!$D$2:$D$9990,1)))</f>
        <v/>
      </c>
      <c r="AC790" s="64" t="str">
        <f>IF($B790="","",(COUNTIFS(Rships!$C$2:$C$9990,$A790,Rships!$D$2:$D$9990,2)))</f>
        <v/>
      </c>
      <c r="AD790" s="64" t="str">
        <f>IF($B790="","",(COUNTIFS(Rships!$C$2:$C$9990,$A790,Rships!$D$2:$D$9990,3)))</f>
        <v/>
      </c>
      <c r="AE790" s="64" t="str">
        <f>IF($B790="","",(COUNTIFS(Rships!$C$2:$C$9990,$A790,Rships!$D$2:$D$9990,4)))</f>
        <v/>
      </c>
      <c r="AF790" s="64" t="str">
        <f>IF($B790="","",(COUNTIFS(Rships!$C$2:$C$9990,$A790,Rships!$D$2:$D$9990,5)))</f>
        <v/>
      </c>
      <c r="AG790" s="64" t="str">
        <f>IF($B790="","",(COUNTIFS(Rships!$C$2:$C$9990,$A790,Rships!$D$2:$D$9990,6)))</f>
        <v/>
      </c>
      <c r="AH790" s="64" t="str">
        <f>IF($B790="","",(COUNTIFS(Rships!$C$2:$C$9990,$A790,Rships!$D$2:$D$9990,7)))</f>
        <v/>
      </c>
    </row>
    <row r="791" spans="1:34">
      <c r="A791" s="1" t="s">
        <v>1040</v>
      </c>
      <c r="C791" s="11" t="s">
        <v>19</v>
      </c>
      <c r="D791" s="11" t="s">
        <v>21</v>
      </c>
      <c r="F791" s="15"/>
      <c r="G791" s="15"/>
      <c r="I791" s="17"/>
      <c r="O791" s="11" t="s">
        <v>27</v>
      </c>
      <c r="Y791" s="64">
        <f t="shared" si="24"/>
        <v>0</v>
      </c>
      <c r="AA791" s="64">
        <f t="shared" si="25"/>
        <v>0</v>
      </c>
      <c r="AB791" s="64" t="str">
        <f>IF($B791="","",(COUNTIFS(Rships!$C$2:$C$9990,$A791,Rships!$D$2:$D$9990,1)))</f>
        <v/>
      </c>
      <c r="AC791" s="64" t="str">
        <f>IF($B791="","",(COUNTIFS(Rships!$C$2:$C$9990,$A791,Rships!$D$2:$D$9990,2)))</f>
        <v/>
      </c>
      <c r="AD791" s="64" t="str">
        <f>IF($B791="","",(COUNTIFS(Rships!$C$2:$C$9990,$A791,Rships!$D$2:$D$9990,3)))</f>
        <v/>
      </c>
      <c r="AE791" s="64" t="str">
        <f>IF($B791="","",(COUNTIFS(Rships!$C$2:$C$9990,$A791,Rships!$D$2:$D$9990,4)))</f>
        <v/>
      </c>
      <c r="AF791" s="64" t="str">
        <f>IF($B791="","",(COUNTIFS(Rships!$C$2:$C$9990,$A791,Rships!$D$2:$D$9990,5)))</f>
        <v/>
      </c>
      <c r="AG791" s="64" t="str">
        <f>IF($B791="","",(COUNTIFS(Rships!$C$2:$C$9990,$A791,Rships!$D$2:$D$9990,6)))</f>
        <v/>
      </c>
      <c r="AH791" s="64" t="str">
        <f>IF($B791="","",(COUNTIFS(Rships!$C$2:$C$9990,$A791,Rships!$D$2:$D$9990,7)))</f>
        <v/>
      </c>
    </row>
    <row r="792" spans="1:34">
      <c r="A792" s="1" t="s">
        <v>1041</v>
      </c>
      <c r="C792" s="11" t="s">
        <v>19</v>
      </c>
      <c r="D792" s="11" t="s">
        <v>21</v>
      </c>
      <c r="F792" s="15"/>
      <c r="G792" s="15"/>
      <c r="I792" s="17"/>
      <c r="O792" s="11" t="s">
        <v>27</v>
      </c>
      <c r="Y792" s="64">
        <f t="shared" si="24"/>
        <v>0</v>
      </c>
      <c r="AA792" s="64">
        <f t="shared" si="25"/>
        <v>0</v>
      </c>
      <c r="AB792" s="64" t="str">
        <f>IF($B792="","",(COUNTIFS(Rships!$C$2:$C$9990,$A792,Rships!$D$2:$D$9990,1)))</f>
        <v/>
      </c>
      <c r="AC792" s="64" t="str">
        <f>IF($B792="","",(COUNTIFS(Rships!$C$2:$C$9990,$A792,Rships!$D$2:$D$9990,2)))</f>
        <v/>
      </c>
      <c r="AD792" s="64" t="str">
        <f>IF($B792="","",(COUNTIFS(Rships!$C$2:$C$9990,$A792,Rships!$D$2:$D$9990,3)))</f>
        <v/>
      </c>
      <c r="AE792" s="64" t="str">
        <f>IF($B792="","",(COUNTIFS(Rships!$C$2:$C$9990,$A792,Rships!$D$2:$D$9990,4)))</f>
        <v/>
      </c>
      <c r="AF792" s="64" t="str">
        <f>IF($B792="","",(COUNTIFS(Rships!$C$2:$C$9990,$A792,Rships!$D$2:$D$9990,5)))</f>
        <v/>
      </c>
      <c r="AG792" s="64" t="str">
        <f>IF($B792="","",(COUNTIFS(Rships!$C$2:$C$9990,$A792,Rships!$D$2:$D$9990,6)))</f>
        <v/>
      </c>
      <c r="AH792" s="64" t="str">
        <f>IF($B792="","",(COUNTIFS(Rships!$C$2:$C$9990,$A792,Rships!$D$2:$D$9990,7)))</f>
        <v/>
      </c>
    </row>
    <row r="793" spans="1:34">
      <c r="A793" s="1" t="s">
        <v>1042</v>
      </c>
      <c r="C793" s="11" t="s">
        <v>19</v>
      </c>
      <c r="D793" s="11" t="s">
        <v>21</v>
      </c>
      <c r="F793" s="15"/>
      <c r="G793" s="15"/>
      <c r="I793" s="17"/>
      <c r="O793" s="11" t="s">
        <v>27</v>
      </c>
      <c r="Y793" s="64">
        <f t="shared" si="24"/>
        <v>0</v>
      </c>
      <c r="AA793" s="64">
        <f t="shared" si="25"/>
        <v>0</v>
      </c>
      <c r="AB793" s="64" t="str">
        <f>IF($B793="","",(COUNTIFS(Rships!$C$2:$C$9990,$A793,Rships!$D$2:$D$9990,1)))</f>
        <v/>
      </c>
      <c r="AC793" s="64" t="str">
        <f>IF($B793="","",(COUNTIFS(Rships!$C$2:$C$9990,$A793,Rships!$D$2:$D$9990,2)))</f>
        <v/>
      </c>
      <c r="AD793" s="64" t="str">
        <f>IF($B793="","",(COUNTIFS(Rships!$C$2:$C$9990,$A793,Rships!$D$2:$D$9990,3)))</f>
        <v/>
      </c>
      <c r="AE793" s="64" t="str">
        <f>IF($B793="","",(COUNTIFS(Rships!$C$2:$C$9990,$A793,Rships!$D$2:$D$9990,4)))</f>
        <v/>
      </c>
      <c r="AF793" s="64" t="str">
        <f>IF($B793="","",(COUNTIFS(Rships!$C$2:$C$9990,$A793,Rships!$D$2:$D$9990,5)))</f>
        <v/>
      </c>
      <c r="AG793" s="64" t="str">
        <f>IF($B793="","",(COUNTIFS(Rships!$C$2:$C$9990,$A793,Rships!$D$2:$D$9990,6)))</f>
        <v/>
      </c>
      <c r="AH793" s="64" t="str">
        <f>IF($B793="","",(COUNTIFS(Rships!$C$2:$C$9990,$A793,Rships!$D$2:$D$9990,7)))</f>
        <v/>
      </c>
    </row>
    <row r="794" spans="1:34">
      <c r="A794" s="1" t="s">
        <v>1043</v>
      </c>
      <c r="C794" s="11" t="s">
        <v>19</v>
      </c>
      <c r="D794" s="11" t="s">
        <v>21</v>
      </c>
      <c r="F794" s="15"/>
      <c r="G794" s="15"/>
      <c r="I794" s="17"/>
      <c r="O794" s="11" t="s">
        <v>27</v>
      </c>
      <c r="Y794" s="64">
        <f t="shared" si="24"/>
        <v>0</v>
      </c>
      <c r="AA794" s="64">
        <f t="shared" si="25"/>
        <v>0</v>
      </c>
      <c r="AB794" s="64" t="str">
        <f>IF($B794="","",(COUNTIFS(Rships!$C$2:$C$9990,$A794,Rships!$D$2:$D$9990,1)))</f>
        <v/>
      </c>
      <c r="AC794" s="64" t="str">
        <f>IF($B794="","",(COUNTIFS(Rships!$C$2:$C$9990,$A794,Rships!$D$2:$D$9990,2)))</f>
        <v/>
      </c>
      <c r="AD794" s="64" t="str">
        <f>IF($B794="","",(COUNTIFS(Rships!$C$2:$C$9990,$A794,Rships!$D$2:$D$9990,3)))</f>
        <v/>
      </c>
      <c r="AE794" s="64" t="str">
        <f>IF($B794="","",(COUNTIFS(Rships!$C$2:$C$9990,$A794,Rships!$D$2:$D$9990,4)))</f>
        <v/>
      </c>
      <c r="AF794" s="64" t="str">
        <f>IF($B794="","",(COUNTIFS(Rships!$C$2:$C$9990,$A794,Rships!$D$2:$D$9990,5)))</f>
        <v/>
      </c>
      <c r="AG794" s="64" t="str">
        <f>IF($B794="","",(COUNTIFS(Rships!$C$2:$C$9990,$A794,Rships!$D$2:$D$9990,6)))</f>
        <v/>
      </c>
      <c r="AH794" s="64" t="str">
        <f>IF($B794="","",(COUNTIFS(Rships!$C$2:$C$9990,$A794,Rships!$D$2:$D$9990,7)))</f>
        <v/>
      </c>
    </row>
    <row r="795" spans="1:34">
      <c r="A795" s="1" t="s">
        <v>1044</v>
      </c>
      <c r="C795" s="11" t="s">
        <v>19</v>
      </c>
      <c r="D795" s="11" t="s">
        <v>21</v>
      </c>
      <c r="F795" s="15"/>
      <c r="G795" s="15"/>
      <c r="I795" s="17"/>
      <c r="O795" s="11" t="s">
        <v>27</v>
      </c>
      <c r="Y795" s="64">
        <f t="shared" si="24"/>
        <v>0</v>
      </c>
      <c r="AA795" s="64">
        <f t="shared" si="25"/>
        <v>0</v>
      </c>
      <c r="AB795" s="64" t="str">
        <f>IF($B795="","",(COUNTIFS(Rships!$C$2:$C$9990,$A795,Rships!$D$2:$D$9990,1)))</f>
        <v/>
      </c>
      <c r="AC795" s="64" t="str">
        <f>IF($B795="","",(COUNTIFS(Rships!$C$2:$C$9990,$A795,Rships!$D$2:$D$9990,2)))</f>
        <v/>
      </c>
      <c r="AD795" s="64" t="str">
        <f>IF($B795="","",(COUNTIFS(Rships!$C$2:$C$9990,$A795,Rships!$D$2:$D$9990,3)))</f>
        <v/>
      </c>
      <c r="AE795" s="64" t="str">
        <f>IF($B795="","",(COUNTIFS(Rships!$C$2:$C$9990,$A795,Rships!$D$2:$D$9990,4)))</f>
        <v/>
      </c>
      <c r="AF795" s="64" t="str">
        <f>IF($B795="","",(COUNTIFS(Rships!$C$2:$C$9990,$A795,Rships!$D$2:$D$9990,5)))</f>
        <v/>
      </c>
      <c r="AG795" s="64" t="str">
        <f>IF($B795="","",(COUNTIFS(Rships!$C$2:$C$9990,$A795,Rships!$D$2:$D$9990,6)))</f>
        <v/>
      </c>
      <c r="AH795" s="64" t="str">
        <f>IF($B795="","",(COUNTIFS(Rships!$C$2:$C$9990,$A795,Rships!$D$2:$D$9990,7)))</f>
        <v/>
      </c>
    </row>
    <row r="796" spans="1:34">
      <c r="A796" s="1" t="s">
        <v>1045</v>
      </c>
      <c r="C796" s="11" t="s">
        <v>19</v>
      </c>
      <c r="D796" s="11" t="s">
        <v>21</v>
      </c>
      <c r="F796" s="15"/>
      <c r="G796" s="15"/>
      <c r="I796" s="17"/>
      <c r="O796" s="11" t="s">
        <v>27</v>
      </c>
      <c r="Y796" s="64">
        <f t="shared" si="24"/>
        <v>0</v>
      </c>
      <c r="AA796" s="64">
        <f t="shared" si="25"/>
        <v>0</v>
      </c>
      <c r="AB796" s="64" t="str">
        <f>IF($B796="","",(COUNTIFS(Rships!$C$2:$C$9990,$A796,Rships!$D$2:$D$9990,1)))</f>
        <v/>
      </c>
      <c r="AC796" s="64" t="str">
        <f>IF($B796="","",(COUNTIFS(Rships!$C$2:$C$9990,$A796,Rships!$D$2:$D$9990,2)))</f>
        <v/>
      </c>
      <c r="AD796" s="64" t="str">
        <f>IF($B796="","",(COUNTIFS(Rships!$C$2:$C$9990,$A796,Rships!$D$2:$D$9990,3)))</f>
        <v/>
      </c>
      <c r="AE796" s="64" t="str">
        <f>IF($B796="","",(COUNTIFS(Rships!$C$2:$C$9990,$A796,Rships!$D$2:$D$9990,4)))</f>
        <v/>
      </c>
      <c r="AF796" s="64" t="str">
        <f>IF($B796="","",(COUNTIFS(Rships!$C$2:$C$9990,$A796,Rships!$D$2:$D$9990,5)))</f>
        <v/>
      </c>
      <c r="AG796" s="64" t="str">
        <f>IF($B796="","",(COUNTIFS(Rships!$C$2:$C$9990,$A796,Rships!$D$2:$D$9990,6)))</f>
        <v/>
      </c>
      <c r="AH796" s="64" t="str">
        <f>IF($B796="","",(COUNTIFS(Rships!$C$2:$C$9990,$A796,Rships!$D$2:$D$9990,7)))</f>
        <v/>
      </c>
    </row>
    <row r="797" spans="1:34">
      <c r="A797" s="1" t="s">
        <v>1046</v>
      </c>
      <c r="C797" s="11" t="s">
        <v>19</v>
      </c>
      <c r="D797" s="11" t="s">
        <v>21</v>
      </c>
      <c r="F797" s="15"/>
      <c r="G797" s="15"/>
      <c r="I797" s="17"/>
      <c r="O797" s="11" t="s">
        <v>27</v>
      </c>
      <c r="Y797" s="64">
        <f t="shared" si="24"/>
        <v>0</v>
      </c>
      <c r="AA797" s="64">
        <f t="shared" si="25"/>
        <v>0</v>
      </c>
      <c r="AB797" s="64" t="str">
        <f>IF($B797="","",(COUNTIFS(Rships!$C$2:$C$9990,$A797,Rships!$D$2:$D$9990,1)))</f>
        <v/>
      </c>
      <c r="AC797" s="64" t="str">
        <f>IF($B797="","",(COUNTIFS(Rships!$C$2:$C$9990,$A797,Rships!$D$2:$D$9990,2)))</f>
        <v/>
      </c>
      <c r="AD797" s="64" t="str">
        <f>IF($B797="","",(COUNTIFS(Rships!$C$2:$C$9990,$A797,Rships!$D$2:$D$9990,3)))</f>
        <v/>
      </c>
      <c r="AE797" s="64" t="str">
        <f>IF($B797="","",(COUNTIFS(Rships!$C$2:$C$9990,$A797,Rships!$D$2:$D$9990,4)))</f>
        <v/>
      </c>
      <c r="AF797" s="64" t="str">
        <f>IF($B797="","",(COUNTIFS(Rships!$C$2:$C$9990,$A797,Rships!$D$2:$D$9990,5)))</f>
        <v/>
      </c>
      <c r="AG797" s="64" t="str">
        <f>IF($B797="","",(COUNTIFS(Rships!$C$2:$C$9990,$A797,Rships!$D$2:$D$9990,6)))</f>
        <v/>
      </c>
      <c r="AH797" s="64" t="str">
        <f>IF($B797="","",(COUNTIFS(Rships!$C$2:$C$9990,$A797,Rships!$D$2:$D$9990,7)))</f>
        <v/>
      </c>
    </row>
    <row r="798" spans="1:34">
      <c r="A798" s="1" t="s">
        <v>1047</v>
      </c>
      <c r="C798" s="11" t="s">
        <v>19</v>
      </c>
      <c r="D798" s="11" t="s">
        <v>21</v>
      </c>
      <c r="F798" s="15"/>
      <c r="G798" s="15"/>
      <c r="I798" s="17"/>
      <c r="O798" s="11" t="s">
        <v>27</v>
      </c>
      <c r="Y798" s="64">
        <f t="shared" si="24"/>
        <v>0</v>
      </c>
      <c r="AA798" s="64">
        <f t="shared" si="25"/>
        <v>0</v>
      </c>
      <c r="AB798" s="64" t="str">
        <f>IF($B798="","",(COUNTIFS(Rships!$C$2:$C$9990,$A798,Rships!$D$2:$D$9990,1)))</f>
        <v/>
      </c>
      <c r="AC798" s="64" t="str">
        <f>IF($B798="","",(COUNTIFS(Rships!$C$2:$C$9990,$A798,Rships!$D$2:$D$9990,2)))</f>
        <v/>
      </c>
      <c r="AD798" s="64" t="str">
        <f>IF($B798="","",(COUNTIFS(Rships!$C$2:$C$9990,$A798,Rships!$D$2:$D$9990,3)))</f>
        <v/>
      </c>
      <c r="AE798" s="64" t="str">
        <f>IF($B798="","",(COUNTIFS(Rships!$C$2:$C$9990,$A798,Rships!$D$2:$D$9990,4)))</f>
        <v/>
      </c>
      <c r="AF798" s="64" t="str">
        <f>IF($B798="","",(COUNTIFS(Rships!$C$2:$C$9990,$A798,Rships!$D$2:$D$9990,5)))</f>
        <v/>
      </c>
      <c r="AG798" s="64" t="str">
        <f>IF($B798="","",(COUNTIFS(Rships!$C$2:$C$9990,$A798,Rships!$D$2:$D$9990,6)))</f>
        <v/>
      </c>
      <c r="AH798" s="64" t="str">
        <f>IF($B798="","",(COUNTIFS(Rships!$C$2:$C$9990,$A798,Rships!$D$2:$D$9990,7)))</f>
        <v/>
      </c>
    </row>
    <row r="799" spans="1:34">
      <c r="A799" s="1" t="s">
        <v>1048</v>
      </c>
      <c r="C799" s="11" t="s">
        <v>19</v>
      </c>
      <c r="D799" s="11" t="s">
        <v>21</v>
      </c>
      <c r="F799" s="15"/>
      <c r="G799" s="15"/>
      <c r="I799" s="17"/>
      <c r="O799" s="11" t="s">
        <v>27</v>
      </c>
      <c r="Y799" s="64">
        <f t="shared" si="24"/>
        <v>0</v>
      </c>
      <c r="AA799" s="64">
        <f t="shared" si="25"/>
        <v>0</v>
      </c>
      <c r="AB799" s="64" t="str">
        <f>IF($B799="","",(COUNTIFS(Rships!$C$2:$C$9990,$A799,Rships!$D$2:$D$9990,1)))</f>
        <v/>
      </c>
      <c r="AC799" s="64" t="str">
        <f>IF($B799="","",(COUNTIFS(Rships!$C$2:$C$9990,$A799,Rships!$D$2:$D$9990,2)))</f>
        <v/>
      </c>
      <c r="AD799" s="64" t="str">
        <f>IF($B799="","",(COUNTIFS(Rships!$C$2:$C$9990,$A799,Rships!$D$2:$D$9990,3)))</f>
        <v/>
      </c>
      <c r="AE799" s="64" t="str">
        <f>IF($B799="","",(COUNTIFS(Rships!$C$2:$C$9990,$A799,Rships!$D$2:$D$9990,4)))</f>
        <v/>
      </c>
      <c r="AF799" s="64" t="str">
        <f>IF($B799="","",(COUNTIFS(Rships!$C$2:$C$9990,$A799,Rships!$D$2:$D$9990,5)))</f>
        <v/>
      </c>
      <c r="AG799" s="64" t="str">
        <f>IF($B799="","",(COUNTIFS(Rships!$C$2:$C$9990,$A799,Rships!$D$2:$D$9990,6)))</f>
        <v/>
      </c>
      <c r="AH799" s="64" t="str">
        <f>IF($B799="","",(COUNTIFS(Rships!$C$2:$C$9990,$A799,Rships!$D$2:$D$9990,7)))</f>
        <v/>
      </c>
    </row>
    <row r="800" spans="1:34">
      <c r="A800" s="1" t="s">
        <v>1049</v>
      </c>
      <c r="C800" s="11" t="s">
        <v>19</v>
      </c>
      <c r="D800" s="11" t="s">
        <v>21</v>
      </c>
      <c r="F800" s="15"/>
      <c r="G800" s="15"/>
      <c r="I800" s="17"/>
      <c r="O800" s="11" t="s">
        <v>27</v>
      </c>
      <c r="Y800" s="64">
        <f t="shared" si="24"/>
        <v>0</v>
      </c>
      <c r="AA800" s="64">
        <f t="shared" si="25"/>
        <v>0</v>
      </c>
      <c r="AB800" s="64" t="str">
        <f>IF($B800="","",(COUNTIFS(Rships!$C$2:$C$9990,$A800,Rships!$D$2:$D$9990,1)))</f>
        <v/>
      </c>
      <c r="AC800" s="64" t="str">
        <f>IF($B800="","",(COUNTIFS(Rships!$C$2:$C$9990,$A800,Rships!$D$2:$D$9990,2)))</f>
        <v/>
      </c>
      <c r="AD800" s="64" t="str">
        <f>IF($B800="","",(COUNTIFS(Rships!$C$2:$C$9990,$A800,Rships!$D$2:$D$9990,3)))</f>
        <v/>
      </c>
      <c r="AE800" s="64" t="str">
        <f>IF($B800="","",(COUNTIFS(Rships!$C$2:$C$9990,$A800,Rships!$D$2:$D$9990,4)))</f>
        <v/>
      </c>
      <c r="AF800" s="64" t="str">
        <f>IF($B800="","",(COUNTIFS(Rships!$C$2:$C$9990,$A800,Rships!$D$2:$D$9990,5)))</f>
        <v/>
      </c>
      <c r="AG800" s="64" t="str">
        <f>IF($B800="","",(COUNTIFS(Rships!$C$2:$C$9990,$A800,Rships!$D$2:$D$9990,6)))</f>
        <v/>
      </c>
      <c r="AH800" s="64" t="str">
        <f>IF($B800="","",(COUNTIFS(Rships!$C$2:$C$9990,$A800,Rships!$D$2:$D$9990,7)))</f>
        <v/>
      </c>
    </row>
    <row r="801" spans="1:34">
      <c r="A801" s="1" t="s">
        <v>1050</v>
      </c>
      <c r="C801" s="11" t="s">
        <v>19</v>
      </c>
      <c r="D801" s="11" t="s">
        <v>21</v>
      </c>
      <c r="F801" s="15"/>
      <c r="G801" s="15"/>
      <c r="I801" s="17"/>
      <c r="O801" s="11" t="s">
        <v>27</v>
      </c>
      <c r="Y801" s="64">
        <f t="shared" si="24"/>
        <v>0</v>
      </c>
      <c r="AA801" s="64">
        <f t="shared" si="25"/>
        <v>0</v>
      </c>
      <c r="AB801" s="64" t="str">
        <f>IF($B801="","",(COUNTIFS(Rships!$C$2:$C$9990,$A801,Rships!$D$2:$D$9990,1)))</f>
        <v/>
      </c>
      <c r="AC801" s="64" t="str">
        <f>IF($B801="","",(COUNTIFS(Rships!$C$2:$C$9990,$A801,Rships!$D$2:$D$9990,2)))</f>
        <v/>
      </c>
      <c r="AD801" s="64" t="str">
        <f>IF($B801="","",(COUNTIFS(Rships!$C$2:$C$9990,$A801,Rships!$D$2:$D$9990,3)))</f>
        <v/>
      </c>
      <c r="AE801" s="64" t="str">
        <f>IF($B801="","",(COUNTIFS(Rships!$C$2:$C$9990,$A801,Rships!$D$2:$D$9990,4)))</f>
        <v/>
      </c>
      <c r="AF801" s="64" t="str">
        <f>IF($B801="","",(COUNTIFS(Rships!$C$2:$C$9990,$A801,Rships!$D$2:$D$9990,5)))</f>
        <v/>
      </c>
      <c r="AG801" s="64" t="str">
        <f>IF($B801="","",(COUNTIFS(Rships!$C$2:$C$9990,$A801,Rships!$D$2:$D$9990,6)))</f>
        <v/>
      </c>
      <c r="AH801" s="64" t="str">
        <f>IF($B801="","",(COUNTIFS(Rships!$C$2:$C$9990,$A801,Rships!$D$2:$D$9990,7)))</f>
        <v/>
      </c>
    </row>
    <row r="802" spans="1:34">
      <c r="A802" s="1" t="s">
        <v>1051</v>
      </c>
      <c r="C802" s="11" t="s">
        <v>19</v>
      </c>
      <c r="D802" s="11" t="s">
        <v>21</v>
      </c>
      <c r="F802" s="15"/>
      <c r="G802" s="15"/>
      <c r="I802" s="17"/>
      <c r="O802" s="11" t="s">
        <v>27</v>
      </c>
      <c r="Y802" s="64">
        <f t="shared" si="24"/>
        <v>0</v>
      </c>
      <c r="AA802" s="64">
        <f t="shared" si="25"/>
        <v>0</v>
      </c>
      <c r="AB802" s="64" t="str">
        <f>IF($B802="","",(COUNTIFS(Rships!$C$2:$C$9990,$A802,Rships!$D$2:$D$9990,1)))</f>
        <v/>
      </c>
      <c r="AC802" s="64" t="str">
        <f>IF($B802="","",(COUNTIFS(Rships!$C$2:$C$9990,$A802,Rships!$D$2:$D$9990,2)))</f>
        <v/>
      </c>
      <c r="AD802" s="64" t="str">
        <f>IF($B802="","",(COUNTIFS(Rships!$C$2:$C$9990,$A802,Rships!$D$2:$D$9990,3)))</f>
        <v/>
      </c>
      <c r="AE802" s="64" t="str">
        <f>IF($B802="","",(COUNTIFS(Rships!$C$2:$C$9990,$A802,Rships!$D$2:$D$9990,4)))</f>
        <v/>
      </c>
      <c r="AF802" s="64" t="str">
        <f>IF($B802="","",(COUNTIFS(Rships!$C$2:$C$9990,$A802,Rships!$D$2:$D$9990,5)))</f>
        <v/>
      </c>
      <c r="AG802" s="64" t="str">
        <f>IF($B802="","",(COUNTIFS(Rships!$C$2:$C$9990,$A802,Rships!$D$2:$D$9990,6)))</f>
        <v/>
      </c>
      <c r="AH802" s="64" t="str">
        <f>IF($B802="","",(COUNTIFS(Rships!$C$2:$C$9990,$A802,Rships!$D$2:$D$9990,7)))</f>
        <v/>
      </c>
    </row>
    <row r="803" spans="1:34">
      <c r="A803" s="1" t="s">
        <v>1052</v>
      </c>
      <c r="C803" s="11" t="s">
        <v>19</v>
      </c>
      <c r="D803" s="11" t="s">
        <v>21</v>
      </c>
      <c r="F803" s="15"/>
      <c r="G803" s="15"/>
      <c r="I803" s="17"/>
      <c r="O803" s="11" t="s">
        <v>27</v>
      </c>
      <c r="Y803" s="64">
        <f t="shared" si="24"/>
        <v>0</v>
      </c>
      <c r="AA803" s="64">
        <f t="shared" si="25"/>
        <v>0</v>
      </c>
      <c r="AB803" s="64" t="str">
        <f>IF($B803="","",(COUNTIFS(Rships!$C$2:$C$9990,$A803,Rships!$D$2:$D$9990,1)))</f>
        <v/>
      </c>
      <c r="AC803" s="64" t="str">
        <f>IF($B803="","",(COUNTIFS(Rships!$C$2:$C$9990,$A803,Rships!$D$2:$D$9990,2)))</f>
        <v/>
      </c>
      <c r="AD803" s="64" t="str">
        <f>IF($B803="","",(COUNTIFS(Rships!$C$2:$C$9990,$A803,Rships!$D$2:$D$9990,3)))</f>
        <v/>
      </c>
      <c r="AE803" s="64" t="str">
        <f>IF($B803="","",(COUNTIFS(Rships!$C$2:$C$9990,$A803,Rships!$D$2:$D$9990,4)))</f>
        <v/>
      </c>
      <c r="AF803" s="64" t="str">
        <f>IF($B803="","",(COUNTIFS(Rships!$C$2:$C$9990,$A803,Rships!$D$2:$D$9990,5)))</f>
        <v/>
      </c>
      <c r="AG803" s="64" t="str">
        <f>IF($B803="","",(COUNTIFS(Rships!$C$2:$C$9990,$A803,Rships!$D$2:$D$9990,6)))</f>
        <v/>
      </c>
      <c r="AH803" s="64" t="str">
        <f>IF($B803="","",(COUNTIFS(Rships!$C$2:$C$9990,$A803,Rships!$D$2:$D$9990,7)))</f>
        <v/>
      </c>
    </row>
    <row r="804" spans="1:34">
      <c r="A804" s="1" t="s">
        <v>1053</v>
      </c>
      <c r="C804" s="11" t="s">
        <v>19</v>
      </c>
      <c r="D804" s="11" t="s">
        <v>21</v>
      </c>
      <c r="F804" s="15"/>
      <c r="G804" s="15"/>
      <c r="I804" s="17"/>
      <c r="O804" s="11" t="s">
        <v>27</v>
      </c>
      <c r="Y804" s="64">
        <f t="shared" si="24"/>
        <v>0</v>
      </c>
      <c r="AA804" s="64">
        <f t="shared" si="25"/>
        <v>0</v>
      </c>
      <c r="AB804" s="64" t="str">
        <f>IF($B804="","",(COUNTIFS(Rships!$C$2:$C$9990,$A804,Rships!$D$2:$D$9990,1)))</f>
        <v/>
      </c>
      <c r="AC804" s="64" t="str">
        <f>IF($B804="","",(COUNTIFS(Rships!$C$2:$C$9990,$A804,Rships!$D$2:$D$9990,2)))</f>
        <v/>
      </c>
      <c r="AD804" s="64" t="str">
        <f>IF($B804="","",(COUNTIFS(Rships!$C$2:$C$9990,$A804,Rships!$D$2:$D$9990,3)))</f>
        <v/>
      </c>
      <c r="AE804" s="64" t="str">
        <f>IF($B804="","",(COUNTIFS(Rships!$C$2:$C$9990,$A804,Rships!$D$2:$D$9990,4)))</f>
        <v/>
      </c>
      <c r="AF804" s="64" t="str">
        <f>IF($B804="","",(COUNTIFS(Rships!$C$2:$C$9990,$A804,Rships!$D$2:$D$9990,5)))</f>
        <v/>
      </c>
      <c r="AG804" s="64" t="str">
        <f>IF($B804="","",(COUNTIFS(Rships!$C$2:$C$9990,$A804,Rships!$D$2:$D$9990,6)))</f>
        <v/>
      </c>
      <c r="AH804" s="64" t="str">
        <f>IF($B804="","",(COUNTIFS(Rships!$C$2:$C$9990,$A804,Rships!$D$2:$D$9990,7)))</f>
        <v/>
      </c>
    </row>
    <row r="805" spans="1:34">
      <c r="A805" s="1" t="s">
        <v>1054</v>
      </c>
      <c r="C805" s="11" t="s">
        <v>19</v>
      </c>
      <c r="D805" s="11" t="s">
        <v>21</v>
      </c>
      <c r="F805" s="15"/>
      <c r="G805" s="15"/>
      <c r="I805" s="17"/>
      <c r="O805" s="11" t="s">
        <v>27</v>
      </c>
      <c r="Y805" s="64">
        <f t="shared" si="24"/>
        <v>0</v>
      </c>
      <c r="AA805" s="64">
        <f t="shared" si="25"/>
        <v>0</v>
      </c>
      <c r="AB805" s="64" t="str">
        <f>IF($B805="","",(COUNTIFS(Rships!$C$2:$C$9990,$A805,Rships!$D$2:$D$9990,1)))</f>
        <v/>
      </c>
      <c r="AC805" s="64" t="str">
        <f>IF($B805="","",(COUNTIFS(Rships!$C$2:$C$9990,$A805,Rships!$D$2:$D$9990,2)))</f>
        <v/>
      </c>
      <c r="AD805" s="64" t="str">
        <f>IF($B805="","",(COUNTIFS(Rships!$C$2:$C$9990,$A805,Rships!$D$2:$D$9990,3)))</f>
        <v/>
      </c>
      <c r="AE805" s="64" t="str">
        <f>IF($B805="","",(COUNTIFS(Rships!$C$2:$C$9990,$A805,Rships!$D$2:$D$9990,4)))</f>
        <v/>
      </c>
      <c r="AF805" s="64" t="str">
        <f>IF($B805="","",(COUNTIFS(Rships!$C$2:$C$9990,$A805,Rships!$D$2:$D$9990,5)))</f>
        <v/>
      </c>
      <c r="AG805" s="64" t="str">
        <f>IF($B805="","",(COUNTIFS(Rships!$C$2:$C$9990,$A805,Rships!$D$2:$D$9990,6)))</f>
        <v/>
      </c>
      <c r="AH805" s="64" t="str">
        <f>IF($B805="","",(COUNTIFS(Rships!$C$2:$C$9990,$A805,Rships!$D$2:$D$9990,7)))</f>
        <v/>
      </c>
    </row>
    <row r="806" spans="1:34">
      <c r="A806" s="1" t="s">
        <v>1055</v>
      </c>
      <c r="C806" s="11" t="s">
        <v>19</v>
      </c>
      <c r="D806" s="11" t="s">
        <v>21</v>
      </c>
      <c r="F806" s="15"/>
      <c r="G806" s="15"/>
      <c r="I806" s="17"/>
      <c r="O806" s="11" t="s">
        <v>27</v>
      </c>
      <c r="Y806" s="64">
        <f t="shared" si="24"/>
        <v>0</v>
      </c>
      <c r="AA806" s="64">
        <f t="shared" si="25"/>
        <v>0</v>
      </c>
      <c r="AB806" s="64" t="str">
        <f>IF($B806="","",(COUNTIFS(Rships!$C$2:$C$9990,$A806,Rships!$D$2:$D$9990,1)))</f>
        <v/>
      </c>
      <c r="AC806" s="64" t="str">
        <f>IF($B806="","",(COUNTIFS(Rships!$C$2:$C$9990,$A806,Rships!$D$2:$D$9990,2)))</f>
        <v/>
      </c>
      <c r="AD806" s="64" t="str">
        <f>IF($B806="","",(COUNTIFS(Rships!$C$2:$C$9990,$A806,Rships!$D$2:$D$9990,3)))</f>
        <v/>
      </c>
      <c r="AE806" s="64" t="str">
        <f>IF($B806="","",(COUNTIFS(Rships!$C$2:$C$9990,$A806,Rships!$D$2:$D$9990,4)))</f>
        <v/>
      </c>
      <c r="AF806" s="64" t="str">
        <f>IF($B806="","",(COUNTIFS(Rships!$C$2:$C$9990,$A806,Rships!$D$2:$D$9990,5)))</f>
        <v/>
      </c>
      <c r="AG806" s="64" t="str">
        <f>IF($B806="","",(COUNTIFS(Rships!$C$2:$C$9990,$A806,Rships!$D$2:$D$9990,6)))</f>
        <v/>
      </c>
      <c r="AH806" s="64" t="str">
        <f>IF($B806="","",(COUNTIFS(Rships!$C$2:$C$9990,$A806,Rships!$D$2:$D$9990,7)))</f>
        <v/>
      </c>
    </row>
    <row r="807" spans="1:34">
      <c r="A807" s="1" t="s">
        <v>1056</v>
      </c>
      <c r="C807" s="11" t="s">
        <v>19</v>
      </c>
      <c r="D807" s="11" t="s">
        <v>21</v>
      </c>
      <c r="F807" s="15"/>
      <c r="G807" s="15"/>
      <c r="I807" s="17"/>
      <c r="O807" s="11" t="s">
        <v>27</v>
      </c>
      <c r="Y807" s="64">
        <f t="shared" si="24"/>
        <v>0</v>
      </c>
      <c r="AA807" s="64">
        <f t="shared" si="25"/>
        <v>0</v>
      </c>
      <c r="AB807" s="64" t="str">
        <f>IF($B807="","",(COUNTIFS(Rships!$C$2:$C$9990,$A807,Rships!$D$2:$D$9990,1)))</f>
        <v/>
      </c>
      <c r="AC807" s="64" t="str">
        <f>IF($B807="","",(COUNTIFS(Rships!$C$2:$C$9990,$A807,Rships!$D$2:$D$9990,2)))</f>
        <v/>
      </c>
      <c r="AD807" s="64" t="str">
        <f>IF($B807="","",(COUNTIFS(Rships!$C$2:$C$9990,$A807,Rships!$D$2:$D$9990,3)))</f>
        <v/>
      </c>
      <c r="AE807" s="64" t="str">
        <f>IF($B807="","",(COUNTIFS(Rships!$C$2:$C$9990,$A807,Rships!$D$2:$D$9990,4)))</f>
        <v/>
      </c>
      <c r="AF807" s="64" t="str">
        <f>IF($B807="","",(COUNTIFS(Rships!$C$2:$C$9990,$A807,Rships!$D$2:$D$9990,5)))</f>
        <v/>
      </c>
      <c r="AG807" s="64" t="str">
        <f>IF($B807="","",(COUNTIFS(Rships!$C$2:$C$9990,$A807,Rships!$D$2:$D$9990,6)))</f>
        <v/>
      </c>
      <c r="AH807" s="64" t="str">
        <f>IF($B807="","",(COUNTIFS(Rships!$C$2:$C$9990,$A807,Rships!$D$2:$D$9990,7)))</f>
        <v/>
      </c>
    </row>
    <row r="808" spans="1:34">
      <c r="A808" s="1" t="s">
        <v>1057</v>
      </c>
      <c r="C808" s="11" t="s">
        <v>19</v>
      </c>
      <c r="D808" s="11" t="s">
        <v>21</v>
      </c>
      <c r="F808" s="15"/>
      <c r="G808" s="15"/>
      <c r="I808" s="17"/>
      <c r="O808" s="11" t="s">
        <v>27</v>
      </c>
      <c r="Y808" s="64">
        <f t="shared" si="24"/>
        <v>0</v>
      </c>
      <c r="AA808" s="64">
        <f t="shared" si="25"/>
        <v>0</v>
      </c>
      <c r="AB808" s="64" t="str">
        <f>IF($B808="","",(COUNTIFS(Rships!$C$2:$C$9990,$A808,Rships!$D$2:$D$9990,1)))</f>
        <v/>
      </c>
      <c r="AC808" s="64" t="str">
        <f>IF($B808="","",(COUNTIFS(Rships!$C$2:$C$9990,$A808,Rships!$D$2:$D$9990,2)))</f>
        <v/>
      </c>
      <c r="AD808" s="64" t="str">
        <f>IF($B808="","",(COUNTIFS(Rships!$C$2:$C$9990,$A808,Rships!$D$2:$D$9990,3)))</f>
        <v/>
      </c>
      <c r="AE808" s="64" t="str">
        <f>IF($B808="","",(COUNTIFS(Rships!$C$2:$C$9990,$A808,Rships!$D$2:$D$9990,4)))</f>
        <v/>
      </c>
      <c r="AF808" s="64" t="str">
        <f>IF($B808="","",(COUNTIFS(Rships!$C$2:$C$9990,$A808,Rships!$D$2:$D$9990,5)))</f>
        <v/>
      </c>
      <c r="AG808" s="64" t="str">
        <f>IF($B808="","",(COUNTIFS(Rships!$C$2:$C$9990,$A808,Rships!$D$2:$D$9990,6)))</f>
        <v/>
      </c>
      <c r="AH808" s="64" t="str">
        <f>IF($B808="","",(COUNTIFS(Rships!$C$2:$C$9990,$A808,Rships!$D$2:$D$9990,7)))</f>
        <v/>
      </c>
    </row>
    <row r="809" spans="1:34">
      <c r="A809" s="1" t="s">
        <v>1058</v>
      </c>
      <c r="C809" s="11" t="s">
        <v>19</v>
      </c>
      <c r="D809" s="11" t="s">
        <v>21</v>
      </c>
      <c r="F809" s="15"/>
      <c r="G809" s="15"/>
      <c r="I809" s="17"/>
      <c r="O809" s="11" t="s">
        <v>27</v>
      </c>
      <c r="Y809" s="64">
        <f t="shared" si="24"/>
        <v>0</v>
      </c>
      <c r="AA809" s="64">
        <f t="shared" si="25"/>
        <v>0</v>
      </c>
      <c r="AB809" s="64" t="str">
        <f>IF($B809="","",(COUNTIFS(Rships!$C$2:$C$9990,$A809,Rships!$D$2:$D$9990,1)))</f>
        <v/>
      </c>
      <c r="AC809" s="64" t="str">
        <f>IF($B809="","",(COUNTIFS(Rships!$C$2:$C$9990,$A809,Rships!$D$2:$D$9990,2)))</f>
        <v/>
      </c>
      <c r="AD809" s="64" t="str">
        <f>IF($B809="","",(COUNTIFS(Rships!$C$2:$C$9990,$A809,Rships!$D$2:$D$9990,3)))</f>
        <v/>
      </c>
      <c r="AE809" s="64" t="str">
        <f>IF($B809="","",(COUNTIFS(Rships!$C$2:$C$9990,$A809,Rships!$D$2:$D$9990,4)))</f>
        <v/>
      </c>
      <c r="AF809" s="64" t="str">
        <f>IF($B809="","",(COUNTIFS(Rships!$C$2:$C$9990,$A809,Rships!$D$2:$D$9990,5)))</f>
        <v/>
      </c>
      <c r="AG809" s="64" t="str">
        <f>IF($B809="","",(COUNTIFS(Rships!$C$2:$C$9990,$A809,Rships!$D$2:$D$9990,6)))</f>
        <v/>
      </c>
      <c r="AH809" s="64" t="str">
        <f>IF($B809="","",(COUNTIFS(Rships!$C$2:$C$9990,$A809,Rships!$D$2:$D$9990,7)))</f>
        <v/>
      </c>
    </row>
    <row r="810" spans="1:34">
      <c r="A810" s="1" t="s">
        <v>1059</v>
      </c>
      <c r="C810" s="11" t="s">
        <v>19</v>
      </c>
      <c r="D810" s="11" t="s">
        <v>21</v>
      </c>
      <c r="F810" s="15"/>
      <c r="G810" s="15"/>
      <c r="I810" s="17"/>
      <c r="O810" s="11" t="s">
        <v>27</v>
      </c>
      <c r="Y810" s="64">
        <f t="shared" si="24"/>
        <v>0</v>
      </c>
      <c r="AA810" s="64">
        <f t="shared" si="25"/>
        <v>0</v>
      </c>
      <c r="AB810" s="64" t="str">
        <f>IF($B810="","",(COUNTIFS(Rships!$C$2:$C$9990,$A810,Rships!$D$2:$D$9990,1)))</f>
        <v/>
      </c>
      <c r="AC810" s="64" t="str">
        <f>IF($B810="","",(COUNTIFS(Rships!$C$2:$C$9990,$A810,Rships!$D$2:$D$9990,2)))</f>
        <v/>
      </c>
      <c r="AD810" s="64" t="str">
        <f>IF($B810="","",(COUNTIFS(Rships!$C$2:$C$9990,$A810,Rships!$D$2:$D$9990,3)))</f>
        <v/>
      </c>
      <c r="AE810" s="64" t="str">
        <f>IF($B810="","",(COUNTIFS(Rships!$C$2:$C$9990,$A810,Rships!$D$2:$D$9990,4)))</f>
        <v/>
      </c>
      <c r="AF810" s="64" t="str">
        <f>IF($B810="","",(COUNTIFS(Rships!$C$2:$C$9990,$A810,Rships!$D$2:$D$9990,5)))</f>
        <v/>
      </c>
      <c r="AG810" s="64" t="str">
        <f>IF($B810="","",(COUNTIFS(Rships!$C$2:$C$9990,$A810,Rships!$D$2:$D$9990,6)))</f>
        <v/>
      </c>
      <c r="AH810" s="64" t="str">
        <f>IF($B810="","",(COUNTIFS(Rships!$C$2:$C$9990,$A810,Rships!$D$2:$D$9990,7)))</f>
        <v/>
      </c>
    </row>
    <row r="811" spans="1:34">
      <c r="A811" s="1" t="s">
        <v>1060</v>
      </c>
      <c r="C811" s="11" t="s">
        <v>19</v>
      </c>
      <c r="D811" s="11" t="s">
        <v>21</v>
      </c>
      <c r="F811" s="15"/>
      <c r="G811" s="15"/>
      <c r="I811" s="17"/>
      <c r="O811" s="11" t="s">
        <v>27</v>
      </c>
      <c r="Y811" s="64">
        <f t="shared" si="24"/>
        <v>0</v>
      </c>
      <c r="AA811" s="64">
        <f t="shared" si="25"/>
        <v>0</v>
      </c>
      <c r="AB811" s="64" t="str">
        <f>IF($B811="","",(COUNTIFS(Rships!$C$2:$C$9990,$A811,Rships!$D$2:$D$9990,1)))</f>
        <v/>
      </c>
      <c r="AC811" s="64" t="str">
        <f>IF($B811="","",(COUNTIFS(Rships!$C$2:$C$9990,$A811,Rships!$D$2:$D$9990,2)))</f>
        <v/>
      </c>
      <c r="AD811" s="64" t="str">
        <f>IF($B811="","",(COUNTIFS(Rships!$C$2:$C$9990,$A811,Rships!$D$2:$D$9990,3)))</f>
        <v/>
      </c>
      <c r="AE811" s="64" t="str">
        <f>IF($B811="","",(COUNTIFS(Rships!$C$2:$C$9990,$A811,Rships!$D$2:$D$9990,4)))</f>
        <v/>
      </c>
      <c r="AF811" s="64" t="str">
        <f>IF($B811="","",(COUNTIFS(Rships!$C$2:$C$9990,$A811,Rships!$D$2:$D$9990,5)))</f>
        <v/>
      </c>
      <c r="AG811" s="64" t="str">
        <f>IF($B811="","",(COUNTIFS(Rships!$C$2:$C$9990,$A811,Rships!$D$2:$D$9990,6)))</f>
        <v/>
      </c>
      <c r="AH811" s="64" t="str">
        <f>IF($B811="","",(COUNTIFS(Rships!$C$2:$C$9990,$A811,Rships!$D$2:$D$9990,7)))</f>
        <v/>
      </c>
    </row>
    <row r="812" spans="1:34">
      <c r="A812" s="1" t="s">
        <v>1061</v>
      </c>
      <c r="C812" s="11" t="s">
        <v>19</v>
      </c>
      <c r="D812" s="11" t="s">
        <v>21</v>
      </c>
      <c r="F812" s="15"/>
      <c r="G812" s="15"/>
      <c r="I812" s="17"/>
      <c r="O812" s="11" t="s">
        <v>27</v>
      </c>
      <c r="Y812" s="64">
        <f t="shared" si="24"/>
        <v>0</v>
      </c>
      <c r="AA812" s="64">
        <f t="shared" si="25"/>
        <v>0</v>
      </c>
      <c r="AB812" s="64" t="str">
        <f>IF($B812="","",(COUNTIFS(Rships!$C$2:$C$9990,$A812,Rships!$D$2:$D$9990,1)))</f>
        <v/>
      </c>
      <c r="AC812" s="64" t="str">
        <f>IF($B812="","",(COUNTIFS(Rships!$C$2:$C$9990,$A812,Rships!$D$2:$D$9990,2)))</f>
        <v/>
      </c>
      <c r="AD812" s="64" t="str">
        <f>IF($B812="","",(COUNTIFS(Rships!$C$2:$C$9990,$A812,Rships!$D$2:$D$9990,3)))</f>
        <v/>
      </c>
      <c r="AE812" s="64" t="str">
        <f>IF($B812="","",(COUNTIFS(Rships!$C$2:$C$9990,$A812,Rships!$D$2:$D$9990,4)))</f>
        <v/>
      </c>
      <c r="AF812" s="64" t="str">
        <f>IF($B812="","",(COUNTIFS(Rships!$C$2:$C$9990,$A812,Rships!$D$2:$D$9990,5)))</f>
        <v/>
      </c>
      <c r="AG812" s="64" t="str">
        <f>IF($B812="","",(COUNTIFS(Rships!$C$2:$C$9990,$A812,Rships!$D$2:$D$9990,6)))</f>
        <v/>
      </c>
      <c r="AH812" s="64" t="str">
        <f>IF($B812="","",(COUNTIFS(Rships!$C$2:$C$9990,$A812,Rships!$D$2:$D$9990,7)))</f>
        <v/>
      </c>
    </row>
    <row r="813" spans="1:34">
      <c r="A813" s="1" t="s">
        <v>1062</v>
      </c>
      <c r="C813" s="11" t="s">
        <v>19</v>
      </c>
      <c r="D813" s="11" t="s">
        <v>21</v>
      </c>
      <c r="F813" s="15"/>
      <c r="G813" s="15"/>
      <c r="I813" s="17"/>
      <c r="O813" s="11" t="s">
        <v>27</v>
      </c>
      <c r="Y813" s="64">
        <f t="shared" si="24"/>
        <v>0</v>
      </c>
      <c r="AA813" s="64">
        <f t="shared" si="25"/>
        <v>0</v>
      </c>
      <c r="AB813" s="64" t="str">
        <f>IF($B813="","",(COUNTIFS(Rships!$C$2:$C$9990,$A813,Rships!$D$2:$D$9990,1)))</f>
        <v/>
      </c>
      <c r="AC813" s="64" t="str">
        <f>IF($B813="","",(COUNTIFS(Rships!$C$2:$C$9990,$A813,Rships!$D$2:$D$9990,2)))</f>
        <v/>
      </c>
      <c r="AD813" s="64" t="str">
        <f>IF($B813="","",(COUNTIFS(Rships!$C$2:$C$9990,$A813,Rships!$D$2:$D$9990,3)))</f>
        <v/>
      </c>
      <c r="AE813" s="64" t="str">
        <f>IF($B813="","",(COUNTIFS(Rships!$C$2:$C$9990,$A813,Rships!$D$2:$D$9990,4)))</f>
        <v/>
      </c>
      <c r="AF813" s="64" t="str">
        <f>IF($B813="","",(COUNTIFS(Rships!$C$2:$C$9990,$A813,Rships!$D$2:$D$9990,5)))</f>
        <v/>
      </c>
      <c r="AG813" s="64" t="str">
        <f>IF($B813="","",(COUNTIFS(Rships!$C$2:$C$9990,$A813,Rships!$D$2:$D$9990,6)))</f>
        <v/>
      </c>
      <c r="AH813" s="64" t="str">
        <f>IF($B813="","",(COUNTIFS(Rships!$C$2:$C$9990,$A813,Rships!$D$2:$D$9990,7)))</f>
        <v/>
      </c>
    </row>
    <row r="814" spans="1:34">
      <c r="A814" s="1" t="s">
        <v>1063</v>
      </c>
      <c r="C814" s="11" t="s">
        <v>19</v>
      </c>
      <c r="D814" s="11" t="s">
        <v>21</v>
      </c>
      <c r="F814" s="15"/>
      <c r="G814" s="15"/>
      <c r="I814" s="17"/>
      <c r="O814" s="11" t="s">
        <v>27</v>
      </c>
      <c r="Y814" s="64">
        <f t="shared" si="24"/>
        <v>0</v>
      </c>
      <c r="AA814" s="64">
        <f t="shared" si="25"/>
        <v>0</v>
      </c>
      <c r="AB814" s="64" t="str">
        <f>IF($B814="","",(COUNTIFS(Rships!$C$2:$C$9990,$A814,Rships!$D$2:$D$9990,1)))</f>
        <v/>
      </c>
      <c r="AC814" s="64" t="str">
        <f>IF($B814="","",(COUNTIFS(Rships!$C$2:$C$9990,$A814,Rships!$D$2:$D$9990,2)))</f>
        <v/>
      </c>
      <c r="AD814" s="64" t="str">
        <f>IF($B814="","",(COUNTIFS(Rships!$C$2:$C$9990,$A814,Rships!$D$2:$D$9990,3)))</f>
        <v/>
      </c>
      <c r="AE814" s="64" t="str">
        <f>IF($B814="","",(COUNTIFS(Rships!$C$2:$C$9990,$A814,Rships!$D$2:$D$9990,4)))</f>
        <v/>
      </c>
      <c r="AF814" s="64" t="str">
        <f>IF($B814="","",(COUNTIFS(Rships!$C$2:$C$9990,$A814,Rships!$D$2:$D$9990,5)))</f>
        <v/>
      </c>
      <c r="AG814" s="64" t="str">
        <f>IF($B814="","",(COUNTIFS(Rships!$C$2:$C$9990,$A814,Rships!$D$2:$D$9990,6)))</f>
        <v/>
      </c>
      <c r="AH814" s="64" t="str">
        <f>IF($B814="","",(COUNTIFS(Rships!$C$2:$C$9990,$A814,Rships!$D$2:$D$9990,7)))</f>
        <v/>
      </c>
    </row>
    <row r="815" spans="1:34">
      <c r="A815" s="1" t="s">
        <v>1064</v>
      </c>
      <c r="C815" s="11" t="s">
        <v>19</v>
      </c>
      <c r="D815" s="11" t="s">
        <v>21</v>
      </c>
      <c r="F815" s="15"/>
      <c r="G815" s="15"/>
      <c r="I815" s="17"/>
      <c r="O815" s="11" t="s">
        <v>27</v>
      </c>
      <c r="Y815" s="64">
        <f t="shared" si="24"/>
        <v>0</v>
      </c>
      <c r="AA815" s="64">
        <f t="shared" si="25"/>
        <v>0</v>
      </c>
      <c r="AB815" s="64" t="str">
        <f>IF($B815="","",(COUNTIFS(Rships!$C$2:$C$9990,$A815,Rships!$D$2:$D$9990,1)))</f>
        <v/>
      </c>
      <c r="AC815" s="64" t="str">
        <f>IF($B815="","",(COUNTIFS(Rships!$C$2:$C$9990,$A815,Rships!$D$2:$D$9990,2)))</f>
        <v/>
      </c>
      <c r="AD815" s="64" t="str">
        <f>IF($B815="","",(COUNTIFS(Rships!$C$2:$C$9990,$A815,Rships!$D$2:$D$9990,3)))</f>
        <v/>
      </c>
      <c r="AE815" s="64" t="str">
        <f>IF($B815="","",(COUNTIFS(Rships!$C$2:$C$9990,$A815,Rships!$D$2:$D$9990,4)))</f>
        <v/>
      </c>
      <c r="AF815" s="64" t="str">
        <f>IF($B815="","",(COUNTIFS(Rships!$C$2:$C$9990,$A815,Rships!$D$2:$D$9990,5)))</f>
        <v/>
      </c>
      <c r="AG815" s="64" t="str">
        <f>IF($B815="","",(COUNTIFS(Rships!$C$2:$C$9990,$A815,Rships!$D$2:$D$9990,6)))</f>
        <v/>
      </c>
      <c r="AH815" s="64" t="str">
        <f>IF($B815="","",(COUNTIFS(Rships!$C$2:$C$9990,$A815,Rships!$D$2:$D$9990,7)))</f>
        <v/>
      </c>
    </row>
    <row r="816" spans="1:34">
      <c r="A816" s="1" t="s">
        <v>1065</v>
      </c>
      <c r="C816" s="11" t="s">
        <v>19</v>
      </c>
      <c r="D816" s="11" t="s">
        <v>21</v>
      </c>
      <c r="F816" s="15"/>
      <c r="G816" s="15"/>
      <c r="I816" s="17"/>
      <c r="O816" s="11" t="s">
        <v>27</v>
      </c>
      <c r="Y816" s="64">
        <f t="shared" si="24"/>
        <v>0</v>
      </c>
      <c r="AA816" s="64">
        <f t="shared" si="25"/>
        <v>0</v>
      </c>
      <c r="AB816" s="64" t="str">
        <f>IF($B816="","",(COUNTIFS(Rships!$C$2:$C$9990,$A816,Rships!$D$2:$D$9990,1)))</f>
        <v/>
      </c>
      <c r="AC816" s="64" t="str">
        <f>IF($B816="","",(COUNTIFS(Rships!$C$2:$C$9990,$A816,Rships!$D$2:$D$9990,2)))</f>
        <v/>
      </c>
      <c r="AD816" s="64" t="str">
        <f>IF($B816="","",(COUNTIFS(Rships!$C$2:$C$9990,$A816,Rships!$D$2:$D$9990,3)))</f>
        <v/>
      </c>
      <c r="AE816" s="64" t="str">
        <f>IF($B816="","",(COUNTIFS(Rships!$C$2:$C$9990,$A816,Rships!$D$2:$D$9990,4)))</f>
        <v/>
      </c>
      <c r="AF816" s="64" t="str">
        <f>IF($B816="","",(COUNTIFS(Rships!$C$2:$C$9990,$A816,Rships!$D$2:$D$9990,5)))</f>
        <v/>
      </c>
      <c r="AG816" s="64" t="str">
        <f>IF($B816="","",(COUNTIFS(Rships!$C$2:$C$9990,$A816,Rships!$D$2:$D$9990,6)))</f>
        <v/>
      </c>
      <c r="AH816" s="64" t="str">
        <f>IF($B816="","",(COUNTIFS(Rships!$C$2:$C$9990,$A816,Rships!$D$2:$D$9990,7)))</f>
        <v/>
      </c>
    </row>
    <row r="817" spans="1:34">
      <c r="A817" s="1" t="s">
        <v>1066</v>
      </c>
      <c r="C817" s="11" t="s">
        <v>19</v>
      </c>
      <c r="D817" s="11" t="s">
        <v>21</v>
      </c>
      <c r="F817" s="15"/>
      <c r="G817" s="15"/>
      <c r="I817" s="17"/>
      <c r="O817" s="11" t="s">
        <v>27</v>
      </c>
      <c r="Y817" s="64">
        <f t="shared" si="24"/>
        <v>0</v>
      </c>
      <c r="AA817" s="64">
        <f t="shared" si="25"/>
        <v>0</v>
      </c>
      <c r="AB817" s="64" t="str">
        <f>IF($B817="","",(COUNTIFS(Rships!$C$2:$C$9990,$A817,Rships!$D$2:$D$9990,1)))</f>
        <v/>
      </c>
      <c r="AC817" s="64" t="str">
        <f>IF($B817="","",(COUNTIFS(Rships!$C$2:$C$9990,$A817,Rships!$D$2:$D$9990,2)))</f>
        <v/>
      </c>
      <c r="AD817" s="64" t="str">
        <f>IF($B817="","",(COUNTIFS(Rships!$C$2:$C$9990,$A817,Rships!$D$2:$D$9990,3)))</f>
        <v/>
      </c>
      <c r="AE817" s="64" t="str">
        <f>IF($B817="","",(COUNTIFS(Rships!$C$2:$C$9990,$A817,Rships!$D$2:$D$9990,4)))</f>
        <v/>
      </c>
      <c r="AF817" s="64" t="str">
        <f>IF($B817="","",(COUNTIFS(Rships!$C$2:$C$9990,$A817,Rships!$D$2:$D$9990,5)))</f>
        <v/>
      </c>
      <c r="AG817" s="64" t="str">
        <f>IF($B817="","",(COUNTIFS(Rships!$C$2:$C$9990,$A817,Rships!$D$2:$D$9990,6)))</f>
        <v/>
      </c>
      <c r="AH817" s="64" t="str">
        <f>IF($B817="","",(COUNTIFS(Rships!$C$2:$C$9990,$A817,Rships!$D$2:$D$9990,7)))</f>
        <v/>
      </c>
    </row>
    <row r="818" spans="1:34">
      <c r="A818" s="1" t="s">
        <v>1067</v>
      </c>
      <c r="C818" s="11" t="s">
        <v>19</v>
      </c>
      <c r="D818" s="11" t="s">
        <v>21</v>
      </c>
      <c r="F818" s="15"/>
      <c r="G818" s="15"/>
      <c r="I818" s="17"/>
      <c r="O818" s="11" t="s">
        <v>27</v>
      </c>
      <c r="Y818" s="64">
        <f t="shared" si="24"/>
        <v>0</v>
      </c>
      <c r="AA818" s="64">
        <f t="shared" si="25"/>
        <v>0</v>
      </c>
      <c r="AB818" s="64" t="str">
        <f>IF($B818="","",(COUNTIFS(Rships!$C$2:$C$9990,$A818,Rships!$D$2:$D$9990,1)))</f>
        <v/>
      </c>
      <c r="AC818" s="64" t="str">
        <f>IF($B818="","",(COUNTIFS(Rships!$C$2:$C$9990,$A818,Rships!$D$2:$D$9990,2)))</f>
        <v/>
      </c>
      <c r="AD818" s="64" t="str">
        <f>IF($B818="","",(COUNTIFS(Rships!$C$2:$C$9990,$A818,Rships!$D$2:$D$9990,3)))</f>
        <v/>
      </c>
      <c r="AE818" s="64" t="str">
        <f>IF($B818="","",(COUNTIFS(Rships!$C$2:$C$9990,$A818,Rships!$D$2:$D$9990,4)))</f>
        <v/>
      </c>
      <c r="AF818" s="64" t="str">
        <f>IF($B818="","",(COUNTIFS(Rships!$C$2:$C$9990,$A818,Rships!$D$2:$D$9990,5)))</f>
        <v/>
      </c>
      <c r="AG818" s="64" t="str">
        <f>IF($B818="","",(COUNTIFS(Rships!$C$2:$C$9990,$A818,Rships!$D$2:$D$9990,6)))</f>
        <v/>
      </c>
      <c r="AH818" s="64" t="str">
        <f>IF($B818="","",(COUNTIFS(Rships!$C$2:$C$9990,$A818,Rships!$D$2:$D$9990,7)))</f>
        <v/>
      </c>
    </row>
    <row r="819" spans="1:34">
      <c r="A819" s="1" t="s">
        <v>1068</v>
      </c>
      <c r="C819" s="11" t="s">
        <v>19</v>
      </c>
      <c r="D819" s="11" t="s">
        <v>21</v>
      </c>
      <c r="F819" s="15"/>
      <c r="G819" s="15"/>
      <c r="I819" s="17"/>
      <c r="O819" s="11" t="s">
        <v>27</v>
      </c>
      <c r="Y819" s="64">
        <f t="shared" ref="Y819:Y882" si="26">SUMIF($B$2:$B$100,$A819,$AA$2:$AA$100)</f>
        <v>0</v>
      </c>
      <c r="AA819" s="64">
        <f t="shared" si="25"/>
        <v>0</v>
      </c>
      <c r="AB819" s="64" t="str">
        <f>IF($B819="","",(COUNTIFS(Rships!$C$2:$C$9990,$A819,Rships!$D$2:$D$9990,1)))</f>
        <v/>
      </c>
      <c r="AC819" s="64" t="str">
        <f>IF($B819="","",(COUNTIFS(Rships!$C$2:$C$9990,$A819,Rships!$D$2:$D$9990,2)))</f>
        <v/>
      </c>
      <c r="AD819" s="64" t="str">
        <f>IF($B819="","",(COUNTIFS(Rships!$C$2:$C$9990,$A819,Rships!$D$2:$D$9990,3)))</f>
        <v/>
      </c>
      <c r="AE819" s="64" t="str">
        <f>IF($B819="","",(COUNTIFS(Rships!$C$2:$C$9990,$A819,Rships!$D$2:$D$9990,4)))</f>
        <v/>
      </c>
      <c r="AF819" s="64" t="str">
        <f>IF($B819="","",(COUNTIFS(Rships!$C$2:$C$9990,$A819,Rships!$D$2:$D$9990,5)))</f>
        <v/>
      </c>
      <c r="AG819" s="64" t="str">
        <f>IF($B819="","",(COUNTIFS(Rships!$C$2:$C$9990,$A819,Rships!$D$2:$D$9990,6)))</f>
        <v/>
      </c>
      <c r="AH819" s="64" t="str">
        <f>IF($B819="","",(COUNTIFS(Rships!$C$2:$C$9990,$A819,Rships!$D$2:$D$9990,7)))</f>
        <v/>
      </c>
    </row>
    <row r="820" spans="1:34">
      <c r="A820" s="1" t="s">
        <v>1069</v>
      </c>
      <c r="C820" s="11" t="s">
        <v>19</v>
      </c>
      <c r="D820" s="11" t="s">
        <v>21</v>
      </c>
      <c r="F820" s="15"/>
      <c r="G820" s="15"/>
      <c r="I820" s="17"/>
      <c r="O820" s="11" t="s">
        <v>27</v>
      </c>
      <c r="Y820" s="64">
        <f t="shared" si="26"/>
        <v>0</v>
      </c>
      <c r="AA820" s="64">
        <f t="shared" si="25"/>
        <v>0</v>
      </c>
      <c r="AB820" s="64" t="str">
        <f>IF($B820="","",(COUNTIFS(Rships!$C$2:$C$9990,$A820,Rships!$D$2:$D$9990,1)))</f>
        <v/>
      </c>
      <c r="AC820" s="64" t="str">
        <f>IF($B820="","",(COUNTIFS(Rships!$C$2:$C$9990,$A820,Rships!$D$2:$D$9990,2)))</f>
        <v/>
      </c>
      <c r="AD820" s="64" t="str">
        <f>IF($B820="","",(COUNTIFS(Rships!$C$2:$C$9990,$A820,Rships!$D$2:$D$9990,3)))</f>
        <v/>
      </c>
      <c r="AE820" s="64" t="str">
        <f>IF($B820="","",(COUNTIFS(Rships!$C$2:$C$9990,$A820,Rships!$D$2:$D$9990,4)))</f>
        <v/>
      </c>
      <c r="AF820" s="64" t="str">
        <f>IF($B820="","",(COUNTIFS(Rships!$C$2:$C$9990,$A820,Rships!$D$2:$D$9990,5)))</f>
        <v/>
      </c>
      <c r="AG820" s="64" t="str">
        <f>IF($B820="","",(COUNTIFS(Rships!$C$2:$C$9990,$A820,Rships!$D$2:$D$9990,6)))</f>
        <v/>
      </c>
      <c r="AH820" s="64" t="str">
        <f>IF($B820="","",(COUNTIFS(Rships!$C$2:$C$9990,$A820,Rships!$D$2:$D$9990,7)))</f>
        <v/>
      </c>
    </row>
    <row r="821" spans="1:34">
      <c r="A821" s="1" t="s">
        <v>1070</v>
      </c>
      <c r="C821" s="11" t="s">
        <v>19</v>
      </c>
      <c r="D821" s="11" t="s">
        <v>21</v>
      </c>
      <c r="F821" s="15"/>
      <c r="G821" s="15"/>
      <c r="I821" s="17"/>
      <c r="O821" s="11" t="s">
        <v>27</v>
      </c>
      <c r="Y821" s="64">
        <f t="shared" si="26"/>
        <v>0</v>
      </c>
      <c r="AA821" s="64">
        <f t="shared" si="25"/>
        <v>0</v>
      </c>
      <c r="AB821" s="64" t="str">
        <f>IF($B821="","",(COUNTIFS(Rships!$C$2:$C$9990,$A821,Rships!$D$2:$D$9990,1)))</f>
        <v/>
      </c>
      <c r="AC821" s="64" t="str">
        <f>IF($B821="","",(COUNTIFS(Rships!$C$2:$C$9990,$A821,Rships!$D$2:$D$9990,2)))</f>
        <v/>
      </c>
      <c r="AD821" s="64" t="str">
        <f>IF($B821="","",(COUNTIFS(Rships!$C$2:$C$9990,$A821,Rships!$D$2:$D$9990,3)))</f>
        <v/>
      </c>
      <c r="AE821" s="64" t="str">
        <f>IF($B821="","",(COUNTIFS(Rships!$C$2:$C$9990,$A821,Rships!$D$2:$D$9990,4)))</f>
        <v/>
      </c>
      <c r="AF821" s="64" t="str">
        <f>IF($B821="","",(COUNTIFS(Rships!$C$2:$C$9990,$A821,Rships!$D$2:$D$9990,5)))</f>
        <v/>
      </c>
      <c r="AG821" s="64" t="str">
        <f>IF($B821="","",(COUNTIFS(Rships!$C$2:$C$9990,$A821,Rships!$D$2:$D$9990,6)))</f>
        <v/>
      </c>
      <c r="AH821" s="64" t="str">
        <f>IF($B821="","",(COUNTIFS(Rships!$C$2:$C$9990,$A821,Rships!$D$2:$D$9990,7)))</f>
        <v/>
      </c>
    </row>
    <row r="822" spans="1:34">
      <c r="A822" s="1" t="s">
        <v>1071</v>
      </c>
      <c r="C822" s="11" t="s">
        <v>19</v>
      </c>
      <c r="D822" s="11" t="s">
        <v>21</v>
      </c>
      <c r="F822" s="15"/>
      <c r="G822" s="15"/>
      <c r="I822" s="17"/>
      <c r="O822" s="11" t="s">
        <v>27</v>
      </c>
      <c r="Y822" s="64">
        <f t="shared" si="26"/>
        <v>0</v>
      </c>
      <c r="AA822" s="64">
        <f t="shared" si="25"/>
        <v>0</v>
      </c>
      <c r="AB822" s="64" t="str">
        <f>IF($B822="","",(COUNTIFS(Rships!$C$2:$C$9990,$A822,Rships!$D$2:$D$9990,1)))</f>
        <v/>
      </c>
      <c r="AC822" s="64" t="str">
        <f>IF($B822="","",(COUNTIFS(Rships!$C$2:$C$9990,$A822,Rships!$D$2:$D$9990,2)))</f>
        <v/>
      </c>
      <c r="AD822" s="64" t="str">
        <f>IF($B822="","",(COUNTIFS(Rships!$C$2:$C$9990,$A822,Rships!$D$2:$D$9990,3)))</f>
        <v/>
      </c>
      <c r="AE822" s="64" t="str">
        <f>IF($B822="","",(COUNTIFS(Rships!$C$2:$C$9990,$A822,Rships!$D$2:$D$9990,4)))</f>
        <v/>
      </c>
      <c r="AF822" s="64" t="str">
        <f>IF($B822="","",(COUNTIFS(Rships!$C$2:$C$9990,$A822,Rships!$D$2:$D$9990,5)))</f>
        <v/>
      </c>
      <c r="AG822" s="64" t="str">
        <f>IF($B822="","",(COUNTIFS(Rships!$C$2:$C$9990,$A822,Rships!$D$2:$D$9990,6)))</f>
        <v/>
      </c>
      <c r="AH822" s="64" t="str">
        <f>IF($B822="","",(COUNTIFS(Rships!$C$2:$C$9990,$A822,Rships!$D$2:$D$9990,7)))</f>
        <v/>
      </c>
    </row>
    <row r="823" spans="1:34">
      <c r="A823" s="1" t="s">
        <v>1072</v>
      </c>
      <c r="C823" s="11" t="s">
        <v>19</v>
      </c>
      <c r="D823" s="11" t="s">
        <v>21</v>
      </c>
      <c r="F823" s="15"/>
      <c r="G823" s="15"/>
      <c r="I823" s="17"/>
      <c r="O823" s="11" t="s">
        <v>27</v>
      </c>
      <c r="Y823" s="64">
        <f t="shared" si="26"/>
        <v>0</v>
      </c>
      <c r="AA823" s="64">
        <f t="shared" si="25"/>
        <v>0</v>
      </c>
      <c r="AB823" s="64" t="str">
        <f>IF($B823="","",(COUNTIFS(Rships!$C$2:$C$9990,$A823,Rships!$D$2:$D$9990,1)))</f>
        <v/>
      </c>
      <c r="AC823" s="64" t="str">
        <f>IF($B823="","",(COUNTIFS(Rships!$C$2:$C$9990,$A823,Rships!$D$2:$D$9990,2)))</f>
        <v/>
      </c>
      <c r="AD823" s="64" t="str">
        <f>IF($B823="","",(COUNTIFS(Rships!$C$2:$C$9990,$A823,Rships!$D$2:$D$9990,3)))</f>
        <v/>
      </c>
      <c r="AE823" s="64" t="str">
        <f>IF($B823="","",(COUNTIFS(Rships!$C$2:$C$9990,$A823,Rships!$D$2:$D$9990,4)))</f>
        <v/>
      </c>
      <c r="AF823" s="64" t="str">
        <f>IF($B823="","",(COUNTIFS(Rships!$C$2:$C$9990,$A823,Rships!$D$2:$D$9990,5)))</f>
        <v/>
      </c>
      <c r="AG823" s="64" t="str">
        <f>IF($B823="","",(COUNTIFS(Rships!$C$2:$C$9990,$A823,Rships!$D$2:$D$9990,6)))</f>
        <v/>
      </c>
      <c r="AH823" s="64" t="str">
        <f>IF($B823="","",(COUNTIFS(Rships!$C$2:$C$9990,$A823,Rships!$D$2:$D$9990,7)))</f>
        <v/>
      </c>
    </row>
    <row r="824" spans="1:34">
      <c r="A824" s="1" t="s">
        <v>1073</v>
      </c>
      <c r="C824" s="11" t="s">
        <v>19</v>
      </c>
      <c r="D824" s="11" t="s">
        <v>21</v>
      </c>
      <c r="F824" s="15"/>
      <c r="G824" s="15"/>
      <c r="I824" s="17"/>
      <c r="O824" s="11" t="s">
        <v>27</v>
      </c>
      <c r="Y824" s="64">
        <f t="shared" si="26"/>
        <v>0</v>
      </c>
      <c r="AA824" s="64">
        <f t="shared" si="25"/>
        <v>0</v>
      </c>
      <c r="AB824" s="64" t="str">
        <f>IF($B824="","",(COUNTIFS(Rships!$C$2:$C$9990,$A824,Rships!$D$2:$D$9990,1)))</f>
        <v/>
      </c>
      <c r="AC824" s="64" t="str">
        <f>IF($B824="","",(COUNTIFS(Rships!$C$2:$C$9990,$A824,Rships!$D$2:$D$9990,2)))</f>
        <v/>
      </c>
      <c r="AD824" s="64" t="str">
        <f>IF($B824="","",(COUNTIFS(Rships!$C$2:$C$9990,$A824,Rships!$D$2:$D$9990,3)))</f>
        <v/>
      </c>
      <c r="AE824" s="64" t="str">
        <f>IF($B824="","",(COUNTIFS(Rships!$C$2:$C$9990,$A824,Rships!$D$2:$D$9990,4)))</f>
        <v/>
      </c>
      <c r="AF824" s="64" t="str">
        <f>IF($B824="","",(COUNTIFS(Rships!$C$2:$C$9990,$A824,Rships!$D$2:$D$9990,5)))</f>
        <v/>
      </c>
      <c r="AG824" s="64" t="str">
        <f>IF($B824="","",(COUNTIFS(Rships!$C$2:$C$9990,$A824,Rships!$D$2:$D$9990,6)))</f>
        <v/>
      </c>
      <c r="AH824" s="64" t="str">
        <f>IF($B824="","",(COUNTIFS(Rships!$C$2:$C$9990,$A824,Rships!$D$2:$D$9990,7)))</f>
        <v/>
      </c>
    </row>
    <row r="825" spans="1:34">
      <c r="A825" s="1" t="s">
        <v>1074</v>
      </c>
      <c r="C825" s="11" t="s">
        <v>19</v>
      </c>
      <c r="D825" s="11" t="s">
        <v>21</v>
      </c>
      <c r="F825" s="15"/>
      <c r="G825" s="15"/>
      <c r="I825" s="17"/>
      <c r="O825" s="11" t="s">
        <v>27</v>
      </c>
      <c r="Y825" s="64">
        <f t="shared" si="26"/>
        <v>0</v>
      </c>
      <c r="AA825" s="64">
        <f t="shared" si="25"/>
        <v>0</v>
      </c>
      <c r="AB825" s="64" t="str">
        <f>IF($B825="","",(COUNTIFS(Rships!$C$2:$C$9990,$A825,Rships!$D$2:$D$9990,1)))</f>
        <v/>
      </c>
      <c r="AC825" s="64" t="str">
        <f>IF($B825="","",(COUNTIFS(Rships!$C$2:$C$9990,$A825,Rships!$D$2:$D$9990,2)))</f>
        <v/>
      </c>
      <c r="AD825" s="64" t="str">
        <f>IF($B825="","",(COUNTIFS(Rships!$C$2:$C$9990,$A825,Rships!$D$2:$D$9990,3)))</f>
        <v/>
      </c>
      <c r="AE825" s="64" t="str">
        <f>IF($B825="","",(COUNTIFS(Rships!$C$2:$C$9990,$A825,Rships!$D$2:$D$9990,4)))</f>
        <v/>
      </c>
      <c r="AF825" s="64" t="str">
        <f>IF($B825="","",(COUNTIFS(Rships!$C$2:$C$9990,$A825,Rships!$D$2:$D$9990,5)))</f>
        <v/>
      </c>
      <c r="AG825" s="64" t="str">
        <f>IF($B825="","",(COUNTIFS(Rships!$C$2:$C$9990,$A825,Rships!$D$2:$D$9990,6)))</f>
        <v/>
      </c>
      <c r="AH825" s="64" t="str">
        <f>IF($B825="","",(COUNTIFS(Rships!$C$2:$C$9990,$A825,Rships!$D$2:$D$9990,7)))</f>
        <v/>
      </c>
    </row>
    <row r="826" spans="1:34">
      <c r="A826" s="1" t="s">
        <v>1075</v>
      </c>
      <c r="C826" s="11" t="s">
        <v>19</v>
      </c>
      <c r="D826" s="11" t="s">
        <v>21</v>
      </c>
      <c r="F826" s="15"/>
      <c r="G826" s="15"/>
      <c r="I826" s="17"/>
      <c r="O826" s="11" t="s">
        <v>27</v>
      </c>
      <c r="Y826" s="64">
        <f t="shared" si="26"/>
        <v>0</v>
      </c>
      <c r="AA826" s="64">
        <f t="shared" si="25"/>
        <v>0</v>
      </c>
      <c r="AB826" s="64" t="str">
        <f>IF($B826="","",(COUNTIFS(Rships!$C$2:$C$9990,$A826,Rships!$D$2:$D$9990,1)))</f>
        <v/>
      </c>
      <c r="AC826" s="64" t="str">
        <f>IF($B826="","",(COUNTIFS(Rships!$C$2:$C$9990,$A826,Rships!$D$2:$D$9990,2)))</f>
        <v/>
      </c>
      <c r="AD826" s="64" t="str">
        <f>IF($B826="","",(COUNTIFS(Rships!$C$2:$C$9990,$A826,Rships!$D$2:$D$9990,3)))</f>
        <v/>
      </c>
      <c r="AE826" s="64" t="str">
        <f>IF($B826="","",(COUNTIFS(Rships!$C$2:$C$9990,$A826,Rships!$D$2:$D$9990,4)))</f>
        <v/>
      </c>
      <c r="AF826" s="64" t="str">
        <f>IF($B826="","",(COUNTIFS(Rships!$C$2:$C$9990,$A826,Rships!$D$2:$D$9990,5)))</f>
        <v/>
      </c>
      <c r="AG826" s="64" t="str">
        <f>IF($B826="","",(COUNTIFS(Rships!$C$2:$C$9990,$A826,Rships!$D$2:$D$9990,6)))</f>
        <v/>
      </c>
      <c r="AH826" s="64" t="str">
        <f>IF($B826="","",(COUNTIFS(Rships!$C$2:$C$9990,$A826,Rships!$D$2:$D$9990,7)))</f>
        <v/>
      </c>
    </row>
    <row r="827" spans="1:34">
      <c r="A827" s="1" t="s">
        <v>1076</v>
      </c>
      <c r="C827" s="11" t="s">
        <v>19</v>
      </c>
      <c r="D827" s="11" t="s">
        <v>21</v>
      </c>
      <c r="F827" s="15"/>
      <c r="G827" s="15"/>
      <c r="I827" s="17"/>
      <c r="O827" s="11" t="s">
        <v>27</v>
      </c>
      <c r="Y827" s="64">
        <f t="shared" si="26"/>
        <v>0</v>
      </c>
      <c r="AA827" s="64">
        <f t="shared" si="25"/>
        <v>0</v>
      </c>
      <c r="AB827" s="64" t="str">
        <f>IF($B827="","",(COUNTIFS(Rships!$C$2:$C$9990,$A827,Rships!$D$2:$D$9990,1)))</f>
        <v/>
      </c>
      <c r="AC827" s="64" t="str">
        <f>IF($B827="","",(COUNTIFS(Rships!$C$2:$C$9990,$A827,Rships!$D$2:$D$9990,2)))</f>
        <v/>
      </c>
      <c r="AD827" s="64" t="str">
        <f>IF($B827="","",(COUNTIFS(Rships!$C$2:$C$9990,$A827,Rships!$D$2:$D$9990,3)))</f>
        <v/>
      </c>
      <c r="AE827" s="64" t="str">
        <f>IF($B827="","",(COUNTIFS(Rships!$C$2:$C$9990,$A827,Rships!$D$2:$D$9990,4)))</f>
        <v/>
      </c>
      <c r="AF827" s="64" t="str">
        <f>IF($B827="","",(COUNTIFS(Rships!$C$2:$C$9990,$A827,Rships!$D$2:$D$9990,5)))</f>
        <v/>
      </c>
      <c r="AG827" s="64" t="str">
        <f>IF($B827="","",(COUNTIFS(Rships!$C$2:$C$9990,$A827,Rships!$D$2:$D$9990,6)))</f>
        <v/>
      </c>
      <c r="AH827" s="64" t="str">
        <f>IF($B827="","",(COUNTIFS(Rships!$C$2:$C$9990,$A827,Rships!$D$2:$D$9990,7)))</f>
        <v/>
      </c>
    </row>
    <row r="828" spans="1:34">
      <c r="A828" s="1" t="s">
        <v>1077</v>
      </c>
      <c r="C828" s="11" t="s">
        <v>19</v>
      </c>
      <c r="D828" s="11" t="s">
        <v>21</v>
      </c>
      <c r="F828" s="15"/>
      <c r="G828" s="15"/>
      <c r="I828" s="17"/>
      <c r="O828" s="11" t="s">
        <v>27</v>
      </c>
      <c r="Y828" s="64">
        <f t="shared" si="26"/>
        <v>0</v>
      </c>
      <c r="AA828" s="64">
        <f t="shared" si="25"/>
        <v>0</v>
      </c>
      <c r="AB828" s="64" t="str">
        <f>IF($B828="","",(COUNTIFS(Rships!$C$2:$C$9990,$A828,Rships!$D$2:$D$9990,1)))</f>
        <v/>
      </c>
      <c r="AC828" s="64" t="str">
        <f>IF($B828="","",(COUNTIFS(Rships!$C$2:$C$9990,$A828,Rships!$D$2:$D$9990,2)))</f>
        <v/>
      </c>
      <c r="AD828" s="64" t="str">
        <f>IF($B828="","",(COUNTIFS(Rships!$C$2:$C$9990,$A828,Rships!$D$2:$D$9990,3)))</f>
        <v/>
      </c>
      <c r="AE828" s="64" t="str">
        <f>IF($B828="","",(COUNTIFS(Rships!$C$2:$C$9990,$A828,Rships!$D$2:$D$9990,4)))</f>
        <v/>
      </c>
      <c r="AF828" s="64" t="str">
        <f>IF($B828="","",(COUNTIFS(Rships!$C$2:$C$9990,$A828,Rships!$D$2:$D$9990,5)))</f>
        <v/>
      </c>
      <c r="AG828" s="64" t="str">
        <f>IF($B828="","",(COUNTIFS(Rships!$C$2:$C$9990,$A828,Rships!$D$2:$D$9990,6)))</f>
        <v/>
      </c>
      <c r="AH828" s="64" t="str">
        <f>IF($B828="","",(COUNTIFS(Rships!$C$2:$C$9990,$A828,Rships!$D$2:$D$9990,7)))</f>
        <v/>
      </c>
    </row>
    <row r="829" spans="1:34">
      <c r="A829" s="1" t="s">
        <v>1078</v>
      </c>
      <c r="C829" s="11" t="s">
        <v>19</v>
      </c>
      <c r="D829" s="11" t="s">
        <v>21</v>
      </c>
      <c r="F829" s="15"/>
      <c r="G829" s="15"/>
      <c r="I829" s="17"/>
      <c r="O829" s="11" t="s">
        <v>27</v>
      </c>
      <c r="Y829" s="64">
        <f t="shared" si="26"/>
        <v>0</v>
      </c>
      <c r="AA829" s="64">
        <f t="shared" si="25"/>
        <v>0</v>
      </c>
      <c r="AB829" s="64" t="str">
        <f>IF($B829="","",(COUNTIFS(Rships!$C$2:$C$9990,$A829,Rships!$D$2:$D$9990,1)))</f>
        <v/>
      </c>
      <c r="AC829" s="64" t="str">
        <f>IF($B829="","",(COUNTIFS(Rships!$C$2:$C$9990,$A829,Rships!$D$2:$D$9990,2)))</f>
        <v/>
      </c>
      <c r="AD829" s="64" t="str">
        <f>IF($B829="","",(COUNTIFS(Rships!$C$2:$C$9990,$A829,Rships!$D$2:$D$9990,3)))</f>
        <v/>
      </c>
      <c r="AE829" s="64" t="str">
        <f>IF($B829="","",(COUNTIFS(Rships!$C$2:$C$9990,$A829,Rships!$D$2:$D$9990,4)))</f>
        <v/>
      </c>
      <c r="AF829" s="64" t="str">
        <f>IF($B829="","",(COUNTIFS(Rships!$C$2:$C$9990,$A829,Rships!$D$2:$D$9990,5)))</f>
        <v/>
      </c>
      <c r="AG829" s="64" t="str">
        <f>IF($B829="","",(COUNTIFS(Rships!$C$2:$C$9990,$A829,Rships!$D$2:$D$9990,6)))</f>
        <v/>
      </c>
      <c r="AH829" s="64" t="str">
        <f>IF($B829="","",(COUNTIFS(Rships!$C$2:$C$9990,$A829,Rships!$D$2:$D$9990,7)))</f>
        <v/>
      </c>
    </row>
    <row r="830" spans="1:34">
      <c r="A830" s="1" t="s">
        <v>1079</v>
      </c>
      <c r="C830" s="11" t="s">
        <v>19</v>
      </c>
      <c r="D830" s="11" t="s">
        <v>21</v>
      </c>
      <c r="F830" s="15"/>
      <c r="G830" s="15"/>
      <c r="I830" s="17"/>
      <c r="O830" s="11" t="s">
        <v>27</v>
      </c>
      <c r="Y830" s="64">
        <f t="shared" si="26"/>
        <v>0</v>
      </c>
      <c r="AA830" s="64">
        <f t="shared" si="25"/>
        <v>0</v>
      </c>
      <c r="AB830" s="64" t="str">
        <f>IF($B830="","",(COUNTIFS(Rships!$C$2:$C$9990,$A830,Rships!$D$2:$D$9990,1)))</f>
        <v/>
      </c>
      <c r="AC830" s="64" t="str">
        <f>IF($B830="","",(COUNTIFS(Rships!$C$2:$C$9990,$A830,Rships!$D$2:$D$9990,2)))</f>
        <v/>
      </c>
      <c r="AD830" s="64" t="str">
        <f>IF($B830="","",(COUNTIFS(Rships!$C$2:$C$9990,$A830,Rships!$D$2:$D$9990,3)))</f>
        <v/>
      </c>
      <c r="AE830" s="64" t="str">
        <f>IF($B830="","",(COUNTIFS(Rships!$C$2:$C$9990,$A830,Rships!$D$2:$D$9990,4)))</f>
        <v/>
      </c>
      <c r="AF830" s="64" t="str">
        <f>IF($B830="","",(COUNTIFS(Rships!$C$2:$C$9990,$A830,Rships!$D$2:$D$9990,5)))</f>
        <v/>
      </c>
      <c r="AG830" s="64" t="str">
        <f>IF($B830="","",(COUNTIFS(Rships!$C$2:$C$9990,$A830,Rships!$D$2:$D$9990,6)))</f>
        <v/>
      </c>
      <c r="AH830" s="64" t="str">
        <f>IF($B830="","",(COUNTIFS(Rships!$C$2:$C$9990,$A830,Rships!$D$2:$D$9990,7)))</f>
        <v/>
      </c>
    </row>
    <row r="831" spans="1:34">
      <c r="A831" s="1" t="s">
        <v>1080</v>
      </c>
      <c r="C831" s="11" t="s">
        <v>19</v>
      </c>
      <c r="D831" s="11" t="s">
        <v>21</v>
      </c>
      <c r="F831" s="15"/>
      <c r="G831" s="15"/>
      <c r="I831" s="17"/>
      <c r="O831" s="11" t="s">
        <v>27</v>
      </c>
      <c r="Y831" s="64">
        <f t="shared" si="26"/>
        <v>0</v>
      </c>
      <c r="AA831" s="64">
        <f t="shared" si="25"/>
        <v>0</v>
      </c>
      <c r="AB831" s="64" t="str">
        <f>IF($B831="","",(COUNTIFS(Rships!$C$2:$C$9990,$A831,Rships!$D$2:$D$9990,1)))</f>
        <v/>
      </c>
      <c r="AC831" s="64" t="str">
        <f>IF($B831="","",(COUNTIFS(Rships!$C$2:$C$9990,$A831,Rships!$D$2:$D$9990,2)))</f>
        <v/>
      </c>
      <c r="AD831" s="64" t="str">
        <f>IF($B831="","",(COUNTIFS(Rships!$C$2:$C$9990,$A831,Rships!$D$2:$D$9990,3)))</f>
        <v/>
      </c>
      <c r="AE831" s="64" t="str">
        <f>IF($B831="","",(COUNTIFS(Rships!$C$2:$C$9990,$A831,Rships!$D$2:$D$9990,4)))</f>
        <v/>
      </c>
      <c r="AF831" s="64" t="str">
        <f>IF($B831="","",(COUNTIFS(Rships!$C$2:$C$9990,$A831,Rships!$D$2:$D$9990,5)))</f>
        <v/>
      </c>
      <c r="AG831" s="64" t="str">
        <f>IF($B831="","",(COUNTIFS(Rships!$C$2:$C$9990,$A831,Rships!$D$2:$D$9990,6)))</f>
        <v/>
      </c>
      <c r="AH831" s="64" t="str">
        <f>IF($B831="","",(COUNTIFS(Rships!$C$2:$C$9990,$A831,Rships!$D$2:$D$9990,7)))</f>
        <v/>
      </c>
    </row>
    <row r="832" spans="1:34">
      <c r="A832" s="1" t="s">
        <v>1081</v>
      </c>
      <c r="C832" s="11" t="s">
        <v>19</v>
      </c>
      <c r="D832" s="11" t="s">
        <v>21</v>
      </c>
      <c r="F832" s="15"/>
      <c r="G832" s="15"/>
      <c r="I832" s="17"/>
      <c r="O832" s="11" t="s">
        <v>27</v>
      </c>
      <c r="Y832" s="64">
        <f t="shared" si="26"/>
        <v>0</v>
      </c>
      <c r="AA832" s="64">
        <f t="shared" si="25"/>
        <v>0</v>
      </c>
      <c r="AB832" s="64" t="str">
        <f>IF($B832="","",(COUNTIFS(Rships!$C$2:$C$9990,$A832,Rships!$D$2:$D$9990,1)))</f>
        <v/>
      </c>
      <c r="AC832" s="64" t="str">
        <f>IF($B832="","",(COUNTIFS(Rships!$C$2:$C$9990,$A832,Rships!$D$2:$D$9990,2)))</f>
        <v/>
      </c>
      <c r="AD832" s="64" t="str">
        <f>IF($B832="","",(COUNTIFS(Rships!$C$2:$C$9990,$A832,Rships!$D$2:$D$9990,3)))</f>
        <v/>
      </c>
      <c r="AE832" s="64" t="str">
        <f>IF($B832="","",(COUNTIFS(Rships!$C$2:$C$9990,$A832,Rships!$D$2:$D$9990,4)))</f>
        <v/>
      </c>
      <c r="AF832" s="64" t="str">
        <f>IF($B832="","",(COUNTIFS(Rships!$C$2:$C$9990,$A832,Rships!$D$2:$D$9990,5)))</f>
        <v/>
      </c>
      <c r="AG832" s="64" t="str">
        <f>IF($B832="","",(COUNTIFS(Rships!$C$2:$C$9990,$A832,Rships!$D$2:$D$9990,6)))</f>
        <v/>
      </c>
      <c r="AH832" s="64" t="str">
        <f>IF($B832="","",(COUNTIFS(Rships!$C$2:$C$9990,$A832,Rships!$D$2:$D$9990,7)))</f>
        <v/>
      </c>
    </row>
    <row r="833" spans="1:34">
      <c r="A833" s="1" t="s">
        <v>1082</v>
      </c>
      <c r="C833" s="11" t="s">
        <v>19</v>
      </c>
      <c r="D833" s="11" t="s">
        <v>21</v>
      </c>
      <c r="F833" s="15"/>
      <c r="G833" s="15"/>
      <c r="I833" s="17"/>
      <c r="O833" s="11" t="s">
        <v>27</v>
      </c>
      <c r="Y833" s="64">
        <f t="shared" si="26"/>
        <v>0</v>
      </c>
      <c r="AA833" s="64">
        <f t="shared" si="25"/>
        <v>0</v>
      </c>
      <c r="AB833" s="64" t="str">
        <f>IF($B833="","",(COUNTIFS(Rships!$C$2:$C$9990,$A833,Rships!$D$2:$D$9990,1)))</f>
        <v/>
      </c>
      <c r="AC833" s="64" t="str">
        <f>IF($B833="","",(COUNTIFS(Rships!$C$2:$C$9990,$A833,Rships!$D$2:$D$9990,2)))</f>
        <v/>
      </c>
      <c r="AD833" s="64" t="str">
        <f>IF($B833="","",(COUNTIFS(Rships!$C$2:$C$9990,$A833,Rships!$D$2:$D$9990,3)))</f>
        <v/>
      </c>
      <c r="AE833" s="64" t="str">
        <f>IF($B833="","",(COUNTIFS(Rships!$C$2:$C$9990,$A833,Rships!$D$2:$D$9990,4)))</f>
        <v/>
      </c>
      <c r="AF833" s="64" t="str">
        <f>IF($B833="","",(COUNTIFS(Rships!$C$2:$C$9990,$A833,Rships!$D$2:$D$9990,5)))</f>
        <v/>
      </c>
      <c r="AG833" s="64" t="str">
        <f>IF($B833="","",(COUNTIFS(Rships!$C$2:$C$9990,$A833,Rships!$D$2:$D$9990,6)))</f>
        <v/>
      </c>
      <c r="AH833" s="64" t="str">
        <f>IF($B833="","",(COUNTIFS(Rships!$C$2:$C$9990,$A833,Rships!$D$2:$D$9990,7)))</f>
        <v/>
      </c>
    </row>
    <row r="834" spans="1:34">
      <c r="A834" s="1" t="s">
        <v>1083</v>
      </c>
      <c r="C834" s="11" t="s">
        <v>19</v>
      </c>
      <c r="D834" s="11" t="s">
        <v>21</v>
      </c>
      <c r="F834" s="15"/>
      <c r="G834" s="15"/>
      <c r="I834" s="17"/>
      <c r="O834" s="11" t="s">
        <v>27</v>
      </c>
      <c r="Y834" s="64">
        <f t="shared" si="26"/>
        <v>0</v>
      </c>
      <c r="AA834" s="64">
        <f t="shared" si="25"/>
        <v>0</v>
      </c>
      <c r="AB834" s="64" t="str">
        <f>IF($B834="","",(COUNTIFS(Rships!$C$2:$C$9990,$A834,Rships!$D$2:$D$9990,1)))</f>
        <v/>
      </c>
      <c r="AC834" s="64" t="str">
        <f>IF($B834="","",(COUNTIFS(Rships!$C$2:$C$9990,$A834,Rships!$D$2:$D$9990,2)))</f>
        <v/>
      </c>
      <c r="AD834" s="64" t="str">
        <f>IF($B834="","",(COUNTIFS(Rships!$C$2:$C$9990,$A834,Rships!$D$2:$D$9990,3)))</f>
        <v/>
      </c>
      <c r="AE834" s="64" t="str">
        <f>IF($B834="","",(COUNTIFS(Rships!$C$2:$C$9990,$A834,Rships!$D$2:$D$9990,4)))</f>
        <v/>
      </c>
      <c r="AF834" s="64" t="str">
        <f>IF($B834="","",(COUNTIFS(Rships!$C$2:$C$9990,$A834,Rships!$D$2:$D$9990,5)))</f>
        <v/>
      </c>
      <c r="AG834" s="64" t="str">
        <f>IF($B834="","",(COUNTIFS(Rships!$C$2:$C$9990,$A834,Rships!$D$2:$D$9990,6)))</f>
        <v/>
      </c>
      <c r="AH834" s="64" t="str">
        <f>IF($B834="","",(COUNTIFS(Rships!$C$2:$C$9990,$A834,Rships!$D$2:$D$9990,7)))</f>
        <v/>
      </c>
    </row>
    <row r="835" spans="1:34">
      <c r="A835" s="1" t="s">
        <v>1084</v>
      </c>
      <c r="C835" s="11" t="s">
        <v>19</v>
      </c>
      <c r="D835" s="11" t="s">
        <v>21</v>
      </c>
      <c r="F835" s="15"/>
      <c r="G835" s="15"/>
      <c r="I835" s="17"/>
      <c r="O835" s="11" t="s">
        <v>27</v>
      </c>
      <c r="Y835" s="64">
        <f t="shared" si="26"/>
        <v>0</v>
      </c>
      <c r="AA835" s="64">
        <f t="shared" ref="AA835:AA898" si="27">SUM($AB835:$AH835)</f>
        <v>0</v>
      </c>
      <c r="AB835" s="64" t="str">
        <f>IF($B835="","",(COUNTIFS(Rships!$C$2:$C$9990,$A835,Rships!$D$2:$D$9990,1)))</f>
        <v/>
      </c>
      <c r="AC835" s="64" t="str">
        <f>IF($B835="","",(COUNTIFS(Rships!$C$2:$C$9990,$A835,Rships!$D$2:$D$9990,2)))</f>
        <v/>
      </c>
      <c r="AD835" s="64" t="str">
        <f>IF($B835="","",(COUNTIFS(Rships!$C$2:$C$9990,$A835,Rships!$D$2:$D$9990,3)))</f>
        <v/>
      </c>
      <c r="AE835" s="64" t="str">
        <f>IF($B835="","",(COUNTIFS(Rships!$C$2:$C$9990,$A835,Rships!$D$2:$D$9990,4)))</f>
        <v/>
      </c>
      <c r="AF835" s="64" t="str">
        <f>IF($B835="","",(COUNTIFS(Rships!$C$2:$C$9990,$A835,Rships!$D$2:$D$9990,5)))</f>
        <v/>
      </c>
      <c r="AG835" s="64" t="str">
        <f>IF($B835="","",(COUNTIFS(Rships!$C$2:$C$9990,$A835,Rships!$D$2:$D$9990,6)))</f>
        <v/>
      </c>
      <c r="AH835" s="64" t="str">
        <f>IF($B835="","",(COUNTIFS(Rships!$C$2:$C$9990,$A835,Rships!$D$2:$D$9990,7)))</f>
        <v/>
      </c>
    </row>
    <row r="836" spans="1:34">
      <c r="A836" s="1" t="s">
        <v>1085</v>
      </c>
      <c r="C836" s="11" t="s">
        <v>19</v>
      </c>
      <c r="D836" s="11" t="s">
        <v>21</v>
      </c>
      <c r="F836" s="15"/>
      <c r="G836" s="15"/>
      <c r="I836" s="17"/>
      <c r="O836" s="11" t="s">
        <v>27</v>
      </c>
      <c r="Y836" s="64">
        <f t="shared" si="26"/>
        <v>0</v>
      </c>
      <c r="AA836" s="64">
        <f t="shared" si="27"/>
        <v>0</v>
      </c>
      <c r="AB836" s="64" t="str">
        <f>IF($B836="","",(COUNTIFS(Rships!$C$2:$C$9990,$A836,Rships!$D$2:$D$9990,1)))</f>
        <v/>
      </c>
      <c r="AC836" s="64" t="str">
        <f>IF($B836="","",(COUNTIFS(Rships!$C$2:$C$9990,$A836,Rships!$D$2:$D$9990,2)))</f>
        <v/>
      </c>
      <c r="AD836" s="64" t="str">
        <f>IF($B836="","",(COUNTIFS(Rships!$C$2:$C$9990,$A836,Rships!$D$2:$D$9990,3)))</f>
        <v/>
      </c>
      <c r="AE836" s="64" t="str">
        <f>IF($B836="","",(COUNTIFS(Rships!$C$2:$C$9990,$A836,Rships!$D$2:$D$9990,4)))</f>
        <v/>
      </c>
      <c r="AF836" s="64" t="str">
        <f>IF($B836="","",(COUNTIFS(Rships!$C$2:$C$9990,$A836,Rships!$D$2:$D$9990,5)))</f>
        <v/>
      </c>
      <c r="AG836" s="64" t="str">
        <f>IF($B836="","",(COUNTIFS(Rships!$C$2:$C$9990,$A836,Rships!$D$2:$D$9990,6)))</f>
        <v/>
      </c>
      <c r="AH836" s="64" t="str">
        <f>IF($B836="","",(COUNTIFS(Rships!$C$2:$C$9990,$A836,Rships!$D$2:$D$9990,7)))</f>
        <v/>
      </c>
    </row>
    <row r="837" spans="1:34">
      <c r="A837" s="1" t="s">
        <v>1086</v>
      </c>
      <c r="C837" s="11" t="s">
        <v>19</v>
      </c>
      <c r="D837" s="11" t="s">
        <v>21</v>
      </c>
      <c r="F837" s="15"/>
      <c r="G837" s="15"/>
      <c r="I837" s="17"/>
      <c r="O837" s="11" t="s">
        <v>27</v>
      </c>
      <c r="Y837" s="64">
        <f t="shared" si="26"/>
        <v>0</v>
      </c>
      <c r="AA837" s="64">
        <f t="shared" si="27"/>
        <v>0</v>
      </c>
      <c r="AB837" s="64" t="str">
        <f>IF($B837="","",(COUNTIFS(Rships!$C$2:$C$9990,$A837,Rships!$D$2:$D$9990,1)))</f>
        <v/>
      </c>
      <c r="AC837" s="64" t="str">
        <f>IF($B837="","",(COUNTIFS(Rships!$C$2:$C$9990,$A837,Rships!$D$2:$D$9990,2)))</f>
        <v/>
      </c>
      <c r="AD837" s="64" t="str">
        <f>IF($B837="","",(COUNTIFS(Rships!$C$2:$C$9990,$A837,Rships!$D$2:$D$9990,3)))</f>
        <v/>
      </c>
      <c r="AE837" s="64" t="str">
        <f>IF($B837="","",(COUNTIFS(Rships!$C$2:$C$9990,$A837,Rships!$D$2:$D$9990,4)))</f>
        <v/>
      </c>
      <c r="AF837" s="64" t="str">
        <f>IF($B837="","",(COUNTIFS(Rships!$C$2:$C$9990,$A837,Rships!$D$2:$D$9990,5)))</f>
        <v/>
      </c>
      <c r="AG837" s="64" t="str">
        <f>IF($B837="","",(COUNTIFS(Rships!$C$2:$C$9990,$A837,Rships!$D$2:$D$9990,6)))</f>
        <v/>
      </c>
      <c r="AH837" s="64" t="str">
        <f>IF($B837="","",(COUNTIFS(Rships!$C$2:$C$9990,$A837,Rships!$D$2:$D$9990,7)))</f>
        <v/>
      </c>
    </row>
    <row r="838" spans="1:34">
      <c r="A838" s="1" t="s">
        <v>1087</v>
      </c>
      <c r="C838" s="11" t="s">
        <v>19</v>
      </c>
      <c r="D838" s="11" t="s">
        <v>21</v>
      </c>
      <c r="F838" s="15"/>
      <c r="G838" s="15"/>
      <c r="I838" s="17"/>
      <c r="O838" s="11" t="s">
        <v>27</v>
      </c>
      <c r="Y838" s="64">
        <f t="shared" si="26"/>
        <v>0</v>
      </c>
      <c r="AA838" s="64">
        <f t="shared" si="27"/>
        <v>0</v>
      </c>
      <c r="AB838" s="64" t="str">
        <f>IF($B838="","",(COUNTIFS(Rships!$C$2:$C$9990,$A838,Rships!$D$2:$D$9990,1)))</f>
        <v/>
      </c>
      <c r="AC838" s="64" t="str">
        <f>IF($B838="","",(COUNTIFS(Rships!$C$2:$C$9990,$A838,Rships!$D$2:$D$9990,2)))</f>
        <v/>
      </c>
      <c r="AD838" s="64" t="str">
        <f>IF($B838="","",(COUNTIFS(Rships!$C$2:$C$9990,$A838,Rships!$D$2:$D$9990,3)))</f>
        <v/>
      </c>
      <c r="AE838" s="64" t="str">
        <f>IF($B838="","",(COUNTIFS(Rships!$C$2:$C$9990,$A838,Rships!$D$2:$D$9990,4)))</f>
        <v/>
      </c>
      <c r="AF838" s="64" t="str">
        <f>IF($B838="","",(COUNTIFS(Rships!$C$2:$C$9990,$A838,Rships!$D$2:$D$9990,5)))</f>
        <v/>
      </c>
      <c r="AG838" s="64" t="str">
        <f>IF($B838="","",(COUNTIFS(Rships!$C$2:$C$9990,$A838,Rships!$D$2:$D$9990,6)))</f>
        <v/>
      </c>
      <c r="AH838" s="64" t="str">
        <f>IF($B838="","",(COUNTIFS(Rships!$C$2:$C$9990,$A838,Rships!$D$2:$D$9990,7)))</f>
        <v/>
      </c>
    </row>
    <row r="839" spans="1:34">
      <c r="A839" s="1" t="s">
        <v>1088</v>
      </c>
      <c r="C839" s="11" t="s">
        <v>19</v>
      </c>
      <c r="D839" s="11" t="s">
        <v>21</v>
      </c>
      <c r="F839" s="15"/>
      <c r="G839" s="15"/>
      <c r="I839" s="17"/>
      <c r="O839" s="11" t="s">
        <v>27</v>
      </c>
      <c r="Y839" s="64">
        <f t="shared" si="26"/>
        <v>0</v>
      </c>
      <c r="AA839" s="64">
        <f t="shared" si="27"/>
        <v>0</v>
      </c>
      <c r="AB839" s="64" t="str">
        <f>IF($B839="","",(COUNTIFS(Rships!$C$2:$C$9990,$A839,Rships!$D$2:$D$9990,1)))</f>
        <v/>
      </c>
      <c r="AC839" s="64" t="str">
        <f>IF($B839="","",(COUNTIFS(Rships!$C$2:$C$9990,$A839,Rships!$D$2:$D$9990,2)))</f>
        <v/>
      </c>
      <c r="AD839" s="64" t="str">
        <f>IF($B839="","",(COUNTIFS(Rships!$C$2:$C$9990,$A839,Rships!$D$2:$D$9990,3)))</f>
        <v/>
      </c>
      <c r="AE839" s="64" t="str">
        <f>IF($B839="","",(COUNTIFS(Rships!$C$2:$C$9990,$A839,Rships!$D$2:$D$9990,4)))</f>
        <v/>
      </c>
      <c r="AF839" s="64" t="str">
        <f>IF($B839="","",(COUNTIFS(Rships!$C$2:$C$9990,$A839,Rships!$D$2:$D$9990,5)))</f>
        <v/>
      </c>
      <c r="AG839" s="64" t="str">
        <f>IF($B839="","",(COUNTIFS(Rships!$C$2:$C$9990,$A839,Rships!$D$2:$D$9990,6)))</f>
        <v/>
      </c>
      <c r="AH839" s="64" t="str">
        <f>IF($B839="","",(COUNTIFS(Rships!$C$2:$C$9990,$A839,Rships!$D$2:$D$9990,7)))</f>
        <v/>
      </c>
    </row>
    <row r="840" spans="1:34">
      <c r="A840" s="1" t="s">
        <v>1089</v>
      </c>
      <c r="C840" s="11" t="s">
        <v>19</v>
      </c>
      <c r="D840" s="11" t="s">
        <v>21</v>
      </c>
      <c r="F840" s="15"/>
      <c r="G840" s="15"/>
      <c r="I840" s="17"/>
      <c r="O840" s="11" t="s">
        <v>27</v>
      </c>
      <c r="Y840" s="64">
        <f t="shared" si="26"/>
        <v>0</v>
      </c>
      <c r="AA840" s="64">
        <f t="shared" si="27"/>
        <v>0</v>
      </c>
      <c r="AB840" s="64" t="str">
        <f>IF($B840="","",(COUNTIFS(Rships!$C$2:$C$9990,$A840,Rships!$D$2:$D$9990,1)))</f>
        <v/>
      </c>
      <c r="AC840" s="64" t="str">
        <f>IF($B840="","",(COUNTIFS(Rships!$C$2:$C$9990,$A840,Rships!$D$2:$D$9990,2)))</f>
        <v/>
      </c>
      <c r="AD840" s="64" t="str">
        <f>IF($B840="","",(COUNTIFS(Rships!$C$2:$C$9990,$A840,Rships!$D$2:$D$9990,3)))</f>
        <v/>
      </c>
      <c r="AE840" s="64" t="str">
        <f>IF($B840="","",(COUNTIFS(Rships!$C$2:$C$9990,$A840,Rships!$D$2:$D$9990,4)))</f>
        <v/>
      </c>
      <c r="AF840" s="64" t="str">
        <f>IF($B840="","",(COUNTIFS(Rships!$C$2:$C$9990,$A840,Rships!$D$2:$D$9990,5)))</f>
        <v/>
      </c>
      <c r="AG840" s="64" t="str">
        <f>IF($B840="","",(COUNTIFS(Rships!$C$2:$C$9990,$A840,Rships!$D$2:$D$9990,6)))</f>
        <v/>
      </c>
      <c r="AH840" s="64" t="str">
        <f>IF($B840="","",(COUNTIFS(Rships!$C$2:$C$9990,$A840,Rships!$D$2:$D$9990,7)))</f>
        <v/>
      </c>
    </row>
    <row r="841" spans="1:34">
      <c r="A841" s="1" t="s">
        <v>1090</v>
      </c>
      <c r="C841" s="11" t="s">
        <v>19</v>
      </c>
      <c r="D841" s="11" t="s">
        <v>21</v>
      </c>
      <c r="F841" s="15"/>
      <c r="G841" s="15"/>
      <c r="I841" s="17"/>
      <c r="O841" s="11" t="s">
        <v>27</v>
      </c>
      <c r="Y841" s="64">
        <f t="shared" si="26"/>
        <v>0</v>
      </c>
      <c r="AA841" s="64">
        <f t="shared" si="27"/>
        <v>0</v>
      </c>
      <c r="AB841" s="64" t="str">
        <f>IF($B841="","",(COUNTIFS(Rships!$C$2:$C$9990,$A841,Rships!$D$2:$D$9990,1)))</f>
        <v/>
      </c>
      <c r="AC841" s="64" t="str">
        <f>IF($B841="","",(COUNTIFS(Rships!$C$2:$C$9990,$A841,Rships!$D$2:$D$9990,2)))</f>
        <v/>
      </c>
      <c r="AD841" s="64" t="str">
        <f>IF($B841="","",(COUNTIFS(Rships!$C$2:$C$9990,$A841,Rships!$D$2:$D$9990,3)))</f>
        <v/>
      </c>
      <c r="AE841" s="64" t="str">
        <f>IF($B841="","",(COUNTIFS(Rships!$C$2:$C$9990,$A841,Rships!$D$2:$D$9990,4)))</f>
        <v/>
      </c>
      <c r="AF841" s="64" t="str">
        <f>IF($B841="","",(COUNTIFS(Rships!$C$2:$C$9990,$A841,Rships!$D$2:$D$9990,5)))</f>
        <v/>
      </c>
      <c r="AG841" s="64" t="str">
        <f>IF($B841="","",(COUNTIFS(Rships!$C$2:$C$9990,$A841,Rships!$D$2:$D$9990,6)))</f>
        <v/>
      </c>
      <c r="AH841" s="64" t="str">
        <f>IF($B841="","",(COUNTIFS(Rships!$C$2:$C$9990,$A841,Rships!$D$2:$D$9990,7)))</f>
        <v/>
      </c>
    </row>
    <row r="842" spans="1:34">
      <c r="A842" s="1" t="s">
        <v>1091</v>
      </c>
      <c r="C842" s="11" t="s">
        <v>19</v>
      </c>
      <c r="D842" s="11" t="s">
        <v>21</v>
      </c>
      <c r="F842" s="15"/>
      <c r="G842" s="15"/>
      <c r="I842" s="17"/>
      <c r="O842" s="11" t="s">
        <v>27</v>
      </c>
      <c r="Y842" s="64">
        <f t="shared" si="26"/>
        <v>0</v>
      </c>
      <c r="AA842" s="64">
        <f t="shared" si="27"/>
        <v>0</v>
      </c>
      <c r="AB842" s="64" t="str">
        <f>IF($B842="","",(COUNTIFS(Rships!$C$2:$C$9990,$A842,Rships!$D$2:$D$9990,1)))</f>
        <v/>
      </c>
      <c r="AC842" s="64" t="str">
        <f>IF($B842="","",(COUNTIFS(Rships!$C$2:$C$9990,$A842,Rships!$D$2:$D$9990,2)))</f>
        <v/>
      </c>
      <c r="AD842" s="64" t="str">
        <f>IF($B842="","",(COUNTIFS(Rships!$C$2:$C$9990,$A842,Rships!$D$2:$D$9990,3)))</f>
        <v/>
      </c>
      <c r="AE842" s="64" t="str">
        <f>IF($B842="","",(COUNTIFS(Rships!$C$2:$C$9990,$A842,Rships!$D$2:$D$9990,4)))</f>
        <v/>
      </c>
      <c r="AF842" s="64" t="str">
        <f>IF($B842="","",(COUNTIFS(Rships!$C$2:$C$9990,$A842,Rships!$D$2:$D$9990,5)))</f>
        <v/>
      </c>
      <c r="AG842" s="64" t="str">
        <f>IF($B842="","",(COUNTIFS(Rships!$C$2:$C$9990,$A842,Rships!$D$2:$D$9990,6)))</f>
        <v/>
      </c>
      <c r="AH842" s="64" t="str">
        <f>IF($B842="","",(COUNTIFS(Rships!$C$2:$C$9990,$A842,Rships!$D$2:$D$9990,7)))</f>
        <v/>
      </c>
    </row>
    <row r="843" spans="1:34">
      <c r="A843" s="1" t="s">
        <v>1092</v>
      </c>
      <c r="C843" s="11" t="s">
        <v>19</v>
      </c>
      <c r="D843" s="11" t="s">
        <v>21</v>
      </c>
      <c r="F843" s="15"/>
      <c r="G843" s="15"/>
      <c r="I843" s="17"/>
      <c r="O843" s="11" t="s">
        <v>27</v>
      </c>
      <c r="Y843" s="64">
        <f t="shared" si="26"/>
        <v>0</v>
      </c>
      <c r="AA843" s="64">
        <f t="shared" si="27"/>
        <v>0</v>
      </c>
      <c r="AB843" s="64" t="str">
        <f>IF($B843="","",(COUNTIFS(Rships!$C$2:$C$9990,$A843,Rships!$D$2:$D$9990,1)))</f>
        <v/>
      </c>
      <c r="AC843" s="64" t="str">
        <f>IF($B843="","",(COUNTIFS(Rships!$C$2:$C$9990,$A843,Rships!$D$2:$D$9990,2)))</f>
        <v/>
      </c>
      <c r="AD843" s="64" t="str">
        <f>IF($B843="","",(COUNTIFS(Rships!$C$2:$C$9990,$A843,Rships!$D$2:$D$9990,3)))</f>
        <v/>
      </c>
      <c r="AE843" s="64" t="str">
        <f>IF($B843="","",(COUNTIFS(Rships!$C$2:$C$9990,$A843,Rships!$D$2:$D$9990,4)))</f>
        <v/>
      </c>
      <c r="AF843" s="64" t="str">
        <f>IF($B843="","",(COUNTIFS(Rships!$C$2:$C$9990,$A843,Rships!$D$2:$D$9990,5)))</f>
        <v/>
      </c>
      <c r="AG843" s="64" t="str">
        <f>IF($B843="","",(COUNTIFS(Rships!$C$2:$C$9990,$A843,Rships!$D$2:$D$9990,6)))</f>
        <v/>
      </c>
      <c r="AH843" s="64" t="str">
        <f>IF($B843="","",(COUNTIFS(Rships!$C$2:$C$9990,$A843,Rships!$D$2:$D$9990,7)))</f>
        <v/>
      </c>
    </row>
    <row r="844" spans="1:34">
      <c r="A844" s="1" t="s">
        <v>1093</v>
      </c>
      <c r="C844" s="11" t="s">
        <v>19</v>
      </c>
      <c r="D844" s="11" t="s">
        <v>21</v>
      </c>
      <c r="F844" s="15"/>
      <c r="G844" s="15"/>
      <c r="I844" s="17"/>
      <c r="O844" s="11" t="s">
        <v>27</v>
      </c>
      <c r="Y844" s="64">
        <f t="shared" si="26"/>
        <v>0</v>
      </c>
      <c r="AA844" s="64">
        <f t="shared" si="27"/>
        <v>0</v>
      </c>
      <c r="AB844" s="64" t="str">
        <f>IF($B844="","",(COUNTIFS(Rships!$C$2:$C$9990,$A844,Rships!$D$2:$D$9990,1)))</f>
        <v/>
      </c>
      <c r="AC844" s="64" t="str">
        <f>IF($B844="","",(COUNTIFS(Rships!$C$2:$C$9990,$A844,Rships!$D$2:$D$9990,2)))</f>
        <v/>
      </c>
      <c r="AD844" s="64" t="str">
        <f>IF($B844="","",(COUNTIFS(Rships!$C$2:$C$9990,$A844,Rships!$D$2:$D$9990,3)))</f>
        <v/>
      </c>
      <c r="AE844" s="64" t="str">
        <f>IF($B844="","",(COUNTIFS(Rships!$C$2:$C$9990,$A844,Rships!$D$2:$D$9990,4)))</f>
        <v/>
      </c>
      <c r="AF844" s="64" t="str">
        <f>IF($B844="","",(COUNTIFS(Rships!$C$2:$C$9990,$A844,Rships!$D$2:$D$9990,5)))</f>
        <v/>
      </c>
      <c r="AG844" s="64" t="str">
        <f>IF($B844="","",(COUNTIFS(Rships!$C$2:$C$9990,$A844,Rships!$D$2:$D$9990,6)))</f>
        <v/>
      </c>
      <c r="AH844" s="64" t="str">
        <f>IF($B844="","",(COUNTIFS(Rships!$C$2:$C$9990,$A844,Rships!$D$2:$D$9990,7)))</f>
        <v/>
      </c>
    </row>
    <row r="845" spans="1:34">
      <c r="A845" s="1" t="s">
        <v>1094</v>
      </c>
      <c r="C845" s="11" t="s">
        <v>19</v>
      </c>
      <c r="D845" s="11" t="s">
        <v>21</v>
      </c>
      <c r="F845" s="15"/>
      <c r="G845" s="15"/>
      <c r="I845" s="17"/>
      <c r="O845" s="11" t="s">
        <v>27</v>
      </c>
      <c r="Y845" s="64">
        <f t="shared" si="26"/>
        <v>0</v>
      </c>
      <c r="AA845" s="64">
        <f t="shared" si="27"/>
        <v>0</v>
      </c>
      <c r="AB845" s="64" t="str">
        <f>IF($B845="","",(COUNTIFS(Rships!$C$2:$C$9990,$A845,Rships!$D$2:$D$9990,1)))</f>
        <v/>
      </c>
      <c r="AC845" s="64" t="str">
        <f>IF($B845="","",(COUNTIFS(Rships!$C$2:$C$9990,$A845,Rships!$D$2:$D$9990,2)))</f>
        <v/>
      </c>
      <c r="AD845" s="64" t="str">
        <f>IF($B845="","",(COUNTIFS(Rships!$C$2:$C$9990,$A845,Rships!$D$2:$D$9990,3)))</f>
        <v/>
      </c>
      <c r="AE845" s="64" t="str">
        <f>IF($B845="","",(COUNTIFS(Rships!$C$2:$C$9990,$A845,Rships!$D$2:$D$9990,4)))</f>
        <v/>
      </c>
      <c r="AF845" s="64" t="str">
        <f>IF($B845="","",(COUNTIFS(Rships!$C$2:$C$9990,$A845,Rships!$D$2:$D$9990,5)))</f>
        <v/>
      </c>
      <c r="AG845" s="64" t="str">
        <f>IF($B845="","",(COUNTIFS(Rships!$C$2:$C$9990,$A845,Rships!$D$2:$D$9990,6)))</f>
        <v/>
      </c>
      <c r="AH845" s="64" t="str">
        <f>IF($B845="","",(COUNTIFS(Rships!$C$2:$C$9990,$A845,Rships!$D$2:$D$9990,7)))</f>
        <v/>
      </c>
    </row>
    <row r="846" spans="1:34">
      <c r="A846" s="1" t="s">
        <v>1095</v>
      </c>
      <c r="C846" s="11" t="s">
        <v>19</v>
      </c>
      <c r="D846" s="11" t="s">
        <v>21</v>
      </c>
      <c r="F846" s="15"/>
      <c r="G846" s="15"/>
      <c r="I846" s="17"/>
      <c r="O846" s="11" t="s">
        <v>27</v>
      </c>
      <c r="Y846" s="64">
        <f t="shared" si="26"/>
        <v>0</v>
      </c>
      <c r="AA846" s="64">
        <f t="shared" si="27"/>
        <v>0</v>
      </c>
      <c r="AB846" s="64" t="str">
        <f>IF($B846="","",(COUNTIFS(Rships!$C$2:$C$9990,$A846,Rships!$D$2:$D$9990,1)))</f>
        <v/>
      </c>
      <c r="AC846" s="64" t="str">
        <f>IF($B846="","",(COUNTIFS(Rships!$C$2:$C$9990,$A846,Rships!$D$2:$D$9990,2)))</f>
        <v/>
      </c>
      <c r="AD846" s="64" t="str">
        <f>IF($B846="","",(COUNTIFS(Rships!$C$2:$C$9990,$A846,Rships!$D$2:$D$9990,3)))</f>
        <v/>
      </c>
      <c r="AE846" s="64" t="str">
        <f>IF($B846="","",(COUNTIFS(Rships!$C$2:$C$9990,$A846,Rships!$D$2:$D$9990,4)))</f>
        <v/>
      </c>
      <c r="AF846" s="64" t="str">
        <f>IF($B846="","",(COUNTIFS(Rships!$C$2:$C$9990,$A846,Rships!$D$2:$D$9990,5)))</f>
        <v/>
      </c>
      <c r="AG846" s="64" t="str">
        <f>IF($B846="","",(COUNTIFS(Rships!$C$2:$C$9990,$A846,Rships!$D$2:$D$9990,6)))</f>
        <v/>
      </c>
      <c r="AH846" s="64" t="str">
        <f>IF($B846="","",(COUNTIFS(Rships!$C$2:$C$9990,$A846,Rships!$D$2:$D$9990,7)))</f>
        <v/>
      </c>
    </row>
    <row r="847" spans="1:34">
      <c r="A847" s="1" t="s">
        <v>1096</v>
      </c>
      <c r="C847" s="11" t="s">
        <v>19</v>
      </c>
      <c r="D847" s="11" t="s">
        <v>21</v>
      </c>
      <c r="F847" s="15"/>
      <c r="G847" s="15"/>
      <c r="I847" s="17"/>
      <c r="O847" s="11" t="s">
        <v>27</v>
      </c>
      <c r="Y847" s="64">
        <f t="shared" si="26"/>
        <v>0</v>
      </c>
      <c r="AA847" s="64">
        <f t="shared" si="27"/>
        <v>0</v>
      </c>
      <c r="AB847" s="64" t="str">
        <f>IF($B847="","",(COUNTIFS(Rships!$C$2:$C$9990,$A847,Rships!$D$2:$D$9990,1)))</f>
        <v/>
      </c>
      <c r="AC847" s="64" t="str">
        <f>IF($B847="","",(COUNTIFS(Rships!$C$2:$C$9990,$A847,Rships!$D$2:$D$9990,2)))</f>
        <v/>
      </c>
      <c r="AD847" s="64" t="str">
        <f>IF($B847="","",(COUNTIFS(Rships!$C$2:$C$9990,$A847,Rships!$D$2:$D$9990,3)))</f>
        <v/>
      </c>
      <c r="AE847" s="64" t="str">
        <f>IF($B847="","",(COUNTIFS(Rships!$C$2:$C$9990,$A847,Rships!$D$2:$D$9990,4)))</f>
        <v/>
      </c>
      <c r="AF847" s="64" t="str">
        <f>IF($B847="","",(COUNTIFS(Rships!$C$2:$C$9990,$A847,Rships!$D$2:$D$9990,5)))</f>
        <v/>
      </c>
      <c r="AG847" s="64" t="str">
        <f>IF($B847="","",(COUNTIFS(Rships!$C$2:$C$9990,$A847,Rships!$D$2:$D$9990,6)))</f>
        <v/>
      </c>
      <c r="AH847" s="64" t="str">
        <f>IF($B847="","",(COUNTIFS(Rships!$C$2:$C$9990,$A847,Rships!$D$2:$D$9990,7)))</f>
        <v/>
      </c>
    </row>
    <row r="848" spans="1:34">
      <c r="A848" s="1" t="s">
        <v>1097</v>
      </c>
      <c r="C848" s="11" t="s">
        <v>19</v>
      </c>
      <c r="D848" s="11" t="s">
        <v>21</v>
      </c>
      <c r="F848" s="15"/>
      <c r="G848" s="15"/>
      <c r="I848" s="17"/>
      <c r="O848" s="11" t="s">
        <v>27</v>
      </c>
      <c r="Y848" s="64">
        <f t="shared" si="26"/>
        <v>0</v>
      </c>
      <c r="AA848" s="64">
        <f t="shared" si="27"/>
        <v>0</v>
      </c>
      <c r="AB848" s="64" t="str">
        <f>IF($B848="","",(COUNTIFS(Rships!$C$2:$C$9990,$A848,Rships!$D$2:$D$9990,1)))</f>
        <v/>
      </c>
      <c r="AC848" s="64" t="str">
        <f>IF($B848="","",(COUNTIFS(Rships!$C$2:$C$9990,$A848,Rships!$D$2:$D$9990,2)))</f>
        <v/>
      </c>
      <c r="AD848" s="64" t="str">
        <f>IF($B848="","",(COUNTIFS(Rships!$C$2:$C$9990,$A848,Rships!$D$2:$D$9990,3)))</f>
        <v/>
      </c>
      <c r="AE848" s="64" t="str">
        <f>IF($B848="","",(COUNTIFS(Rships!$C$2:$C$9990,$A848,Rships!$D$2:$D$9990,4)))</f>
        <v/>
      </c>
      <c r="AF848" s="64" t="str">
        <f>IF($B848="","",(COUNTIFS(Rships!$C$2:$C$9990,$A848,Rships!$D$2:$D$9990,5)))</f>
        <v/>
      </c>
      <c r="AG848" s="64" t="str">
        <f>IF($B848="","",(COUNTIFS(Rships!$C$2:$C$9990,$A848,Rships!$D$2:$D$9990,6)))</f>
        <v/>
      </c>
      <c r="AH848" s="64" t="str">
        <f>IF($B848="","",(COUNTIFS(Rships!$C$2:$C$9990,$A848,Rships!$D$2:$D$9990,7)))</f>
        <v/>
      </c>
    </row>
    <row r="849" spans="1:34">
      <c r="A849" s="1" t="s">
        <v>1098</v>
      </c>
      <c r="C849" s="11" t="s">
        <v>19</v>
      </c>
      <c r="D849" s="11" t="s">
        <v>21</v>
      </c>
      <c r="F849" s="15"/>
      <c r="G849" s="15"/>
      <c r="I849" s="17"/>
      <c r="O849" s="11" t="s">
        <v>27</v>
      </c>
      <c r="Y849" s="64">
        <f t="shared" si="26"/>
        <v>0</v>
      </c>
      <c r="AA849" s="64">
        <f t="shared" si="27"/>
        <v>0</v>
      </c>
      <c r="AB849" s="64" t="str">
        <f>IF($B849="","",(COUNTIFS(Rships!$C$2:$C$9990,$A849,Rships!$D$2:$D$9990,1)))</f>
        <v/>
      </c>
      <c r="AC849" s="64" t="str">
        <f>IF($B849="","",(COUNTIFS(Rships!$C$2:$C$9990,$A849,Rships!$D$2:$D$9990,2)))</f>
        <v/>
      </c>
      <c r="AD849" s="64" t="str">
        <f>IF($B849="","",(COUNTIFS(Rships!$C$2:$C$9990,$A849,Rships!$D$2:$D$9990,3)))</f>
        <v/>
      </c>
      <c r="AE849" s="64" t="str">
        <f>IF($B849="","",(COUNTIFS(Rships!$C$2:$C$9990,$A849,Rships!$D$2:$D$9990,4)))</f>
        <v/>
      </c>
      <c r="AF849" s="64" t="str">
        <f>IF($B849="","",(COUNTIFS(Rships!$C$2:$C$9990,$A849,Rships!$D$2:$D$9990,5)))</f>
        <v/>
      </c>
      <c r="AG849" s="64" t="str">
        <f>IF($B849="","",(COUNTIFS(Rships!$C$2:$C$9990,$A849,Rships!$D$2:$D$9990,6)))</f>
        <v/>
      </c>
      <c r="AH849" s="64" t="str">
        <f>IF($B849="","",(COUNTIFS(Rships!$C$2:$C$9990,$A849,Rships!$D$2:$D$9990,7)))</f>
        <v/>
      </c>
    </row>
    <row r="850" spans="1:34">
      <c r="A850" s="1" t="s">
        <v>1099</v>
      </c>
      <c r="C850" s="11" t="s">
        <v>19</v>
      </c>
      <c r="D850" s="11" t="s">
        <v>21</v>
      </c>
      <c r="F850" s="15"/>
      <c r="G850" s="15"/>
      <c r="I850" s="17"/>
      <c r="O850" s="11" t="s">
        <v>27</v>
      </c>
      <c r="Y850" s="64">
        <f t="shared" si="26"/>
        <v>0</v>
      </c>
      <c r="AA850" s="64">
        <f t="shared" si="27"/>
        <v>0</v>
      </c>
      <c r="AB850" s="64" t="str">
        <f>IF($B850="","",(COUNTIFS(Rships!$C$2:$C$9990,$A850,Rships!$D$2:$D$9990,1)))</f>
        <v/>
      </c>
      <c r="AC850" s="64" t="str">
        <f>IF($B850="","",(COUNTIFS(Rships!$C$2:$C$9990,$A850,Rships!$D$2:$D$9990,2)))</f>
        <v/>
      </c>
      <c r="AD850" s="64" t="str">
        <f>IF($B850="","",(COUNTIFS(Rships!$C$2:$C$9990,$A850,Rships!$D$2:$D$9990,3)))</f>
        <v/>
      </c>
      <c r="AE850" s="64" t="str">
        <f>IF($B850="","",(COUNTIFS(Rships!$C$2:$C$9990,$A850,Rships!$D$2:$D$9990,4)))</f>
        <v/>
      </c>
      <c r="AF850" s="64" t="str">
        <f>IF($B850="","",(COUNTIFS(Rships!$C$2:$C$9990,$A850,Rships!$D$2:$D$9990,5)))</f>
        <v/>
      </c>
      <c r="AG850" s="64" t="str">
        <f>IF($B850="","",(COUNTIFS(Rships!$C$2:$C$9990,$A850,Rships!$D$2:$D$9990,6)))</f>
        <v/>
      </c>
      <c r="AH850" s="64" t="str">
        <f>IF($B850="","",(COUNTIFS(Rships!$C$2:$C$9990,$A850,Rships!$D$2:$D$9990,7)))</f>
        <v/>
      </c>
    </row>
    <row r="851" spans="1:34">
      <c r="A851" s="1" t="s">
        <v>1100</v>
      </c>
      <c r="C851" s="11" t="s">
        <v>19</v>
      </c>
      <c r="D851" s="11" t="s">
        <v>21</v>
      </c>
      <c r="F851" s="15"/>
      <c r="G851" s="15"/>
      <c r="I851" s="17"/>
      <c r="O851" s="11" t="s">
        <v>27</v>
      </c>
      <c r="Y851" s="64">
        <f t="shared" si="26"/>
        <v>0</v>
      </c>
      <c r="AA851" s="64">
        <f t="shared" si="27"/>
        <v>0</v>
      </c>
      <c r="AB851" s="64" t="str">
        <f>IF($B851="","",(COUNTIFS(Rships!$C$2:$C$9990,$A851,Rships!$D$2:$D$9990,1)))</f>
        <v/>
      </c>
      <c r="AC851" s="64" t="str">
        <f>IF($B851="","",(COUNTIFS(Rships!$C$2:$C$9990,$A851,Rships!$D$2:$D$9990,2)))</f>
        <v/>
      </c>
      <c r="AD851" s="64" t="str">
        <f>IF($B851="","",(COUNTIFS(Rships!$C$2:$C$9990,$A851,Rships!$D$2:$D$9990,3)))</f>
        <v/>
      </c>
      <c r="AE851" s="64" t="str">
        <f>IF($B851="","",(COUNTIFS(Rships!$C$2:$C$9990,$A851,Rships!$D$2:$D$9990,4)))</f>
        <v/>
      </c>
      <c r="AF851" s="64" t="str">
        <f>IF($B851="","",(COUNTIFS(Rships!$C$2:$C$9990,$A851,Rships!$D$2:$D$9990,5)))</f>
        <v/>
      </c>
      <c r="AG851" s="64" t="str">
        <f>IF($B851="","",(COUNTIFS(Rships!$C$2:$C$9990,$A851,Rships!$D$2:$D$9990,6)))</f>
        <v/>
      </c>
      <c r="AH851" s="64" t="str">
        <f>IF($B851="","",(COUNTIFS(Rships!$C$2:$C$9990,$A851,Rships!$D$2:$D$9990,7)))</f>
        <v/>
      </c>
    </row>
    <row r="852" spans="1:34">
      <c r="A852" s="1" t="s">
        <v>1101</v>
      </c>
      <c r="C852" s="11" t="s">
        <v>19</v>
      </c>
      <c r="D852" s="11" t="s">
        <v>21</v>
      </c>
      <c r="F852" s="15"/>
      <c r="G852" s="15"/>
      <c r="I852" s="17"/>
      <c r="O852" s="11" t="s">
        <v>27</v>
      </c>
      <c r="Y852" s="64">
        <f t="shared" si="26"/>
        <v>0</v>
      </c>
      <c r="AA852" s="64">
        <f t="shared" si="27"/>
        <v>0</v>
      </c>
      <c r="AB852" s="64" t="str">
        <f>IF($B852="","",(COUNTIFS(Rships!$C$2:$C$9990,$A852,Rships!$D$2:$D$9990,1)))</f>
        <v/>
      </c>
      <c r="AC852" s="64" t="str">
        <f>IF($B852="","",(COUNTIFS(Rships!$C$2:$C$9990,$A852,Rships!$D$2:$D$9990,2)))</f>
        <v/>
      </c>
      <c r="AD852" s="64" t="str">
        <f>IF($B852="","",(COUNTIFS(Rships!$C$2:$C$9990,$A852,Rships!$D$2:$D$9990,3)))</f>
        <v/>
      </c>
      <c r="AE852" s="64" t="str">
        <f>IF($B852="","",(COUNTIFS(Rships!$C$2:$C$9990,$A852,Rships!$D$2:$D$9990,4)))</f>
        <v/>
      </c>
      <c r="AF852" s="64" t="str">
        <f>IF($B852="","",(COUNTIFS(Rships!$C$2:$C$9990,$A852,Rships!$D$2:$D$9990,5)))</f>
        <v/>
      </c>
      <c r="AG852" s="64" t="str">
        <f>IF($B852="","",(COUNTIFS(Rships!$C$2:$C$9990,$A852,Rships!$D$2:$D$9990,6)))</f>
        <v/>
      </c>
      <c r="AH852" s="64" t="str">
        <f>IF($B852="","",(COUNTIFS(Rships!$C$2:$C$9990,$A852,Rships!$D$2:$D$9990,7)))</f>
        <v/>
      </c>
    </row>
    <row r="853" spans="1:34">
      <c r="A853" s="1" t="s">
        <v>1102</v>
      </c>
      <c r="C853" s="11" t="s">
        <v>19</v>
      </c>
      <c r="D853" s="11" t="s">
        <v>21</v>
      </c>
      <c r="F853" s="15"/>
      <c r="G853" s="15"/>
      <c r="I853" s="17"/>
      <c r="O853" s="11" t="s">
        <v>27</v>
      </c>
      <c r="Y853" s="64">
        <f t="shared" si="26"/>
        <v>0</v>
      </c>
      <c r="AA853" s="64">
        <f t="shared" si="27"/>
        <v>0</v>
      </c>
      <c r="AB853" s="64" t="str">
        <f>IF($B853="","",(COUNTIFS(Rships!$C$2:$C$9990,$A853,Rships!$D$2:$D$9990,1)))</f>
        <v/>
      </c>
      <c r="AC853" s="64" t="str">
        <f>IF($B853="","",(COUNTIFS(Rships!$C$2:$C$9990,$A853,Rships!$D$2:$D$9990,2)))</f>
        <v/>
      </c>
      <c r="AD853" s="64" t="str">
        <f>IF($B853="","",(COUNTIFS(Rships!$C$2:$C$9990,$A853,Rships!$D$2:$D$9990,3)))</f>
        <v/>
      </c>
      <c r="AE853" s="64" t="str">
        <f>IF($B853="","",(COUNTIFS(Rships!$C$2:$C$9990,$A853,Rships!$D$2:$D$9990,4)))</f>
        <v/>
      </c>
      <c r="AF853" s="64" t="str">
        <f>IF($B853="","",(COUNTIFS(Rships!$C$2:$C$9990,$A853,Rships!$D$2:$D$9990,5)))</f>
        <v/>
      </c>
      <c r="AG853" s="64" t="str">
        <f>IF($B853="","",(COUNTIFS(Rships!$C$2:$C$9990,$A853,Rships!$D$2:$D$9990,6)))</f>
        <v/>
      </c>
      <c r="AH853" s="64" t="str">
        <f>IF($B853="","",(COUNTIFS(Rships!$C$2:$C$9990,$A853,Rships!$D$2:$D$9990,7)))</f>
        <v/>
      </c>
    </row>
    <row r="854" spans="1:34">
      <c r="A854" s="1" t="s">
        <v>1103</v>
      </c>
      <c r="C854" s="11" t="s">
        <v>19</v>
      </c>
      <c r="D854" s="11" t="s">
        <v>21</v>
      </c>
      <c r="F854" s="15"/>
      <c r="G854" s="15"/>
      <c r="I854" s="17"/>
      <c r="O854" s="11" t="s">
        <v>27</v>
      </c>
      <c r="Y854" s="64">
        <f t="shared" si="26"/>
        <v>0</v>
      </c>
      <c r="AA854" s="64">
        <f t="shared" si="27"/>
        <v>0</v>
      </c>
      <c r="AB854" s="64" t="str">
        <f>IF($B854="","",(COUNTIFS(Rships!$C$2:$C$9990,$A854,Rships!$D$2:$D$9990,1)))</f>
        <v/>
      </c>
      <c r="AC854" s="64" t="str">
        <f>IF($B854="","",(COUNTIFS(Rships!$C$2:$C$9990,$A854,Rships!$D$2:$D$9990,2)))</f>
        <v/>
      </c>
      <c r="AD854" s="64" t="str">
        <f>IF($B854="","",(COUNTIFS(Rships!$C$2:$C$9990,$A854,Rships!$D$2:$D$9990,3)))</f>
        <v/>
      </c>
      <c r="AE854" s="64" t="str">
        <f>IF($B854="","",(COUNTIFS(Rships!$C$2:$C$9990,$A854,Rships!$D$2:$D$9990,4)))</f>
        <v/>
      </c>
      <c r="AF854" s="64" t="str">
        <f>IF($B854="","",(COUNTIFS(Rships!$C$2:$C$9990,$A854,Rships!$D$2:$D$9990,5)))</f>
        <v/>
      </c>
      <c r="AG854" s="64" t="str">
        <f>IF($B854="","",(COUNTIFS(Rships!$C$2:$C$9990,$A854,Rships!$D$2:$D$9990,6)))</f>
        <v/>
      </c>
      <c r="AH854" s="64" t="str">
        <f>IF($B854="","",(COUNTIFS(Rships!$C$2:$C$9990,$A854,Rships!$D$2:$D$9990,7)))</f>
        <v/>
      </c>
    </row>
    <row r="855" spans="1:34">
      <c r="A855" s="1" t="s">
        <v>1104</v>
      </c>
      <c r="C855" s="11" t="s">
        <v>19</v>
      </c>
      <c r="D855" s="11" t="s">
        <v>21</v>
      </c>
      <c r="F855" s="15"/>
      <c r="G855" s="15"/>
      <c r="I855" s="17"/>
      <c r="O855" s="11" t="s">
        <v>27</v>
      </c>
      <c r="Y855" s="64">
        <f t="shared" si="26"/>
        <v>0</v>
      </c>
      <c r="AA855" s="64">
        <f t="shared" si="27"/>
        <v>0</v>
      </c>
      <c r="AB855" s="64" t="str">
        <f>IF($B855="","",(COUNTIFS(Rships!$C$2:$C$9990,$A855,Rships!$D$2:$D$9990,1)))</f>
        <v/>
      </c>
      <c r="AC855" s="64" t="str">
        <f>IF($B855="","",(COUNTIFS(Rships!$C$2:$C$9990,$A855,Rships!$D$2:$D$9990,2)))</f>
        <v/>
      </c>
      <c r="AD855" s="64" t="str">
        <f>IF($B855="","",(COUNTIFS(Rships!$C$2:$C$9990,$A855,Rships!$D$2:$D$9990,3)))</f>
        <v/>
      </c>
      <c r="AE855" s="64" t="str">
        <f>IF($B855="","",(COUNTIFS(Rships!$C$2:$C$9990,$A855,Rships!$D$2:$D$9990,4)))</f>
        <v/>
      </c>
      <c r="AF855" s="64" t="str">
        <f>IF($B855="","",(COUNTIFS(Rships!$C$2:$C$9990,$A855,Rships!$D$2:$D$9990,5)))</f>
        <v/>
      </c>
      <c r="AG855" s="64" t="str">
        <f>IF($B855="","",(COUNTIFS(Rships!$C$2:$C$9990,$A855,Rships!$D$2:$D$9990,6)))</f>
        <v/>
      </c>
      <c r="AH855" s="64" t="str">
        <f>IF($B855="","",(COUNTIFS(Rships!$C$2:$C$9990,$A855,Rships!$D$2:$D$9990,7)))</f>
        <v/>
      </c>
    </row>
    <row r="856" spans="1:34">
      <c r="A856" s="1" t="s">
        <v>1105</v>
      </c>
      <c r="C856" s="11" t="s">
        <v>19</v>
      </c>
      <c r="D856" s="11" t="s">
        <v>21</v>
      </c>
      <c r="F856" s="15"/>
      <c r="G856" s="15"/>
      <c r="I856" s="17"/>
      <c r="O856" s="11" t="s">
        <v>27</v>
      </c>
      <c r="Y856" s="64">
        <f t="shared" si="26"/>
        <v>0</v>
      </c>
      <c r="AA856" s="64">
        <f t="shared" si="27"/>
        <v>0</v>
      </c>
      <c r="AB856" s="64" t="str">
        <f>IF($B856="","",(COUNTIFS(Rships!$C$2:$C$9990,$A856,Rships!$D$2:$D$9990,1)))</f>
        <v/>
      </c>
      <c r="AC856" s="64" t="str">
        <f>IF($B856="","",(COUNTIFS(Rships!$C$2:$C$9990,$A856,Rships!$D$2:$D$9990,2)))</f>
        <v/>
      </c>
      <c r="AD856" s="64" t="str">
        <f>IF($B856="","",(COUNTIFS(Rships!$C$2:$C$9990,$A856,Rships!$D$2:$D$9990,3)))</f>
        <v/>
      </c>
      <c r="AE856" s="64" t="str">
        <f>IF($B856="","",(COUNTIFS(Rships!$C$2:$C$9990,$A856,Rships!$D$2:$D$9990,4)))</f>
        <v/>
      </c>
      <c r="AF856" s="64" t="str">
        <f>IF($B856="","",(COUNTIFS(Rships!$C$2:$C$9990,$A856,Rships!$D$2:$D$9990,5)))</f>
        <v/>
      </c>
      <c r="AG856" s="64" t="str">
        <f>IF($B856="","",(COUNTIFS(Rships!$C$2:$C$9990,$A856,Rships!$D$2:$D$9990,6)))</f>
        <v/>
      </c>
      <c r="AH856" s="64" t="str">
        <f>IF($B856="","",(COUNTIFS(Rships!$C$2:$C$9990,$A856,Rships!$D$2:$D$9990,7)))</f>
        <v/>
      </c>
    </row>
    <row r="857" spans="1:34">
      <c r="A857" s="1" t="s">
        <v>1106</v>
      </c>
      <c r="C857" s="11" t="s">
        <v>19</v>
      </c>
      <c r="D857" s="11" t="s">
        <v>21</v>
      </c>
      <c r="F857" s="15"/>
      <c r="G857" s="15"/>
      <c r="I857" s="17"/>
      <c r="O857" s="11" t="s">
        <v>27</v>
      </c>
      <c r="Y857" s="64">
        <f t="shared" si="26"/>
        <v>0</v>
      </c>
      <c r="AA857" s="64">
        <f t="shared" si="27"/>
        <v>0</v>
      </c>
      <c r="AB857" s="64" t="str">
        <f>IF($B857="","",(COUNTIFS(Rships!$C$2:$C$9990,$A857,Rships!$D$2:$D$9990,1)))</f>
        <v/>
      </c>
      <c r="AC857" s="64" t="str">
        <f>IF($B857="","",(COUNTIFS(Rships!$C$2:$C$9990,$A857,Rships!$D$2:$D$9990,2)))</f>
        <v/>
      </c>
      <c r="AD857" s="64" t="str">
        <f>IF($B857="","",(COUNTIFS(Rships!$C$2:$C$9990,$A857,Rships!$D$2:$D$9990,3)))</f>
        <v/>
      </c>
      <c r="AE857" s="64" t="str">
        <f>IF($B857="","",(COUNTIFS(Rships!$C$2:$C$9990,$A857,Rships!$D$2:$D$9990,4)))</f>
        <v/>
      </c>
      <c r="AF857" s="64" t="str">
        <f>IF($B857="","",(COUNTIFS(Rships!$C$2:$C$9990,$A857,Rships!$D$2:$D$9990,5)))</f>
        <v/>
      </c>
      <c r="AG857" s="64" t="str">
        <f>IF($B857="","",(COUNTIFS(Rships!$C$2:$C$9990,$A857,Rships!$D$2:$D$9990,6)))</f>
        <v/>
      </c>
      <c r="AH857" s="64" t="str">
        <f>IF($B857="","",(COUNTIFS(Rships!$C$2:$C$9990,$A857,Rships!$D$2:$D$9990,7)))</f>
        <v/>
      </c>
    </row>
    <row r="858" spans="1:34">
      <c r="A858" s="1" t="s">
        <v>1107</v>
      </c>
      <c r="C858" s="11" t="s">
        <v>19</v>
      </c>
      <c r="D858" s="11" t="s">
        <v>21</v>
      </c>
      <c r="F858" s="15"/>
      <c r="G858" s="15"/>
      <c r="I858" s="17"/>
      <c r="O858" s="11" t="s">
        <v>27</v>
      </c>
      <c r="Y858" s="64">
        <f t="shared" si="26"/>
        <v>0</v>
      </c>
      <c r="AA858" s="64">
        <f t="shared" si="27"/>
        <v>0</v>
      </c>
      <c r="AB858" s="64" t="str">
        <f>IF($B858="","",(COUNTIFS(Rships!$C$2:$C$9990,$A858,Rships!$D$2:$D$9990,1)))</f>
        <v/>
      </c>
      <c r="AC858" s="64" t="str">
        <f>IF($B858="","",(COUNTIFS(Rships!$C$2:$C$9990,$A858,Rships!$D$2:$D$9990,2)))</f>
        <v/>
      </c>
      <c r="AD858" s="64" t="str">
        <f>IF($B858="","",(COUNTIFS(Rships!$C$2:$C$9990,$A858,Rships!$D$2:$D$9990,3)))</f>
        <v/>
      </c>
      <c r="AE858" s="64" t="str">
        <f>IF($B858="","",(COUNTIFS(Rships!$C$2:$C$9990,$A858,Rships!$D$2:$D$9990,4)))</f>
        <v/>
      </c>
      <c r="AF858" s="64" t="str">
        <f>IF($B858="","",(COUNTIFS(Rships!$C$2:$C$9990,$A858,Rships!$D$2:$D$9990,5)))</f>
        <v/>
      </c>
      <c r="AG858" s="64" t="str">
        <f>IF($B858="","",(COUNTIFS(Rships!$C$2:$C$9990,$A858,Rships!$D$2:$D$9990,6)))</f>
        <v/>
      </c>
      <c r="AH858" s="64" t="str">
        <f>IF($B858="","",(COUNTIFS(Rships!$C$2:$C$9990,$A858,Rships!$D$2:$D$9990,7)))</f>
        <v/>
      </c>
    </row>
    <row r="859" spans="1:34">
      <c r="A859" s="1" t="s">
        <v>1108</v>
      </c>
      <c r="C859" s="11" t="s">
        <v>19</v>
      </c>
      <c r="D859" s="11" t="s">
        <v>21</v>
      </c>
      <c r="F859" s="15"/>
      <c r="G859" s="15"/>
      <c r="I859" s="17"/>
      <c r="O859" s="11" t="s">
        <v>27</v>
      </c>
      <c r="Y859" s="64">
        <f t="shared" si="26"/>
        <v>0</v>
      </c>
      <c r="AA859" s="64">
        <f t="shared" si="27"/>
        <v>0</v>
      </c>
      <c r="AB859" s="64" t="str">
        <f>IF($B859="","",(COUNTIFS(Rships!$C$2:$C$9990,$A859,Rships!$D$2:$D$9990,1)))</f>
        <v/>
      </c>
      <c r="AC859" s="64" t="str">
        <f>IF($B859="","",(COUNTIFS(Rships!$C$2:$C$9990,$A859,Rships!$D$2:$D$9990,2)))</f>
        <v/>
      </c>
      <c r="AD859" s="64" t="str">
        <f>IF($B859="","",(COUNTIFS(Rships!$C$2:$C$9990,$A859,Rships!$D$2:$D$9990,3)))</f>
        <v/>
      </c>
      <c r="AE859" s="64" t="str">
        <f>IF($B859="","",(COUNTIFS(Rships!$C$2:$C$9990,$A859,Rships!$D$2:$D$9990,4)))</f>
        <v/>
      </c>
      <c r="AF859" s="64" t="str">
        <f>IF($B859="","",(COUNTIFS(Rships!$C$2:$C$9990,$A859,Rships!$D$2:$D$9990,5)))</f>
        <v/>
      </c>
      <c r="AG859" s="64" t="str">
        <f>IF($B859="","",(COUNTIFS(Rships!$C$2:$C$9990,$A859,Rships!$D$2:$D$9990,6)))</f>
        <v/>
      </c>
      <c r="AH859" s="64" t="str">
        <f>IF($B859="","",(COUNTIFS(Rships!$C$2:$C$9990,$A859,Rships!$D$2:$D$9990,7)))</f>
        <v/>
      </c>
    </row>
    <row r="860" spans="1:34">
      <c r="A860" s="1" t="s">
        <v>1109</v>
      </c>
      <c r="C860" s="11" t="s">
        <v>19</v>
      </c>
      <c r="D860" s="11" t="s">
        <v>21</v>
      </c>
      <c r="F860" s="15"/>
      <c r="G860" s="15"/>
      <c r="I860" s="17"/>
      <c r="O860" s="11" t="s">
        <v>27</v>
      </c>
      <c r="Y860" s="64">
        <f t="shared" si="26"/>
        <v>0</v>
      </c>
      <c r="AA860" s="64">
        <f t="shared" si="27"/>
        <v>0</v>
      </c>
      <c r="AB860" s="64" t="str">
        <f>IF($B860="","",(COUNTIFS(Rships!$C$2:$C$9990,$A860,Rships!$D$2:$D$9990,1)))</f>
        <v/>
      </c>
      <c r="AC860" s="64" t="str">
        <f>IF($B860="","",(COUNTIFS(Rships!$C$2:$C$9990,$A860,Rships!$D$2:$D$9990,2)))</f>
        <v/>
      </c>
      <c r="AD860" s="64" t="str">
        <f>IF($B860="","",(COUNTIFS(Rships!$C$2:$C$9990,$A860,Rships!$D$2:$D$9990,3)))</f>
        <v/>
      </c>
      <c r="AE860" s="64" t="str">
        <f>IF($B860="","",(COUNTIFS(Rships!$C$2:$C$9990,$A860,Rships!$D$2:$D$9990,4)))</f>
        <v/>
      </c>
      <c r="AF860" s="64" t="str">
        <f>IF($B860="","",(COUNTIFS(Rships!$C$2:$C$9990,$A860,Rships!$D$2:$D$9990,5)))</f>
        <v/>
      </c>
      <c r="AG860" s="64" t="str">
        <f>IF($B860="","",(COUNTIFS(Rships!$C$2:$C$9990,$A860,Rships!$D$2:$D$9990,6)))</f>
        <v/>
      </c>
      <c r="AH860" s="64" t="str">
        <f>IF($B860="","",(COUNTIFS(Rships!$C$2:$C$9990,$A860,Rships!$D$2:$D$9990,7)))</f>
        <v/>
      </c>
    </row>
    <row r="861" spans="1:34">
      <c r="A861" s="1" t="s">
        <v>1110</v>
      </c>
      <c r="C861" s="11" t="s">
        <v>19</v>
      </c>
      <c r="D861" s="11" t="s">
        <v>21</v>
      </c>
      <c r="F861" s="15"/>
      <c r="G861" s="15"/>
      <c r="I861" s="17"/>
      <c r="O861" s="11" t="s">
        <v>27</v>
      </c>
      <c r="Y861" s="64">
        <f t="shared" si="26"/>
        <v>0</v>
      </c>
      <c r="AA861" s="64">
        <f t="shared" si="27"/>
        <v>0</v>
      </c>
      <c r="AB861" s="64" t="str">
        <f>IF($B861="","",(COUNTIFS(Rships!$C$2:$C$9990,$A861,Rships!$D$2:$D$9990,1)))</f>
        <v/>
      </c>
      <c r="AC861" s="64" t="str">
        <f>IF($B861="","",(COUNTIFS(Rships!$C$2:$C$9990,$A861,Rships!$D$2:$D$9990,2)))</f>
        <v/>
      </c>
      <c r="AD861" s="64" t="str">
        <f>IF($B861="","",(COUNTIFS(Rships!$C$2:$C$9990,$A861,Rships!$D$2:$D$9990,3)))</f>
        <v/>
      </c>
      <c r="AE861" s="64" t="str">
        <f>IF($B861="","",(COUNTIFS(Rships!$C$2:$C$9990,$A861,Rships!$D$2:$D$9990,4)))</f>
        <v/>
      </c>
      <c r="AF861" s="64" t="str">
        <f>IF($B861="","",(COUNTIFS(Rships!$C$2:$C$9990,$A861,Rships!$D$2:$D$9990,5)))</f>
        <v/>
      </c>
      <c r="AG861" s="64" t="str">
        <f>IF($B861="","",(COUNTIFS(Rships!$C$2:$C$9990,$A861,Rships!$D$2:$D$9990,6)))</f>
        <v/>
      </c>
      <c r="AH861" s="64" t="str">
        <f>IF($B861="","",(COUNTIFS(Rships!$C$2:$C$9990,$A861,Rships!$D$2:$D$9990,7)))</f>
        <v/>
      </c>
    </row>
    <row r="862" spans="1:34">
      <c r="A862" s="1" t="s">
        <v>1111</v>
      </c>
      <c r="C862" s="11" t="s">
        <v>19</v>
      </c>
      <c r="D862" s="11" t="s">
        <v>21</v>
      </c>
      <c r="F862" s="15"/>
      <c r="G862" s="15"/>
      <c r="I862" s="17"/>
      <c r="O862" s="11" t="s">
        <v>27</v>
      </c>
      <c r="Y862" s="64">
        <f t="shared" si="26"/>
        <v>0</v>
      </c>
      <c r="AA862" s="64">
        <f t="shared" si="27"/>
        <v>0</v>
      </c>
      <c r="AB862" s="64" t="str">
        <f>IF($B862="","",(COUNTIFS(Rships!$C$2:$C$9990,$A862,Rships!$D$2:$D$9990,1)))</f>
        <v/>
      </c>
      <c r="AC862" s="64" t="str">
        <f>IF($B862="","",(COUNTIFS(Rships!$C$2:$C$9990,$A862,Rships!$D$2:$D$9990,2)))</f>
        <v/>
      </c>
      <c r="AD862" s="64" t="str">
        <f>IF($B862="","",(COUNTIFS(Rships!$C$2:$C$9990,$A862,Rships!$D$2:$D$9990,3)))</f>
        <v/>
      </c>
      <c r="AE862" s="64" t="str">
        <f>IF($B862="","",(COUNTIFS(Rships!$C$2:$C$9990,$A862,Rships!$D$2:$D$9990,4)))</f>
        <v/>
      </c>
      <c r="AF862" s="64" t="str">
        <f>IF($B862="","",(COUNTIFS(Rships!$C$2:$C$9990,$A862,Rships!$D$2:$D$9990,5)))</f>
        <v/>
      </c>
      <c r="AG862" s="64" t="str">
        <f>IF($B862="","",(COUNTIFS(Rships!$C$2:$C$9990,$A862,Rships!$D$2:$D$9990,6)))</f>
        <v/>
      </c>
      <c r="AH862" s="64" t="str">
        <f>IF($B862="","",(COUNTIFS(Rships!$C$2:$C$9990,$A862,Rships!$D$2:$D$9990,7)))</f>
        <v/>
      </c>
    </row>
    <row r="863" spans="1:34">
      <c r="A863" s="1" t="s">
        <v>1112</v>
      </c>
      <c r="C863" s="11" t="s">
        <v>19</v>
      </c>
      <c r="D863" s="11" t="s">
        <v>21</v>
      </c>
      <c r="F863" s="15"/>
      <c r="G863" s="15"/>
      <c r="I863" s="17"/>
      <c r="O863" s="11" t="s">
        <v>27</v>
      </c>
      <c r="Y863" s="64">
        <f t="shared" si="26"/>
        <v>0</v>
      </c>
      <c r="AA863" s="64">
        <f t="shared" si="27"/>
        <v>0</v>
      </c>
      <c r="AB863" s="64" t="str">
        <f>IF($B863="","",(COUNTIFS(Rships!$C$2:$C$9990,$A863,Rships!$D$2:$D$9990,1)))</f>
        <v/>
      </c>
      <c r="AC863" s="64" t="str">
        <f>IF($B863="","",(COUNTIFS(Rships!$C$2:$C$9990,$A863,Rships!$D$2:$D$9990,2)))</f>
        <v/>
      </c>
      <c r="AD863" s="64" t="str">
        <f>IF($B863="","",(COUNTIFS(Rships!$C$2:$C$9990,$A863,Rships!$D$2:$D$9990,3)))</f>
        <v/>
      </c>
      <c r="AE863" s="64" t="str">
        <f>IF($B863="","",(COUNTIFS(Rships!$C$2:$C$9990,$A863,Rships!$D$2:$D$9990,4)))</f>
        <v/>
      </c>
      <c r="AF863" s="64" t="str">
        <f>IF($B863="","",(COUNTIFS(Rships!$C$2:$C$9990,$A863,Rships!$D$2:$D$9990,5)))</f>
        <v/>
      </c>
      <c r="AG863" s="64" t="str">
        <f>IF($B863="","",(COUNTIFS(Rships!$C$2:$C$9990,$A863,Rships!$D$2:$D$9990,6)))</f>
        <v/>
      </c>
      <c r="AH863" s="64" t="str">
        <f>IF($B863="","",(COUNTIFS(Rships!$C$2:$C$9990,$A863,Rships!$D$2:$D$9990,7)))</f>
        <v/>
      </c>
    </row>
    <row r="864" spans="1:34">
      <c r="A864" s="1" t="s">
        <v>1113</v>
      </c>
      <c r="C864" s="11" t="s">
        <v>19</v>
      </c>
      <c r="D864" s="11" t="s">
        <v>21</v>
      </c>
      <c r="F864" s="15"/>
      <c r="G864" s="15"/>
      <c r="I864" s="17"/>
      <c r="O864" s="11" t="s">
        <v>27</v>
      </c>
      <c r="Y864" s="64">
        <f t="shared" si="26"/>
        <v>0</v>
      </c>
      <c r="AA864" s="64">
        <f t="shared" si="27"/>
        <v>0</v>
      </c>
      <c r="AB864" s="64" t="str">
        <f>IF($B864="","",(COUNTIFS(Rships!$C$2:$C$9990,$A864,Rships!$D$2:$D$9990,1)))</f>
        <v/>
      </c>
      <c r="AC864" s="64" t="str">
        <f>IF($B864="","",(COUNTIFS(Rships!$C$2:$C$9990,$A864,Rships!$D$2:$D$9990,2)))</f>
        <v/>
      </c>
      <c r="AD864" s="64" t="str">
        <f>IF($B864="","",(COUNTIFS(Rships!$C$2:$C$9990,$A864,Rships!$D$2:$D$9990,3)))</f>
        <v/>
      </c>
      <c r="AE864" s="64" t="str">
        <f>IF($B864="","",(COUNTIFS(Rships!$C$2:$C$9990,$A864,Rships!$D$2:$D$9990,4)))</f>
        <v/>
      </c>
      <c r="AF864" s="64" t="str">
        <f>IF($B864="","",(COUNTIFS(Rships!$C$2:$C$9990,$A864,Rships!$D$2:$D$9990,5)))</f>
        <v/>
      </c>
      <c r="AG864" s="64" t="str">
        <f>IF($B864="","",(COUNTIFS(Rships!$C$2:$C$9990,$A864,Rships!$D$2:$D$9990,6)))</f>
        <v/>
      </c>
      <c r="AH864" s="64" t="str">
        <f>IF($B864="","",(COUNTIFS(Rships!$C$2:$C$9990,$A864,Rships!$D$2:$D$9990,7)))</f>
        <v/>
      </c>
    </row>
    <row r="865" spans="1:34">
      <c r="A865" s="1" t="s">
        <v>1114</v>
      </c>
      <c r="C865" s="11" t="s">
        <v>19</v>
      </c>
      <c r="D865" s="11" t="s">
        <v>21</v>
      </c>
      <c r="F865" s="15"/>
      <c r="G865" s="15"/>
      <c r="I865" s="17"/>
      <c r="O865" s="11" t="s">
        <v>27</v>
      </c>
      <c r="Y865" s="64">
        <f t="shared" si="26"/>
        <v>0</v>
      </c>
      <c r="AA865" s="64">
        <f t="shared" si="27"/>
        <v>0</v>
      </c>
      <c r="AB865" s="64" t="str">
        <f>IF($B865="","",(COUNTIFS(Rships!$C$2:$C$9990,$A865,Rships!$D$2:$D$9990,1)))</f>
        <v/>
      </c>
      <c r="AC865" s="64" t="str">
        <f>IF($B865="","",(COUNTIFS(Rships!$C$2:$C$9990,$A865,Rships!$D$2:$D$9990,2)))</f>
        <v/>
      </c>
      <c r="AD865" s="64" t="str">
        <f>IF($B865="","",(COUNTIFS(Rships!$C$2:$C$9990,$A865,Rships!$D$2:$D$9990,3)))</f>
        <v/>
      </c>
      <c r="AE865" s="64" t="str">
        <f>IF($B865="","",(COUNTIFS(Rships!$C$2:$C$9990,$A865,Rships!$D$2:$D$9990,4)))</f>
        <v/>
      </c>
      <c r="AF865" s="64" t="str">
        <f>IF($B865="","",(COUNTIFS(Rships!$C$2:$C$9990,$A865,Rships!$D$2:$D$9990,5)))</f>
        <v/>
      </c>
      <c r="AG865" s="64" t="str">
        <f>IF($B865="","",(COUNTIFS(Rships!$C$2:$C$9990,$A865,Rships!$D$2:$D$9990,6)))</f>
        <v/>
      </c>
      <c r="AH865" s="64" t="str">
        <f>IF($B865="","",(COUNTIFS(Rships!$C$2:$C$9990,$A865,Rships!$D$2:$D$9990,7)))</f>
        <v/>
      </c>
    </row>
    <row r="866" spans="1:34">
      <c r="A866" s="1" t="s">
        <v>1115</v>
      </c>
      <c r="C866" s="11" t="s">
        <v>19</v>
      </c>
      <c r="D866" s="11" t="s">
        <v>21</v>
      </c>
      <c r="F866" s="15"/>
      <c r="G866" s="15"/>
      <c r="I866" s="17"/>
      <c r="O866" s="11" t="s">
        <v>27</v>
      </c>
      <c r="Y866" s="64">
        <f t="shared" si="26"/>
        <v>0</v>
      </c>
      <c r="AA866" s="64">
        <f t="shared" si="27"/>
        <v>0</v>
      </c>
      <c r="AB866" s="64" t="str">
        <f>IF($B866="","",(COUNTIFS(Rships!$C$2:$C$9990,$A866,Rships!$D$2:$D$9990,1)))</f>
        <v/>
      </c>
      <c r="AC866" s="64" t="str">
        <f>IF($B866="","",(COUNTIFS(Rships!$C$2:$C$9990,$A866,Rships!$D$2:$D$9990,2)))</f>
        <v/>
      </c>
      <c r="AD866" s="64" t="str">
        <f>IF($B866="","",(COUNTIFS(Rships!$C$2:$C$9990,$A866,Rships!$D$2:$D$9990,3)))</f>
        <v/>
      </c>
      <c r="AE866" s="64" t="str">
        <f>IF($B866="","",(COUNTIFS(Rships!$C$2:$C$9990,$A866,Rships!$D$2:$D$9990,4)))</f>
        <v/>
      </c>
      <c r="AF866" s="64" t="str">
        <f>IF($B866="","",(COUNTIFS(Rships!$C$2:$C$9990,$A866,Rships!$D$2:$D$9990,5)))</f>
        <v/>
      </c>
      <c r="AG866" s="64" t="str">
        <f>IF($B866="","",(COUNTIFS(Rships!$C$2:$C$9990,$A866,Rships!$D$2:$D$9990,6)))</f>
        <v/>
      </c>
      <c r="AH866" s="64" t="str">
        <f>IF($B866="","",(COUNTIFS(Rships!$C$2:$C$9990,$A866,Rships!$D$2:$D$9990,7)))</f>
        <v/>
      </c>
    </row>
    <row r="867" spans="1:34">
      <c r="A867" s="1" t="s">
        <v>1116</v>
      </c>
      <c r="C867" s="11" t="s">
        <v>19</v>
      </c>
      <c r="D867" s="11" t="s">
        <v>21</v>
      </c>
      <c r="F867" s="15"/>
      <c r="G867" s="15"/>
      <c r="I867" s="17"/>
      <c r="O867" s="11" t="s">
        <v>27</v>
      </c>
      <c r="Y867" s="64">
        <f t="shared" si="26"/>
        <v>0</v>
      </c>
      <c r="AA867" s="64">
        <f t="shared" si="27"/>
        <v>0</v>
      </c>
      <c r="AB867" s="64" t="str">
        <f>IF($B867="","",(COUNTIFS(Rships!$C$2:$C$9990,$A867,Rships!$D$2:$D$9990,1)))</f>
        <v/>
      </c>
      <c r="AC867" s="64" t="str">
        <f>IF($B867="","",(COUNTIFS(Rships!$C$2:$C$9990,$A867,Rships!$D$2:$D$9990,2)))</f>
        <v/>
      </c>
      <c r="AD867" s="64" t="str">
        <f>IF($B867="","",(COUNTIFS(Rships!$C$2:$C$9990,$A867,Rships!$D$2:$D$9990,3)))</f>
        <v/>
      </c>
      <c r="AE867" s="64" t="str">
        <f>IF($B867="","",(COUNTIFS(Rships!$C$2:$C$9990,$A867,Rships!$D$2:$D$9990,4)))</f>
        <v/>
      </c>
      <c r="AF867" s="64" t="str">
        <f>IF($B867="","",(COUNTIFS(Rships!$C$2:$C$9990,$A867,Rships!$D$2:$D$9990,5)))</f>
        <v/>
      </c>
      <c r="AG867" s="64" t="str">
        <f>IF($B867="","",(COUNTIFS(Rships!$C$2:$C$9990,$A867,Rships!$D$2:$D$9990,6)))</f>
        <v/>
      </c>
      <c r="AH867" s="64" t="str">
        <f>IF($B867="","",(COUNTIFS(Rships!$C$2:$C$9990,$A867,Rships!$D$2:$D$9990,7)))</f>
        <v/>
      </c>
    </row>
    <row r="868" spans="1:34">
      <c r="A868" s="1" t="s">
        <v>1117</v>
      </c>
      <c r="C868" s="11" t="s">
        <v>19</v>
      </c>
      <c r="D868" s="11" t="s">
        <v>21</v>
      </c>
      <c r="F868" s="15"/>
      <c r="G868" s="15"/>
      <c r="I868" s="17"/>
      <c r="O868" s="11" t="s">
        <v>27</v>
      </c>
      <c r="Y868" s="64">
        <f t="shared" si="26"/>
        <v>0</v>
      </c>
      <c r="AA868" s="64">
        <f t="shared" si="27"/>
        <v>0</v>
      </c>
      <c r="AB868" s="64" t="str">
        <f>IF($B868="","",(COUNTIFS(Rships!$C$2:$C$9990,$A868,Rships!$D$2:$D$9990,1)))</f>
        <v/>
      </c>
      <c r="AC868" s="64" t="str">
        <f>IF($B868="","",(COUNTIFS(Rships!$C$2:$C$9990,$A868,Rships!$D$2:$D$9990,2)))</f>
        <v/>
      </c>
      <c r="AD868" s="64" t="str">
        <f>IF($B868="","",(COUNTIFS(Rships!$C$2:$C$9990,$A868,Rships!$D$2:$D$9990,3)))</f>
        <v/>
      </c>
      <c r="AE868" s="64" t="str">
        <f>IF($B868="","",(COUNTIFS(Rships!$C$2:$C$9990,$A868,Rships!$D$2:$D$9990,4)))</f>
        <v/>
      </c>
      <c r="AF868" s="64" t="str">
        <f>IF($B868="","",(COUNTIFS(Rships!$C$2:$C$9990,$A868,Rships!$D$2:$D$9990,5)))</f>
        <v/>
      </c>
      <c r="AG868" s="64" t="str">
        <f>IF($B868="","",(COUNTIFS(Rships!$C$2:$C$9990,$A868,Rships!$D$2:$D$9990,6)))</f>
        <v/>
      </c>
      <c r="AH868" s="64" t="str">
        <f>IF($B868="","",(COUNTIFS(Rships!$C$2:$C$9990,$A868,Rships!$D$2:$D$9990,7)))</f>
        <v/>
      </c>
    </row>
    <row r="869" spans="1:34">
      <c r="A869" s="1" t="s">
        <v>1118</v>
      </c>
      <c r="C869" s="11" t="s">
        <v>19</v>
      </c>
      <c r="D869" s="11" t="s">
        <v>21</v>
      </c>
      <c r="F869" s="15"/>
      <c r="G869" s="15"/>
      <c r="I869" s="17"/>
      <c r="O869" s="11" t="s">
        <v>27</v>
      </c>
      <c r="Y869" s="64">
        <f t="shared" si="26"/>
        <v>0</v>
      </c>
      <c r="AA869" s="64">
        <f t="shared" si="27"/>
        <v>0</v>
      </c>
      <c r="AB869" s="64" t="str">
        <f>IF($B869="","",(COUNTIFS(Rships!$C$2:$C$9990,$A869,Rships!$D$2:$D$9990,1)))</f>
        <v/>
      </c>
      <c r="AC869" s="64" t="str">
        <f>IF($B869="","",(COUNTIFS(Rships!$C$2:$C$9990,$A869,Rships!$D$2:$D$9990,2)))</f>
        <v/>
      </c>
      <c r="AD869" s="64" t="str">
        <f>IF($B869="","",(COUNTIFS(Rships!$C$2:$C$9990,$A869,Rships!$D$2:$D$9990,3)))</f>
        <v/>
      </c>
      <c r="AE869" s="64" t="str">
        <f>IF($B869="","",(COUNTIFS(Rships!$C$2:$C$9990,$A869,Rships!$D$2:$D$9990,4)))</f>
        <v/>
      </c>
      <c r="AF869" s="64" t="str">
        <f>IF($B869="","",(COUNTIFS(Rships!$C$2:$C$9990,$A869,Rships!$D$2:$D$9990,5)))</f>
        <v/>
      </c>
      <c r="AG869" s="64" t="str">
        <f>IF($B869="","",(COUNTIFS(Rships!$C$2:$C$9990,$A869,Rships!$D$2:$D$9990,6)))</f>
        <v/>
      </c>
      <c r="AH869" s="64" t="str">
        <f>IF($B869="","",(COUNTIFS(Rships!$C$2:$C$9990,$A869,Rships!$D$2:$D$9990,7)))</f>
        <v/>
      </c>
    </row>
    <row r="870" spans="1:34">
      <c r="A870" s="1" t="s">
        <v>1119</v>
      </c>
      <c r="C870" s="11" t="s">
        <v>19</v>
      </c>
      <c r="D870" s="11" t="s">
        <v>21</v>
      </c>
      <c r="F870" s="15"/>
      <c r="G870" s="15"/>
      <c r="I870" s="17"/>
      <c r="O870" s="11" t="s">
        <v>27</v>
      </c>
      <c r="Y870" s="64">
        <f t="shared" si="26"/>
        <v>0</v>
      </c>
      <c r="AA870" s="64">
        <f t="shared" si="27"/>
        <v>0</v>
      </c>
      <c r="AB870" s="64" t="str">
        <f>IF($B870="","",(COUNTIFS(Rships!$C$2:$C$9990,$A870,Rships!$D$2:$D$9990,1)))</f>
        <v/>
      </c>
      <c r="AC870" s="64" t="str">
        <f>IF($B870="","",(COUNTIFS(Rships!$C$2:$C$9990,$A870,Rships!$D$2:$D$9990,2)))</f>
        <v/>
      </c>
      <c r="AD870" s="64" t="str">
        <f>IF($B870="","",(COUNTIFS(Rships!$C$2:$C$9990,$A870,Rships!$D$2:$D$9990,3)))</f>
        <v/>
      </c>
      <c r="AE870" s="64" t="str">
        <f>IF($B870="","",(COUNTIFS(Rships!$C$2:$C$9990,$A870,Rships!$D$2:$D$9990,4)))</f>
        <v/>
      </c>
      <c r="AF870" s="64" t="str">
        <f>IF($B870="","",(COUNTIFS(Rships!$C$2:$C$9990,$A870,Rships!$D$2:$D$9990,5)))</f>
        <v/>
      </c>
      <c r="AG870" s="64" t="str">
        <f>IF($B870="","",(COUNTIFS(Rships!$C$2:$C$9990,$A870,Rships!$D$2:$D$9990,6)))</f>
        <v/>
      </c>
      <c r="AH870" s="64" t="str">
        <f>IF($B870="","",(COUNTIFS(Rships!$C$2:$C$9990,$A870,Rships!$D$2:$D$9990,7)))</f>
        <v/>
      </c>
    </row>
    <row r="871" spans="1:34">
      <c r="A871" s="1" t="s">
        <v>1120</v>
      </c>
      <c r="C871" s="11" t="s">
        <v>19</v>
      </c>
      <c r="D871" s="11" t="s">
        <v>21</v>
      </c>
      <c r="F871" s="15"/>
      <c r="G871" s="15"/>
      <c r="I871" s="17"/>
      <c r="O871" s="11" t="s">
        <v>27</v>
      </c>
      <c r="Y871" s="64">
        <f t="shared" si="26"/>
        <v>0</v>
      </c>
      <c r="AA871" s="64">
        <f t="shared" si="27"/>
        <v>0</v>
      </c>
      <c r="AB871" s="64" t="str">
        <f>IF($B871="","",(COUNTIFS(Rships!$C$2:$C$9990,$A871,Rships!$D$2:$D$9990,1)))</f>
        <v/>
      </c>
      <c r="AC871" s="64" t="str">
        <f>IF($B871="","",(COUNTIFS(Rships!$C$2:$C$9990,$A871,Rships!$D$2:$D$9990,2)))</f>
        <v/>
      </c>
      <c r="AD871" s="64" t="str">
        <f>IF($B871="","",(COUNTIFS(Rships!$C$2:$C$9990,$A871,Rships!$D$2:$D$9990,3)))</f>
        <v/>
      </c>
      <c r="AE871" s="64" t="str">
        <f>IF($B871="","",(COUNTIFS(Rships!$C$2:$C$9990,$A871,Rships!$D$2:$D$9990,4)))</f>
        <v/>
      </c>
      <c r="AF871" s="64" t="str">
        <f>IF($B871="","",(COUNTIFS(Rships!$C$2:$C$9990,$A871,Rships!$D$2:$D$9990,5)))</f>
        <v/>
      </c>
      <c r="AG871" s="64" t="str">
        <f>IF($B871="","",(COUNTIFS(Rships!$C$2:$C$9990,$A871,Rships!$D$2:$D$9990,6)))</f>
        <v/>
      </c>
      <c r="AH871" s="64" t="str">
        <f>IF($B871="","",(COUNTIFS(Rships!$C$2:$C$9990,$A871,Rships!$D$2:$D$9990,7)))</f>
        <v/>
      </c>
    </row>
    <row r="872" spans="1:34">
      <c r="A872" s="1" t="s">
        <v>1121</v>
      </c>
      <c r="C872" s="11" t="s">
        <v>19</v>
      </c>
      <c r="D872" s="11" t="s">
        <v>21</v>
      </c>
      <c r="F872" s="15"/>
      <c r="G872" s="15"/>
      <c r="I872" s="17"/>
      <c r="O872" s="11" t="s">
        <v>27</v>
      </c>
      <c r="Y872" s="64">
        <f t="shared" si="26"/>
        <v>0</v>
      </c>
      <c r="AA872" s="64">
        <f t="shared" si="27"/>
        <v>0</v>
      </c>
      <c r="AB872" s="64" t="str">
        <f>IF($B872="","",(COUNTIFS(Rships!$C$2:$C$9990,$A872,Rships!$D$2:$D$9990,1)))</f>
        <v/>
      </c>
      <c r="AC872" s="64" t="str">
        <f>IF($B872="","",(COUNTIFS(Rships!$C$2:$C$9990,$A872,Rships!$D$2:$D$9990,2)))</f>
        <v/>
      </c>
      <c r="AD872" s="64" t="str">
        <f>IF($B872="","",(COUNTIFS(Rships!$C$2:$C$9990,$A872,Rships!$D$2:$D$9990,3)))</f>
        <v/>
      </c>
      <c r="AE872" s="64" t="str">
        <f>IF($B872="","",(COUNTIFS(Rships!$C$2:$C$9990,$A872,Rships!$D$2:$D$9990,4)))</f>
        <v/>
      </c>
      <c r="AF872" s="64" t="str">
        <f>IF($B872="","",(COUNTIFS(Rships!$C$2:$C$9990,$A872,Rships!$D$2:$D$9990,5)))</f>
        <v/>
      </c>
      <c r="AG872" s="64" t="str">
        <f>IF($B872="","",(COUNTIFS(Rships!$C$2:$C$9990,$A872,Rships!$D$2:$D$9990,6)))</f>
        <v/>
      </c>
      <c r="AH872" s="64" t="str">
        <f>IF($B872="","",(COUNTIFS(Rships!$C$2:$C$9990,$A872,Rships!$D$2:$D$9990,7)))</f>
        <v/>
      </c>
    </row>
    <row r="873" spans="1:34">
      <c r="A873" s="1" t="s">
        <v>1122</v>
      </c>
      <c r="C873" s="11" t="s">
        <v>19</v>
      </c>
      <c r="D873" s="11" t="s">
        <v>21</v>
      </c>
      <c r="F873" s="15"/>
      <c r="G873" s="15"/>
      <c r="I873" s="17"/>
      <c r="O873" s="11" t="s">
        <v>27</v>
      </c>
      <c r="Y873" s="64">
        <f t="shared" si="26"/>
        <v>0</v>
      </c>
      <c r="AA873" s="64">
        <f t="shared" si="27"/>
        <v>0</v>
      </c>
      <c r="AB873" s="64" t="str">
        <f>IF($B873="","",(COUNTIFS(Rships!$C$2:$C$9990,$A873,Rships!$D$2:$D$9990,1)))</f>
        <v/>
      </c>
      <c r="AC873" s="64" t="str">
        <f>IF($B873="","",(COUNTIFS(Rships!$C$2:$C$9990,$A873,Rships!$D$2:$D$9990,2)))</f>
        <v/>
      </c>
      <c r="AD873" s="64" t="str">
        <f>IF($B873="","",(COUNTIFS(Rships!$C$2:$C$9990,$A873,Rships!$D$2:$D$9990,3)))</f>
        <v/>
      </c>
      <c r="AE873" s="64" t="str">
        <f>IF($B873="","",(COUNTIFS(Rships!$C$2:$C$9990,$A873,Rships!$D$2:$D$9990,4)))</f>
        <v/>
      </c>
      <c r="AF873" s="64" t="str">
        <f>IF($B873="","",(COUNTIFS(Rships!$C$2:$C$9990,$A873,Rships!$D$2:$D$9990,5)))</f>
        <v/>
      </c>
      <c r="AG873" s="64" t="str">
        <f>IF($B873="","",(COUNTIFS(Rships!$C$2:$C$9990,$A873,Rships!$D$2:$D$9990,6)))</f>
        <v/>
      </c>
      <c r="AH873" s="64" t="str">
        <f>IF($B873="","",(COUNTIFS(Rships!$C$2:$C$9990,$A873,Rships!$D$2:$D$9990,7)))</f>
        <v/>
      </c>
    </row>
    <row r="874" spans="1:34">
      <c r="A874" s="1" t="s">
        <v>1123</v>
      </c>
      <c r="C874" s="11" t="s">
        <v>19</v>
      </c>
      <c r="D874" s="11" t="s">
        <v>21</v>
      </c>
      <c r="F874" s="15"/>
      <c r="G874" s="15"/>
      <c r="I874" s="17"/>
      <c r="O874" s="11" t="s">
        <v>27</v>
      </c>
      <c r="Y874" s="64">
        <f t="shared" si="26"/>
        <v>0</v>
      </c>
      <c r="AA874" s="64">
        <f t="shared" si="27"/>
        <v>0</v>
      </c>
      <c r="AB874" s="64" t="str">
        <f>IF($B874="","",(COUNTIFS(Rships!$C$2:$C$9990,$A874,Rships!$D$2:$D$9990,1)))</f>
        <v/>
      </c>
      <c r="AC874" s="64" t="str">
        <f>IF($B874="","",(COUNTIFS(Rships!$C$2:$C$9990,$A874,Rships!$D$2:$D$9990,2)))</f>
        <v/>
      </c>
      <c r="AD874" s="64" t="str">
        <f>IF($B874="","",(COUNTIFS(Rships!$C$2:$C$9990,$A874,Rships!$D$2:$D$9990,3)))</f>
        <v/>
      </c>
      <c r="AE874" s="64" t="str">
        <f>IF($B874="","",(COUNTIFS(Rships!$C$2:$C$9990,$A874,Rships!$D$2:$D$9990,4)))</f>
        <v/>
      </c>
      <c r="AF874" s="64" t="str">
        <f>IF($B874="","",(COUNTIFS(Rships!$C$2:$C$9990,$A874,Rships!$D$2:$D$9990,5)))</f>
        <v/>
      </c>
      <c r="AG874" s="64" t="str">
        <f>IF($B874="","",(COUNTIFS(Rships!$C$2:$C$9990,$A874,Rships!$D$2:$D$9990,6)))</f>
        <v/>
      </c>
      <c r="AH874" s="64" t="str">
        <f>IF($B874="","",(COUNTIFS(Rships!$C$2:$C$9990,$A874,Rships!$D$2:$D$9990,7)))</f>
        <v/>
      </c>
    </row>
    <row r="875" spans="1:34">
      <c r="A875" s="1" t="s">
        <v>1124</v>
      </c>
      <c r="C875" s="11" t="s">
        <v>19</v>
      </c>
      <c r="D875" s="11" t="s">
        <v>21</v>
      </c>
      <c r="F875" s="15"/>
      <c r="G875" s="15"/>
      <c r="I875" s="17"/>
      <c r="O875" s="11" t="s">
        <v>27</v>
      </c>
      <c r="Y875" s="64">
        <f t="shared" si="26"/>
        <v>0</v>
      </c>
      <c r="AA875" s="64">
        <f t="shared" si="27"/>
        <v>0</v>
      </c>
      <c r="AB875" s="64" t="str">
        <f>IF($B875="","",(COUNTIFS(Rships!$C$2:$C$9990,$A875,Rships!$D$2:$D$9990,1)))</f>
        <v/>
      </c>
      <c r="AC875" s="64" t="str">
        <f>IF($B875="","",(COUNTIFS(Rships!$C$2:$C$9990,$A875,Rships!$D$2:$D$9990,2)))</f>
        <v/>
      </c>
      <c r="AD875" s="64" t="str">
        <f>IF($B875="","",(COUNTIFS(Rships!$C$2:$C$9990,$A875,Rships!$D$2:$D$9990,3)))</f>
        <v/>
      </c>
      <c r="AE875" s="64" t="str">
        <f>IF($B875="","",(COUNTIFS(Rships!$C$2:$C$9990,$A875,Rships!$D$2:$D$9990,4)))</f>
        <v/>
      </c>
      <c r="AF875" s="64" t="str">
        <f>IF($B875="","",(COUNTIFS(Rships!$C$2:$C$9990,$A875,Rships!$D$2:$D$9990,5)))</f>
        <v/>
      </c>
      <c r="AG875" s="64" t="str">
        <f>IF($B875="","",(COUNTIFS(Rships!$C$2:$C$9990,$A875,Rships!$D$2:$D$9990,6)))</f>
        <v/>
      </c>
      <c r="AH875" s="64" t="str">
        <f>IF($B875="","",(COUNTIFS(Rships!$C$2:$C$9990,$A875,Rships!$D$2:$D$9990,7)))</f>
        <v/>
      </c>
    </row>
    <row r="876" spans="1:34">
      <c r="A876" s="1" t="s">
        <v>1125</v>
      </c>
      <c r="C876" s="11" t="s">
        <v>19</v>
      </c>
      <c r="D876" s="11" t="s">
        <v>21</v>
      </c>
      <c r="F876" s="15"/>
      <c r="G876" s="15"/>
      <c r="I876" s="17"/>
      <c r="O876" s="11" t="s">
        <v>27</v>
      </c>
      <c r="Y876" s="64">
        <f t="shared" si="26"/>
        <v>0</v>
      </c>
      <c r="AA876" s="64">
        <f t="shared" si="27"/>
        <v>0</v>
      </c>
      <c r="AB876" s="64" t="str">
        <f>IF($B876="","",(COUNTIFS(Rships!$C$2:$C$9990,$A876,Rships!$D$2:$D$9990,1)))</f>
        <v/>
      </c>
      <c r="AC876" s="64" t="str">
        <f>IF($B876="","",(COUNTIFS(Rships!$C$2:$C$9990,$A876,Rships!$D$2:$D$9990,2)))</f>
        <v/>
      </c>
      <c r="AD876" s="64" t="str">
        <f>IF($B876="","",(COUNTIFS(Rships!$C$2:$C$9990,$A876,Rships!$D$2:$D$9990,3)))</f>
        <v/>
      </c>
      <c r="AE876" s="64" t="str">
        <f>IF($B876="","",(COUNTIFS(Rships!$C$2:$C$9990,$A876,Rships!$D$2:$D$9990,4)))</f>
        <v/>
      </c>
      <c r="AF876" s="64" t="str">
        <f>IF($B876="","",(COUNTIFS(Rships!$C$2:$C$9990,$A876,Rships!$D$2:$D$9990,5)))</f>
        <v/>
      </c>
      <c r="AG876" s="64" t="str">
        <f>IF($B876="","",(COUNTIFS(Rships!$C$2:$C$9990,$A876,Rships!$D$2:$D$9990,6)))</f>
        <v/>
      </c>
      <c r="AH876" s="64" t="str">
        <f>IF($B876="","",(COUNTIFS(Rships!$C$2:$C$9990,$A876,Rships!$D$2:$D$9990,7)))</f>
        <v/>
      </c>
    </row>
    <row r="877" spans="1:34">
      <c r="A877" s="1" t="s">
        <v>1126</v>
      </c>
      <c r="C877" s="11" t="s">
        <v>19</v>
      </c>
      <c r="D877" s="11" t="s">
        <v>21</v>
      </c>
      <c r="F877" s="15"/>
      <c r="G877" s="15"/>
      <c r="I877" s="17"/>
      <c r="O877" s="11" t="s">
        <v>27</v>
      </c>
      <c r="Y877" s="64">
        <f t="shared" si="26"/>
        <v>0</v>
      </c>
      <c r="AA877" s="64">
        <f t="shared" si="27"/>
        <v>0</v>
      </c>
      <c r="AB877" s="64" t="str">
        <f>IF($B877="","",(COUNTIFS(Rships!$C$2:$C$9990,$A877,Rships!$D$2:$D$9990,1)))</f>
        <v/>
      </c>
      <c r="AC877" s="64" t="str">
        <f>IF($B877="","",(COUNTIFS(Rships!$C$2:$C$9990,$A877,Rships!$D$2:$D$9990,2)))</f>
        <v/>
      </c>
      <c r="AD877" s="64" t="str">
        <f>IF($B877="","",(COUNTIFS(Rships!$C$2:$C$9990,$A877,Rships!$D$2:$D$9990,3)))</f>
        <v/>
      </c>
      <c r="AE877" s="64" t="str">
        <f>IF($B877="","",(COUNTIFS(Rships!$C$2:$C$9990,$A877,Rships!$D$2:$D$9990,4)))</f>
        <v/>
      </c>
      <c r="AF877" s="64" t="str">
        <f>IF($B877="","",(COUNTIFS(Rships!$C$2:$C$9990,$A877,Rships!$D$2:$D$9990,5)))</f>
        <v/>
      </c>
      <c r="AG877" s="64" t="str">
        <f>IF($B877="","",(COUNTIFS(Rships!$C$2:$C$9990,$A877,Rships!$D$2:$D$9990,6)))</f>
        <v/>
      </c>
      <c r="AH877" s="64" t="str">
        <f>IF($B877="","",(COUNTIFS(Rships!$C$2:$C$9990,$A877,Rships!$D$2:$D$9990,7)))</f>
        <v/>
      </c>
    </row>
    <row r="878" spans="1:34">
      <c r="A878" s="1" t="s">
        <v>1127</v>
      </c>
      <c r="C878" s="11" t="s">
        <v>19</v>
      </c>
      <c r="D878" s="11" t="s">
        <v>21</v>
      </c>
      <c r="F878" s="15"/>
      <c r="G878" s="15"/>
      <c r="I878" s="17"/>
      <c r="O878" s="11" t="s">
        <v>27</v>
      </c>
      <c r="Y878" s="64">
        <f t="shared" si="26"/>
        <v>0</v>
      </c>
      <c r="AA878" s="64">
        <f t="shared" si="27"/>
        <v>0</v>
      </c>
      <c r="AB878" s="64" t="str">
        <f>IF($B878="","",(COUNTIFS(Rships!$C$2:$C$9990,$A878,Rships!$D$2:$D$9990,1)))</f>
        <v/>
      </c>
      <c r="AC878" s="64" t="str">
        <f>IF($B878="","",(COUNTIFS(Rships!$C$2:$C$9990,$A878,Rships!$D$2:$D$9990,2)))</f>
        <v/>
      </c>
      <c r="AD878" s="64" t="str">
        <f>IF($B878="","",(COUNTIFS(Rships!$C$2:$C$9990,$A878,Rships!$D$2:$D$9990,3)))</f>
        <v/>
      </c>
      <c r="AE878" s="64" t="str">
        <f>IF($B878="","",(COUNTIFS(Rships!$C$2:$C$9990,$A878,Rships!$D$2:$D$9990,4)))</f>
        <v/>
      </c>
      <c r="AF878" s="64" t="str">
        <f>IF($B878="","",(COUNTIFS(Rships!$C$2:$C$9990,$A878,Rships!$D$2:$D$9990,5)))</f>
        <v/>
      </c>
      <c r="AG878" s="64" t="str">
        <f>IF($B878="","",(COUNTIFS(Rships!$C$2:$C$9990,$A878,Rships!$D$2:$D$9990,6)))</f>
        <v/>
      </c>
      <c r="AH878" s="64" t="str">
        <f>IF($B878="","",(COUNTIFS(Rships!$C$2:$C$9990,$A878,Rships!$D$2:$D$9990,7)))</f>
        <v/>
      </c>
    </row>
    <row r="879" spans="1:34">
      <c r="A879" s="1" t="s">
        <v>1128</v>
      </c>
      <c r="C879" s="11" t="s">
        <v>19</v>
      </c>
      <c r="D879" s="11" t="s">
        <v>21</v>
      </c>
      <c r="F879" s="15"/>
      <c r="G879" s="15"/>
      <c r="I879" s="17"/>
      <c r="O879" s="11" t="s">
        <v>27</v>
      </c>
      <c r="Y879" s="64">
        <f t="shared" si="26"/>
        <v>0</v>
      </c>
      <c r="AA879" s="64">
        <f t="shared" si="27"/>
        <v>0</v>
      </c>
      <c r="AB879" s="64" t="str">
        <f>IF($B879="","",(COUNTIFS(Rships!$C$2:$C$9990,$A879,Rships!$D$2:$D$9990,1)))</f>
        <v/>
      </c>
      <c r="AC879" s="64" t="str">
        <f>IF($B879="","",(COUNTIFS(Rships!$C$2:$C$9990,$A879,Rships!$D$2:$D$9990,2)))</f>
        <v/>
      </c>
      <c r="AD879" s="64" t="str">
        <f>IF($B879="","",(COUNTIFS(Rships!$C$2:$C$9990,$A879,Rships!$D$2:$D$9990,3)))</f>
        <v/>
      </c>
      <c r="AE879" s="64" t="str">
        <f>IF($B879="","",(COUNTIFS(Rships!$C$2:$C$9990,$A879,Rships!$D$2:$D$9990,4)))</f>
        <v/>
      </c>
      <c r="AF879" s="64" t="str">
        <f>IF($B879="","",(COUNTIFS(Rships!$C$2:$C$9990,$A879,Rships!$D$2:$D$9990,5)))</f>
        <v/>
      </c>
      <c r="AG879" s="64" t="str">
        <f>IF($B879="","",(COUNTIFS(Rships!$C$2:$C$9990,$A879,Rships!$D$2:$D$9990,6)))</f>
        <v/>
      </c>
      <c r="AH879" s="64" t="str">
        <f>IF($B879="","",(COUNTIFS(Rships!$C$2:$C$9990,$A879,Rships!$D$2:$D$9990,7)))</f>
        <v/>
      </c>
    </row>
    <row r="880" spans="1:34">
      <c r="A880" s="1" t="s">
        <v>1129</v>
      </c>
      <c r="C880" s="11" t="s">
        <v>19</v>
      </c>
      <c r="D880" s="11" t="s">
        <v>21</v>
      </c>
      <c r="F880" s="15"/>
      <c r="G880" s="15"/>
      <c r="I880" s="17"/>
      <c r="O880" s="11" t="s">
        <v>27</v>
      </c>
      <c r="Y880" s="64">
        <f t="shared" si="26"/>
        <v>0</v>
      </c>
      <c r="AA880" s="64">
        <f t="shared" si="27"/>
        <v>0</v>
      </c>
      <c r="AB880" s="64" t="str">
        <f>IF($B880="","",(COUNTIFS(Rships!$C$2:$C$9990,$A880,Rships!$D$2:$D$9990,1)))</f>
        <v/>
      </c>
      <c r="AC880" s="64" t="str">
        <f>IF($B880="","",(COUNTIFS(Rships!$C$2:$C$9990,$A880,Rships!$D$2:$D$9990,2)))</f>
        <v/>
      </c>
      <c r="AD880" s="64" t="str">
        <f>IF($B880="","",(COUNTIFS(Rships!$C$2:$C$9990,$A880,Rships!$D$2:$D$9990,3)))</f>
        <v/>
      </c>
      <c r="AE880" s="64" t="str">
        <f>IF($B880="","",(COUNTIFS(Rships!$C$2:$C$9990,$A880,Rships!$D$2:$D$9990,4)))</f>
        <v/>
      </c>
      <c r="AF880" s="64" t="str">
        <f>IF($B880="","",(COUNTIFS(Rships!$C$2:$C$9990,$A880,Rships!$D$2:$D$9990,5)))</f>
        <v/>
      </c>
      <c r="AG880" s="64" t="str">
        <f>IF($B880="","",(COUNTIFS(Rships!$C$2:$C$9990,$A880,Rships!$D$2:$D$9990,6)))</f>
        <v/>
      </c>
      <c r="AH880" s="64" t="str">
        <f>IF($B880="","",(COUNTIFS(Rships!$C$2:$C$9990,$A880,Rships!$D$2:$D$9990,7)))</f>
        <v/>
      </c>
    </row>
    <row r="881" spans="1:34">
      <c r="A881" s="1" t="s">
        <v>1130</v>
      </c>
      <c r="C881" s="11" t="s">
        <v>19</v>
      </c>
      <c r="D881" s="11" t="s">
        <v>21</v>
      </c>
      <c r="F881" s="15"/>
      <c r="G881" s="15"/>
      <c r="I881" s="17"/>
      <c r="O881" s="11" t="s">
        <v>27</v>
      </c>
      <c r="Y881" s="64">
        <f t="shared" si="26"/>
        <v>0</v>
      </c>
      <c r="AA881" s="64">
        <f t="shared" si="27"/>
        <v>0</v>
      </c>
      <c r="AB881" s="64" t="str">
        <f>IF($B881="","",(COUNTIFS(Rships!$C$2:$C$9990,$A881,Rships!$D$2:$D$9990,1)))</f>
        <v/>
      </c>
      <c r="AC881" s="64" t="str">
        <f>IF($B881="","",(COUNTIFS(Rships!$C$2:$C$9990,$A881,Rships!$D$2:$D$9990,2)))</f>
        <v/>
      </c>
      <c r="AD881" s="64" t="str">
        <f>IF($B881="","",(COUNTIFS(Rships!$C$2:$C$9990,$A881,Rships!$D$2:$D$9990,3)))</f>
        <v/>
      </c>
      <c r="AE881" s="64" t="str">
        <f>IF($B881="","",(COUNTIFS(Rships!$C$2:$C$9990,$A881,Rships!$D$2:$D$9990,4)))</f>
        <v/>
      </c>
      <c r="AF881" s="64" t="str">
        <f>IF($B881="","",(COUNTIFS(Rships!$C$2:$C$9990,$A881,Rships!$D$2:$D$9990,5)))</f>
        <v/>
      </c>
      <c r="AG881" s="64" t="str">
        <f>IF($B881="","",(COUNTIFS(Rships!$C$2:$C$9990,$A881,Rships!$D$2:$D$9990,6)))</f>
        <v/>
      </c>
      <c r="AH881" s="64" t="str">
        <f>IF($B881="","",(COUNTIFS(Rships!$C$2:$C$9990,$A881,Rships!$D$2:$D$9990,7)))</f>
        <v/>
      </c>
    </row>
    <row r="882" spans="1:34">
      <c r="A882" s="1" t="s">
        <v>1131</v>
      </c>
      <c r="C882" s="11" t="s">
        <v>19</v>
      </c>
      <c r="D882" s="11" t="s">
        <v>21</v>
      </c>
      <c r="F882" s="15"/>
      <c r="G882" s="15"/>
      <c r="I882" s="17"/>
      <c r="O882" s="11" t="s">
        <v>27</v>
      </c>
      <c r="Y882" s="64">
        <f t="shared" si="26"/>
        <v>0</v>
      </c>
      <c r="AA882" s="64">
        <f t="shared" si="27"/>
        <v>0</v>
      </c>
      <c r="AB882" s="64" t="str">
        <f>IF($B882="","",(COUNTIFS(Rships!$C$2:$C$9990,$A882,Rships!$D$2:$D$9990,1)))</f>
        <v/>
      </c>
      <c r="AC882" s="64" t="str">
        <f>IF($B882="","",(COUNTIFS(Rships!$C$2:$C$9990,$A882,Rships!$D$2:$D$9990,2)))</f>
        <v/>
      </c>
      <c r="AD882" s="64" t="str">
        <f>IF($B882="","",(COUNTIFS(Rships!$C$2:$C$9990,$A882,Rships!$D$2:$D$9990,3)))</f>
        <v/>
      </c>
      <c r="AE882" s="64" t="str">
        <f>IF($B882="","",(COUNTIFS(Rships!$C$2:$C$9990,$A882,Rships!$D$2:$D$9990,4)))</f>
        <v/>
      </c>
      <c r="AF882" s="64" t="str">
        <f>IF($B882="","",(COUNTIFS(Rships!$C$2:$C$9990,$A882,Rships!$D$2:$D$9990,5)))</f>
        <v/>
      </c>
      <c r="AG882" s="64" t="str">
        <f>IF($B882="","",(COUNTIFS(Rships!$C$2:$C$9990,$A882,Rships!$D$2:$D$9990,6)))</f>
        <v/>
      </c>
      <c r="AH882" s="64" t="str">
        <f>IF($B882="","",(COUNTIFS(Rships!$C$2:$C$9990,$A882,Rships!$D$2:$D$9990,7)))</f>
        <v/>
      </c>
    </row>
    <row r="883" spans="1:34">
      <c r="A883" s="1" t="s">
        <v>1132</v>
      </c>
      <c r="C883" s="11" t="s">
        <v>19</v>
      </c>
      <c r="D883" s="11" t="s">
        <v>21</v>
      </c>
      <c r="F883" s="15"/>
      <c r="G883" s="15"/>
      <c r="I883" s="17"/>
      <c r="O883" s="11" t="s">
        <v>27</v>
      </c>
      <c r="Y883" s="64">
        <f t="shared" ref="Y883:Y946" si="28">SUMIF($B$2:$B$100,$A883,$AA$2:$AA$100)</f>
        <v>0</v>
      </c>
      <c r="AA883" s="64">
        <f t="shared" si="27"/>
        <v>0</v>
      </c>
      <c r="AB883" s="64" t="str">
        <f>IF($B883="","",(COUNTIFS(Rships!$C$2:$C$9990,$A883,Rships!$D$2:$D$9990,1)))</f>
        <v/>
      </c>
      <c r="AC883" s="64" t="str">
        <f>IF($B883="","",(COUNTIFS(Rships!$C$2:$C$9990,$A883,Rships!$D$2:$D$9990,2)))</f>
        <v/>
      </c>
      <c r="AD883" s="64" t="str">
        <f>IF($B883="","",(COUNTIFS(Rships!$C$2:$C$9990,$A883,Rships!$D$2:$D$9990,3)))</f>
        <v/>
      </c>
      <c r="AE883" s="64" t="str">
        <f>IF($B883="","",(COUNTIFS(Rships!$C$2:$C$9990,$A883,Rships!$D$2:$D$9990,4)))</f>
        <v/>
      </c>
      <c r="AF883" s="64" t="str">
        <f>IF($B883="","",(COUNTIFS(Rships!$C$2:$C$9990,$A883,Rships!$D$2:$D$9990,5)))</f>
        <v/>
      </c>
      <c r="AG883" s="64" t="str">
        <f>IF($B883="","",(COUNTIFS(Rships!$C$2:$C$9990,$A883,Rships!$D$2:$D$9990,6)))</f>
        <v/>
      </c>
      <c r="AH883" s="64" t="str">
        <f>IF($B883="","",(COUNTIFS(Rships!$C$2:$C$9990,$A883,Rships!$D$2:$D$9990,7)))</f>
        <v/>
      </c>
    </row>
    <row r="884" spans="1:34">
      <c r="A884" s="1" t="s">
        <v>1133</v>
      </c>
      <c r="C884" s="11" t="s">
        <v>19</v>
      </c>
      <c r="D884" s="11" t="s">
        <v>21</v>
      </c>
      <c r="F884" s="15"/>
      <c r="G884" s="15"/>
      <c r="I884" s="17"/>
      <c r="O884" s="11" t="s">
        <v>27</v>
      </c>
      <c r="Y884" s="64">
        <f t="shared" si="28"/>
        <v>0</v>
      </c>
      <c r="AA884" s="64">
        <f t="shared" si="27"/>
        <v>0</v>
      </c>
      <c r="AB884" s="64" t="str">
        <f>IF($B884="","",(COUNTIFS(Rships!$C$2:$C$9990,$A884,Rships!$D$2:$D$9990,1)))</f>
        <v/>
      </c>
      <c r="AC884" s="64" t="str">
        <f>IF($B884="","",(COUNTIFS(Rships!$C$2:$C$9990,$A884,Rships!$D$2:$D$9990,2)))</f>
        <v/>
      </c>
      <c r="AD884" s="64" t="str">
        <f>IF($B884="","",(COUNTIFS(Rships!$C$2:$C$9990,$A884,Rships!$D$2:$D$9990,3)))</f>
        <v/>
      </c>
      <c r="AE884" s="64" t="str">
        <f>IF($B884="","",(COUNTIFS(Rships!$C$2:$C$9990,$A884,Rships!$D$2:$D$9990,4)))</f>
        <v/>
      </c>
      <c r="AF884" s="64" t="str">
        <f>IF($B884="","",(COUNTIFS(Rships!$C$2:$C$9990,$A884,Rships!$D$2:$D$9990,5)))</f>
        <v/>
      </c>
      <c r="AG884" s="64" t="str">
        <f>IF($B884="","",(COUNTIFS(Rships!$C$2:$C$9990,$A884,Rships!$D$2:$D$9990,6)))</f>
        <v/>
      </c>
      <c r="AH884" s="64" t="str">
        <f>IF($B884="","",(COUNTIFS(Rships!$C$2:$C$9990,$A884,Rships!$D$2:$D$9990,7)))</f>
        <v/>
      </c>
    </row>
    <row r="885" spans="1:34">
      <c r="A885" s="1" t="s">
        <v>1134</v>
      </c>
      <c r="C885" s="11" t="s">
        <v>19</v>
      </c>
      <c r="D885" s="11" t="s">
        <v>21</v>
      </c>
      <c r="F885" s="15"/>
      <c r="G885" s="15"/>
      <c r="I885" s="17"/>
      <c r="O885" s="11" t="s">
        <v>27</v>
      </c>
      <c r="Y885" s="64">
        <f t="shared" si="28"/>
        <v>0</v>
      </c>
      <c r="AA885" s="64">
        <f t="shared" si="27"/>
        <v>0</v>
      </c>
      <c r="AB885" s="64" t="str">
        <f>IF($B885="","",(COUNTIFS(Rships!$C$2:$C$9990,$A885,Rships!$D$2:$D$9990,1)))</f>
        <v/>
      </c>
      <c r="AC885" s="64" t="str">
        <f>IF($B885="","",(COUNTIFS(Rships!$C$2:$C$9990,$A885,Rships!$D$2:$D$9990,2)))</f>
        <v/>
      </c>
      <c r="AD885" s="64" t="str">
        <f>IF($B885="","",(COUNTIFS(Rships!$C$2:$C$9990,$A885,Rships!$D$2:$D$9990,3)))</f>
        <v/>
      </c>
      <c r="AE885" s="64" t="str">
        <f>IF($B885="","",(COUNTIFS(Rships!$C$2:$C$9990,$A885,Rships!$D$2:$D$9990,4)))</f>
        <v/>
      </c>
      <c r="AF885" s="64" t="str">
        <f>IF($B885="","",(COUNTIFS(Rships!$C$2:$C$9990,$A885,Rships!$D$2:$D$9990,5)))</f>
        <v/>
      </c>
      <c r="AG885" s="64" t="str">
        <f>IF($B885="","",(COUNTIFS(Rships!$C$2:$C$9990,$A885,Rships!$D$2:$D$9990,6)))</f>
        <v/>
      </c>
      <c r="AH885" s="64" t="str">
        <f>IF($B885="","",(COUNTIFS(Rships!$C$2:$C$9990,$A885,Rships!$D$2:$D$9990,7)))</f>
        <v/>
      </c>
    </row>
    <row r="886" spans="1:34">
      <c r="A886" s="1" t="s">
        <v>1135</v>
      </c>
      <c r="C886" s="11" t="s">
        <v>19</v>
      </c>
      <c r="D886" s="11" t="s">
        <v>21</v>
      </c>
      <c r="F886" s="15"/>
      <c r="G886" s="15"/>
      <c r="I886" s="17"/>
      <c r="O886" s="11" t="s">
        <v>27</v>
      </c>
      <c r="Y886" s="64">
        <f t="shared" si="28"/>
        <v>0</v>
      </c>
      <c r="AA886" s="64">
        <f t="shared" si="27"/>
        <v>0</v>
      </c>
      <c r="AB886" s="64" t="str">
        <f>IF($B886="","",(COUNTIFS(Rships!$C$2:$C$9990,$A886,Rships!$D$2:$D$9990,1)))</f>
        <v/>
      </c>
      <c r="AC886" s="64" t="str">
        <f>IF($B886="","",(COUNTIFS(Rships!$C$2:$C$9990,$A886,Rships!$D$2:$D$9990,2)))</f>
        <v/>
      </c>
      <c r="AD886" s="64" t="str">
        <f>IF($B886="","",(COUNTIFS(Rships!$C$2:$C$9990,$A886,Rships!$D$2:$D$9990,3)))</f>
        <v/>
      </c>
      <c r="AE886" s="64" t="str">
        <f>IF($B886="","",(COUNTIFS(Rships!$C$2:$C$9990,$A886,Rships!$D$2:$D$9990,4)))</f>
        <v/>
      </c>
      <c r="AF886" s="64" t="str">
        <f>IF($B886="","",(COUNTIFS(Rships!$C$2:$C$9990,$A886,Rships!$D$2:$D$9990,5)))</f>
        <v/>
      </c>
      <c r="AG886" s="64" t="str">
        <f>IF($B886="","",(COUNTIFS(Rships!$C$2:$C$9990,$A886,Rships!$D$2:$D$9990,6)))</f>
        <v/>
      </c>
      <c r="AH886" s="64" t="str">
        <f>IF($B886="","",(COUNTIFS(Rships!$C$2:$C$9990,$A886,Rships!$D$2:$D$9990,7)))</f>
        <v/>
      </c>
    </row>
    <row r="887" spans="1:34">
      <c r="A887" s="1" t="s">
        <v>1136</v>
      </c>
      <c r="C887" s="11" t="s">
        <v>19</v>
      </c>
      <c r="D887" s="11" t="s">
        <v>21</v>
      </c>
      <c r="F887" s="15"/>
      <c r="G887" s="15"/>
      <c r="I887" s="17"/>
      <c r="O887" s="11" t="s">
        <v>27</v>
      </c>
      <c r="Y887" s="64">
        <f t="shared" si="28"/>
        <v>0</v>
      </c>
      <c r="AA887" s="64">
        <f t="shared" si="27"/>
        <v>0</v>
      </c>
      <c r="AB887" s="64" t="str">
        <f>IF($B887="","",(COUNTIFS(Rships!$C$2:$C$9990,$A887,Rships!$D$2:$D$9990,1)))</f>
        <v/>
      </c>
      <c r="AC887" s="64" t="str">
        <f>IF($B887="","",(COUNTIFS(Rships!$C$2:$C$9990,$A887,Rships!$D$2:$D$9990,2)))</f>
        <v/>
      </c>
      <c r="AD887" s="64" t="str">
        <f>IF($B887="","",(COUNTIFS(Rships!$C$2:$C$9990,$A887,Rships!$D$2:$D$9990,3)))</f>
        <v/>
      </c>
      <c r="AE887" s="64" t="str">
        <f>IF($B887="","",(COUNTIFS(Rships!$C$2:$C$9990,$A887,Rships!$D$2:$D$9990,4)))</f>
        <v/>
      </c>
      <c r="AF887" s="64" t="str">
        <f>IF($B887="","",(COUNTIFS(Rships!$C$2:$C$9990,$A887,Rships!$D$2:$D$9990,5)))</f>
        <v/>
      </c>
      <c r="AG887" s="64" t="str">
        <f>IF($B887="","",(COUNTIFS(Rships!$C$2:$C$9990,$A887,Rships!$D$2:$D$9990,6)))</f>
        <v/>
      </c>
      <c r="AH887" s="64" t="str">
        <f>IF($B887="","",(COUNTIFS(Rships!$C$2:$C$9990,$A887,Rships!$D$2:$D$9990,7)))</f>
        <v/>
      </c>
    </row>
    <row r="888" spans="1:34">
      <c r="A888" s="1" t="s">
        <v>1137</v>
      </c>
      <c r="C888" s="11" t="s">
        <v>19</v>
      </c>
      <c r="D888" s="11" t="s">
        <v>21</v>
      </c>
      <c r="F888" s="15"/>
      <c r="G888" s="15"/>
      <c r="I888" s="17"/>
      <c r="O888" s="11" t="s">
        <v>27</v>
      </c>
      <c r="Y888" s="64">
        <f t="shared" si="28"/>
        <v>0</v>
      </c>
      <c r="AA888" s="64">
        <f t="shared" si="27"/>
        <v>0</v>
      </c>
      <c r="AB888" s="64" t="str">
        <f>IF($B888="","",(COUNTIFS(Rships!$C$2:$C$9990,$A888,Rships!$D$2:$D$9990,1)))</f>
        <v/>
      </c>
      <c r="AC888" s="64" t="str">
        <f>IF($B888="","",(COUNTIFS(Rships!$C$2:$C$9990,$A888,Rships!$D$2:$D$9990,2)))</f>
        <v/>
      </c>
      <c r="AD888" s="64" t="str">
        <f>IF($B888="","",(COUNTIFS(Rships!$C$2:$C$9990,$A888,Rships!$D$2:$D$9990,3)))</f>
        <v/>
      </c>
      <c r="AE888" s="64" t="str">
        <f>IF($B888="","",(COUNTIFS(Rships!$C$2:$C$9990,$A888,Rships!$D$2:$D$9990,4)))</f>
        <v/>
      </c>
      <c r="AF888" s="64" t="str">
        <f>IF($B888="","",(COUNTIFS(Rships!$C$2:$C$9990,$A888,Rships!$D$2:$D$9990,5)))</f>
        <v/>
      </c>
      <c r="AG888" s="64" t="str">
        <f>IF($B888="","",(COUNTIFS(Rships!$C$2:$C$9990,$A888,Rships!$D$2:$D$9990,6)))</f>
        <v/>
      </c>
      <c r="AH888" s="64" t="str">
        <f>IF($B888="","",(COUNTIFS(Rships!$C$2:$C$9990,$A888,Rships!$D$2:$D$9990,7)))</f>
        <v/>
      </c>
    </row>
    <row r="889" spans="1:34">
      <c r="A889" s="1" t="s">
        <v>1138</v>
      </c>
      <c r="C889" s="11" t="s">
        <v>19</v>
      </c>
      <c r="D889" s="11" t="s">
        <v>21</v>
      </c>
      <c r="F889" s="15"/>
      <c r="G889" s="15"/>
      <c r="I889" s="17"/>
      <c r="O889" s="11" t="s">
        <v>27</v>
      </c>
      <c r="Y889" s="64">
        <f t="shared" si="28"/>
        <v>0</v>
      </c>
      <c r="AA889" s="64">
        <f t="shared" si="27"/>
        <v>0</v>
      </c>
      <c r="AB889" s="64" t="str">
        <f>IF($B889="","",(COUNTIFS(Rships!$C$2:$C$9990,$A889,Rships!$D$2:$D$9990,1)))</f>
        <v/>
      </c>
      <c r="AC889" s="64" t="str">
        <f>IF($B889="","",(COUNTIFS(Rships!$C$2:$C$9990,$A889,Rships!$D$2:$D$9990,2)))</f>
        <v/>
      </c>
      <c r="AD889" s="64" t="str">
        <f>IF($B889="","",(COUNTIFS(Rships!$C$2:$C$9990,$A889,Rships!$D$2:$D$9990,3)))</f>
        <v/>
      </c>
      <c r="AE889" s="64" t="str">
        <f>IF($B889="","",(COUNTIFS(Rships!$C$2:$C$9990,$A889,Rships!$D$2:$D$9990,4)))</f>
        <v/>
      </c>
      <c r="AF889" s="64" t="str">
        <f>IF($B889="","",(COUNTIFS(Rships!$C$2:$C$9990,$A889,Rships!$D$2:$D$9990,5)))</f>
        <v/>
      </c>
      <c r="AG889" s="64" t="str">
        <f>IF($B889="","",(COUNTIFS(Rships!$C$2:$C$9990,$A889,Rships!$D$2:$D$9990,6)))</f>
        <v/>
      </c>
      <c r="AH889" s="64" t="str">
        <f>IF($B889="","",(COUNTIFS(Rships!$C$2:$C$9990,$A889,Rships!$D$2:$D$9990,7)))</f>
        <v/>
      </c>
    </row>
    <row r="890" spans="1:34">
      <c r="A890" s="1" t="s">
        <v>1139</v>
      </c>
      <c r="C890" s="11" t="s">
        <v>19</v>
      </c>
      <c r="D890" s="11" t="s">
        <v>21</v>
      </c>
      <c r="F890" s="15"/>
      <c r="G890" s="15"/>
      <c r="I890" s="17"/>
      <c r="O890" s="11" t="s">
        <v>27</v>
      </c>
      <c r="Y890" s="64">
        <f t="shared" si="28"/>
        <v>0</v>
      </c>
      <c r="AA890" s="64">
        <f t="shared" si="27"/>
        <v>0</v>
      </c>
      <c r="AB890" s="64" t="str">
        <f>IF($B890="","",(COUNTIFS(Rships!$C$2:$C$9990,$A890,Rships!$D$2:$D$9990,1)))</f>
        <v/>
      </c>
      <c r="AC890" s="64" t="str">
        <f>IF($B890="","",(COUNTIFS(Rships!$C$2:$C$9990,$A890,Rships!$D$2:$D$9990,2)))</f>
        <v/>
      </c>
      <c r="AD890" s="64" t="str">
        <f>IF($B890="","",(COUNTIFS(Rships!$C$2:$C$9990,$A890,Rships!$D$2:$D$9990,3)))</f>
        <v/>
      </c>
      <c r="AE890" s="64" t="str">
        <f>IF($B890="","",(COUNTIFS(Rships!$C$2:$C$9990,$A890,Rships!$D$2:$D$9990,4)))</f>
        <v/>
      </c>
      <c r="AF890" s="64" t="str">
        <f>IF($B890="","",(COUNTIFS(Rships!$C$2:$C$9990,$A890,Rships!$D$2:$D$9990,5)))</f>
        <v/>
      </c>
      <c r="AG890" s="64" t="str">
        <f>IF($B890="","",(COUNTIFS(Rships!$C$2:$C$9990,$A890,Rships!$D$2:$D$9990,6)))</f>
        <v/>
      </c>
      <c r="AH890" s="64" t="str">
        <f>IF($B890="","",(COUNTIFS(Rships!$C$2:$C$9990,$A890,Rships!$D$2:$D$9990,7)))</f>
        <v/>
      </c>
    </row>
    <row r="891" spans="1:34">
      <c r="A891" s="1" t="s">
        <v>1140</v>
      </c>
      <c r="C891" s="11" t="s">
        <v>19</v>
      </c>
      <c r="D891" s="11" t="s">
        <v>21</v>
      </c>
      <c r="F891" s="15"/>
      <c r="G891" s="15"/>
      <c r="I891" s="17"/>
      <c r="O891" s="11" t="s">
        <v>27</v>
      </c>
      <c r="Y891" s="64">
        <f t="shared" si="28"/>
        <v>0</v>
      </c>
      <c r="AA891" s="64">
        <f t="shared" si="27"/>
        <v>0</v>
      </c>
      <c r="AB891" s="64" t="str">
        <f>IF($B891="","",(COUNTIFS(Rships!$C$2:$C$9990,$A891,Rships!$D$2:$D$9990,1)))</f>
        <v/>
      </c>
      <c r="AC891" s="64" t="str">
        <f>IF($B891="","",(COUNTIFS(Rships!$C$2:$C$9990,$A891,Rships!$D$2:$D$9990,2)))</f>
        <v/>
      </c>
      <c r="AD891" s="64" t="str">
        <f>IF($B891="","",(COUNTIFS(Rships!$C$2:$C$9990,$A891,Rships!$D$2:$D$9990,3)))</f>
        <v/>
      </c>
      <c r="AE891" s="64" t="str">
        <f>IF($B891="","",(COUNTIFS(Rships!$C$2:$C$9990,$A891,Rships!$D$2:$D$9990,4)))</f>
        <v/>
      </c>
      <c r="AF891" s="64" t="str">
        <f>IF($B891="","",(COUNTIFS(Rships!$C$2:$C$9990,$A891,Rships!$D$2:$D$9990,5)))</f>
        <v/>
      </c>
      <c r="AG891" s="64" t="str">
        <f>IF($B891="","",(COUNTIFS(Rships!$C$2:$C$9990,$A891,Rships!$D$2:$D$9990,6)))</f>
        <v/>
      </c>
      <c r="AH891" s="64" t="str">
        <f>IF($B891="","",(COUNTIFS(Rships!$C$2:$C$9990,$A891,Rships!$D$2:$D$9990,7)))</f>
        <v/>
      </c>
    </row>
    <row r="892" spans="1:34">
      <c r="A892" s="1" t="s">
        <v>1141</v>
      </c>
      <c r="C892" s="11" t="s">
        <v>19</v>
      </c>
      <c r="D892" s="11" t="s">
        <v>21</v>
      </c>
      <c r="F892" s="15"/>
      <c r="G892" s="15"/>
      <c r="I892" s="17"/>
      <c r="O892" s="11" t="s">
        <v>27</v>
      </c>
      <c r="Y892" s="64">
        <f t="shared" si="28"/>
        <v>0</v>
      </c>
      <c r="AA892" s="64">
        <f t="shared" si="27"/>
        <v>0</v>
      </c>
      <c r="AB892" s="64" t="str">
        <f>IF($B892="","",(COUNTIFS(Rships!$C$2:$C$9990,$A892,Rships!$D$2:$D$9990,1)))</f>
        <v/>
      </c>
      <c r="AC892" s="64" t="str">
        <f>IF($B892="","",(COUNTIFS(Rships!$C$2:$C$9990,$A892,Rships!$D$2:$D$9990,2)))</f>
        <v/>
      </c>
      <c r="AD892" s="64" t="str">
        <f>IF($B892="","",(COUNTIFS(Rships!$C$2:$C$9990,$A892,Rships!$D$2:$D$9990,3)))</f>
        <v/>
      </c>
      <c r="AE892" s="64" t="str">
        <f>IF($B892="","",(COUNTIFS(Rships!$C$2:$C$9990,$A892,Rships!$D$2:$D$9990,4)))</f>
        <v/>
      </c>
      <c r="AF892" s="64" t="str">
        <f>IF($B892="","",(COUNTIFS(Rships!$C$2:$C$9990,$A892,Rships!$D$2:$D$9990,5)))</f>
        <v/>
      </c>
      <c r="AG892" s="64" t="str">
        <f>IF($B892="","",(COUNTIFS(Rships!$C$2:$C$9990,$A892,Rships!$D$2:$D$9990,6)))</f>
        <v/>
      </c>
      <c r="AH892" s="64" t="str">
        <f>IF($B892="","",(COUNTIFS(Rships!$C$2:$C$9990,$A892,Rships!$D$2:$D$9990,7)))</f>
        <v/>
      </c>
    </row>
    <row r="893" spans="1:34">
      <c r="A893" s="1" t="s">
        <v>1142</v>
      </c>
      <c r="C893" s="11" t="s">
        <v>19</v>
      </c>
      <c r="D893" s="11" t="s">
        <v>21</v>
      </c>
      <c r="F893" s="15"/>
      <c r="G893" s="15"/>
      <c r="I893" s="17"/>
      <c r="O893" s="11" t="s">
        <v>27</v>
      </c>
      <c r="Y893" s="64">
        <f t="shared" si="28"/>
        <v>0</v>
      </c>
      <c r="AA893" s="64">
        <f t="shared" si="27"/>
        <v>0</v>
      </c>
      <c r="AB893" s="64" t="str">
        <f>IF($B893="","",(COUNTIFS(Rships!$C$2:$C$9990,$A893,Rships!$D$2:$D$9990,1)))</f>
        <v/>
      </c>
      <c r="AC893" s="64" t="str">
        <f>IF($B893="","",(COUNTIFS(Rships!$C$2:$C$9990,$A893,Rships!$D$2:$D$9990,2)))</f>
        <v/>
      </c>
      <c r="AD893" s="64" t="str">
        <f>IF($B893="","",(COUNTIFS(Rships!$C$2:$C$9990,$A893,Rships!$D$2:$D$9990,3)))</f>
        <v/>
      </c>
      <c r="AE893" s="64" t="str">
        <f>IF($B893="","",(COUNTIFS(Rships!$C$2:$C$9990,$A893,Rships!$D$2:$D$9990,4)))</f>
        <v/>
      </c>
      <c r="AF893" s="64" t="str">
        <f>IF($B893="","",(COUNTIFS(Rships!$C$2:$C$9990,$A893,Rships!$D$2:$D$9990,5)))</f>
        <v/>
      </c>
      <c r="AG893" s="64" t="str">
        <f>IF($B893="","",(COUNTIFS(Rships!$C$2:$C$9990,$A893,Rships!$D$2:$D$9990,6)))</f>
        <v/>
      </c>
      <c r="AH893" s="64" t="str">
        <f>IF($B893="","",(COUNTIFS(Rships!$C$2:$C$9990,$A893,Rships!$D$2:$D$9990,7)))</f>
        <v/>
      </c>
    </row>
    <row r="894" spans="1:34">
      <c r="A894" s="1" t="s">
        <v>1143</v>
      </c>
      <c r="C894" s="11" t="s">
        <v>19</v>
      </c>
      <c r="D894" s="11" t="s">
        <v>21</v>
      </c>
      <c r="F894" s="15"/>
      <c r="G894" s="15"/>
      <c r="I894" s="17"/>
      <c r="O894" s="11" t="s">
        <v>27</v>
      </c>
      <c r="Y894" s="64">
        <f t="shared" si="28"/>
        <v>0</v>
      </c>
      <c r="AA894" s="64">
        <f t="shared" si="27"/>
        <v>0</v>
      </c>
      <c r="AB894" s="64" t="str">
        <f>IF($B894="","",(COUNTIFS(Rships!$C$2:$C$9990,$A894,Rships!$D$2:$D$9990,1)))</f>
        <v/>
      </c>
      <c r="AC894" s="64" t="str">
        <f>IF($B894="","",(COUNTIFS(Rships!$C$2:$C$9990,$A894,Rships!$D$2:$D$9990,2)))</f>
        <v/>
      </c>
      <c r="AD894" s="64" t="str">
        <f>IF($B894="","",(COUNTIFS(Rships!$C$2:$C$9990,$A894,Rships!$D$2:$D$9990,3)))</f>
        <v/>
      </c>
      <c r="AE894" s="64" t="str">
        <f>IF($B894="","",(COUNTIFS(Rships!$C$2:$C$9990,$A894,Rships!$D$2:$D$9990,4)))</f>
        <v/>
      </c>
      <c r="AF894" s="64" t="str">
        <f>IF($B894="","",(COUNTIFS(Rships!$C$2:$C$9990,$A894,Rships!$D$2:$D$9990,5)))</f>
        <v/>
      </c>
      <c r="AG894" s="64" t="str">
        <f>IF($B894="","",(COUNTIFS(Rships!$C$2:$C$9990,$A894,Rships!$D$2:$D$9990,6)))</f>
        <v/>
      </c>
      <c r="AH894" s="64" t="str">
        <f>IF($B894="","",(COUNTIFS(Rships!$C$2:$C$9990,$A894,Rships!$D$2:$D$9990,7)))</f>
        <v/>
      </c>
    </row>
    <row r="895" spans="1:34">
      <c r="A895" s="1" t="s">
        <v>1144</v>
      </c>
      <c r="C895" s="11" t="s">
        <v>19</v>
      </c>
      <c r="D895" s="11" t="s">
        <v>21</v>
      </c>
      <c r="F895" s="15"/>
      <c r="G895" s="15"/>
      <c r="I895" s="17"/>
      <c r="O895" s="11" t="s">
        <v>27</v>
      </c>
      <c r="Y895" s="64">
        <f t="shared" si="28"/>
        <v>0</v>
      </c>
      <c r="AA895" s="64">
        <f t="shared" si="27"/>
        <v>0</v>
      </c>
      <c r="AB895" s="64" t="str">
        <f>IF($B895="","",(COUNTIFS(Rships!$C$2:$C$9990,$A895,Rships!$D$2:$D$9990,1)))</f>
        <v/>
      </c>
      <c r="AC895" s="64" t="str">
        <f>IF($B895="","",(COUNTIFS(Rships!$C$2:$C$9990,$A895,Rships!$D$2:$D$9990,2)))</f>
        <v/>
      </c>
      <c r="AD895" s="64" t="str">
        <f>IF($B895="","",(COUNTIFS(Rships!$C$2:$C$9990,$A895,Rships!$D$2:$D$9990,3)))</f>
        <v/>
      </c>
      <c r="AE895" s="64" t="str">
        <f>IF($B895="","",(COUNTIFS(Rships!$C$2:$C$9990,$A895,Rships!$D$2:$D$9990,4)))</f>
        <v/>
      </c>
      <c r="AF895" s="64" t="str">
        <f>IF($B895="","",(COUNTIFS(Rships!$C$2:$C$9990,$A895,Rships!$D$2:$D$9990,5)))</f>
        <v/>
      </c>
      <c r="AG895" s="64" t="str">
        <f>IF($B895="","",(COUNTIFS(Rships!$C$2:$C$9990,$A895,Rships!$D$2:$D$9990,6)))</f>
        <v/>
      </c>
      <c r="AH895" s="64" t="str">
        <f>IF($B895="","",(COUNTIFS(Rships!$C$2:$C$9990,$A895,Rships!$D$2:$D$9990,7)))</f>
        <v/>
      </c>
    </row>
    <row r="896" spans="1:34">
      <c r="A896" s="1" t="s">
        <v>1145</v>
      </c>
      <c r="C896" s="11" t="s">
        <v>19</v>
      </c>
      <c r="D896" s="11" t="s">
        <v>21</v>
      </c>
      <c r="F896" s="15"/>
      <c r="G896" s="15"/>
      <c r="I896" s="17"/>
      <c r="O896" s="11" t="s">
        <v>27</v>
      </c>
      <c r="Y896" s="64">
        <f t="shared" si="28"/>
        <v>0</v>
      </c>
      <c r="AA896" s="64">
        <f t="shared" si="27"/>
        <v>0</v>
      </c>
      <c r="AB896" s="64" t="str">
        <f>IF($B896="","",(COUNTIFS(Rships!$C$2:$C$9990,$A896,Rships!$D$2:$D$9990,1)))</f>
        <v/>
      </c>
      <c r="AC896" s="64" t="str">
        <f>IF($B896="","",(COUNTIFS(Rships!$C$2:$C$9990,$A896,Rships!$D$2:$D$9990,2)))</f>
        <v/>
      </c>
      <c r="AD896" s="64" t="str">
        <f>IF($B896="","",(COUNTIFS(Rships!$C$2:$C$9990,$A896,Rships!$D$2:$D$9990,3)))</f>
        <v/>
      </c>
      <c r="AE896" s="64" t="str">
        <f>IF($B896="","",(COUNTIFS(Rships!$C$2:$C$9990,$A896,Rships!$D$2:$D$9990,4)))</f>
        <v/>
      </c>
      <c r="AF896" s="64" t="str">
        <f>IF($B896="","",(COUNTIFS(Rships!$C$2:$C$9990,$A896,Rships!$D$2:$D$9990,5)))</f>
        <v/>
      </c>
      <c r="AG896" s="64" t="str">
        <f>IF($B896="","",(COUNTIFS(Rships!$C$2:$C$9990,$A896,Rships!$D$2:$D$9990,6)))</f>
        <v/>
      </c>
      <c r="AH896" s="64" t="str">
        <f>IF($B896="","",(COUNTIFS(Rships!$C$2:$C$9990,$A896,Rships!$D$2:$D$9990,7)))</f>
        <v/>
      </c>
    </row>
    <row r="897" spans="1:34">
      <c r="A897" s="1" t="s">
        <v>1146</v>
      </c>
      <c r="C897" s="11" t="s">
        <v>19</v>
      </c>
      <c r="D897" s="11" t="s">
        <v>21</v>
      </c>
      <c r="F897" s="15"/>
      <c r="G897" s="15"/>
      <c r="I897" s="17"/>
      <c r="O897" s="11" t="s">
        <v>27</v>
      </c>
      <c r="Y897" s="64">
        <f t="shared" si="28"/>
        <v>0</v>
      </c>
      <c r="AA897" s="64">
        <f t="shared" si="27"/>
        <v>0</v>
      </c>
      <c r="AB897" s="64" t="str">
        <f>IF($B897="","",(COUNTIFS(Rships!$C$2:$C$9990,$A897,Rships!$D$2:$D$9990,1)))</f>
        <v/>
      </c>
      <c r="AC897" s="64" t="str">
        <f>IF($B897="","",(COUNTIFS(Rships!$C$2:$C$9990,$A897,Rships!$D$2:$D$9990,2)))</f>
        <v/>
      </c>
      <c r="AD897" s="64" t="str">
        <f>IF($B897="","",(COUNTIFS(Rships!$C$2:$C$9990,$A897,Rships!$D$2:$D$9990,3)))</f>
        <v/>
      </c>
      <c r="AE897" s="64" t="str">
        <f>IF($B897="","",(COUNTIFS(Rships!$C$2:$C$9990,$A897,Rships!$D$2:$D$9990,4)))</f>
        <v/>
      </c>
      <c r="AF897" s="64" t="str">
        <f>IF($B897="","",(COUNTIFS(Rships!$C$2:$C$9990,$A897,Rships!$D$2:$D$9990,5)))</f>
        <v/>
      </c>
      <c r="AG897" s="64" t="str">
        <f>IF($B897="","",(COUNTIFS(Rships!$C$2:$C$9990,$A897,Rships!$D$2:$D$9990,6)))</f>
        <v/>
      </c>
      <c r="AH897" s="64" t="str">
        <f>IF($B897="","",(COUNTIFS(Rships!$C$2:$C$9990,$A897,Rships!$D$2:$D$9990,7)))</f>
        <v/>
      </c>
    </row>
    <row r="898" spans="1:34">
      <c r="A898" s="1" t="s">
        <v>1147</v>
      </c>
      <c r="C898" s="11" t="s">
        <v>19</v>
      </c>
      <c r="D898" s="11" t="s">
        <v>21</v>
      </c>
      <c r="F898" s="15"/>
      <c r="G898" s="15"/>
      <c r="I898" s="17"/>
      <c r="O898" s="11" t="s">
        <v>27</v>
      </c>
      <c r="Y898" s="64">
        <f t="shared" si="28"/>
        <v>0</v>
      </c>
      <c r="AA898" s="64">
        <f t="shared" si="27"/>
        <v>0</v>
      </c>
      <c r="AB898" s="64" t="str">
        <f>IF($B898="","",(COUNTIFS(Rships!$C$2:$C$9990,$A898,Rships!$D$2:$D$9990,1)))</f>
        <v/>
      </c>
      <c r="AC898" s="64" t="str">
        <f>IF($B898="","",(COUNTIFS(Rships!$C$2:$C$9990,$A898,Rships!$D$2:$D$9990,2)))</f>
        <v/>
      </c>
      <c r="AD898" s="64" t="str">
        <f>IF($B898="","",(COUNTIFS(Rships!$C$2:$C$9990,$A898,Rships!$D$2:$D$9990,3)))</f>
        <v/>
      </c>
      <c r="AE898" s="64" t="str">
        <f>IF($B898="","",(COUNTIFS(Rships!$C$2:$C$9990,$A898,Rships!$D$2:$D$9990,4)))</f>
        <v/>
      </c>
      <c r="AF898" s="64" t="str">
        <f>IF($B898="","",(COUNTIFS(Rships!$C$2:$C$9990,$A898,Rships!$D$2:$D$9990,5)))</f>
        <v/>
      </c>
      <c r="AG898" s="64" t="str">
        <f>IF($B898="","",(COUNTIFS(Rships!$C$2:$C$9990,$A898,Rships!$D$2:$D$9990,6)))</f>
        <v/>
      </c>
      <c r="AH898" s="64" t="str">
        <f>IF($B898="","",(COUNTIFS(Rships!$C$2:$C$9990,$A898,Rships!$D$2:$D$9990,7)))</f>
        <v/>
      </c>
    </row>
    <row r="899" spans="1:34">
      <c r="A899" s="1" t="s">
        <v>1148</v>
      </c>
      <c r="C899" s="11" t="s">
        <v>19</v>
      </c>
      <c r="D899" s="11" t="s">
        <v>21</v>
      </c>
      <c r="F899" s="15"/>
      <c r="G899" s="15"/>
      <c r="I899" s="17"/>
      <c r="O899" s="11" t="s">
        <v>27</v>
      </c>
      <c r="Y899" s="64">
        <f t="shared" si="28"/>
        <v>0</v>
      </c>
      <c r="AA899" s="64">
        <f t="shared" ref="AA899:AA962" si="29">SUM($AB899:$AH899)</f>
        <v>0</v>
      </c>
      <c r="AB899" s="64" t="str">
        <f>IF($B899="","",(COUNTIFS(Rships!$C$2:$C$9990,$A899,Rships!$D$2:$D$9990,1)))</f>
        <v/>
      </c>
      <c r="AC899" s="64" t="str">
        <f>IF($B899="","",(COUNTIFS(Rships!$C$2:$C$9990,$A899,Rships!$D$2:$D$9990,2)))</f>
        <v/>
      </c>
      <c r="AD899" s="64" t="str">
        <f>IF($B899="","",(COUNTIFS(Rships!$C$2:$C$9990,$A899,Rships!$D$2:$D$9990,3)))</f>
        <v/>
      </c>
      <c r="AE899" s="64" t="str">
        <f>IF($B899="","",(COUNTIFS(Rships!$C$2:$C$9990,$A899,Rships!$D$2:$D$9990,4)))</f>
        <v/>
      </c>
      <c r="AF899" s="64" t="str">
        <f>IF($B899="","",(COUNTIFS(Rships!$C$2:$C$9990,$A899,Rships!$D$2:$D$9990,5)))</f>
        <v/>
      </c>
      <c r="AG899" s="64" t="str">
        <f>IF($B899="","",(COUNTIFS(Rships!$C$2:$C$9990,$A899,Rships!$D$2:$D$9990,6)))</f>
        <v/>
      </c>
      <c r="AH899" s="64" t="str">
        <f>IF($B899="","",(COUNTIFS(Rships!$C$2:$C$9990,$A899,Rships!$D$2:$D$9990,7)))</f>
        <v/>
      </c>
    </row>
    <row r="900" spans="1:34">
      <c r="A900" s="1" t="s">
        <v>1149</v>
      </c>
      <c r="C900" s="11" t="s">
        <v>19</v>
      </c>
      <c r="D900" s="11" t="s">
        <v>21</v>
      </c>
      <c r="F900" s="15"/>
      <c r="G900" s="15"/>
      <c r="I900" s="17"/>
      <c r="O900" s="11" t="s">
        <v>27</v>
      </c>
      <c r="Y900" s="64">
        <f t="shared" si="28"/>
        <v>0</v>
      </c>
      <c r="AA900" s="64">
        <f t="shared" si="29"/>
        <v>0</v>
      </c>
      <c r="AB900" s="64" t="str">
        <f>IF($B900="","",(COUNTIFS(Rships!$C$2:$C$9990,$A900,Rships!$D$2:$D$9990,1)))</f>
        <v/>
      </c>
      <c r="AC900" s="64" t="str">
        <f>IF($B900="","",(COUNTIFS(Rships!$C$2:$C$9990,$A900,Rships!$D$2:$D$9990,2)))</f>
        <v/>
      </c>
      <c r="AD900" s="64" t="str">
        <f>IF($B900="","",(COUNTIFS(Rships!$C$2:$C$9990,$A900,Rships!$D$2:$D$9990,3)))</f>
        <v/>
      </c>
      <c r="AE900" s="64" t="str">
        <f>IF($B900="","",(COUNTIFS(Rships!$C$2:$C$9990,$A900,Rships!$D$2:$D$9990,4)))</f>
        <v/>
      </c>
      <c r="AF900" s="64" t="str">
        <f>IF($B900="","",(COUNTIFS(Rships!$C$2:$C$9990,$A900,Rships!$D$2:$D$9990,5)))</f>
        <v/>
      </c>
      <c r="AG900" s="64" t="str">
        <f>IF($B900="","",(COUNTIFS(Rships!$C$2:$C$9990,$A900,Rships!$D$2:$D$9990,6)))</f>
        <v/>
      </c>
      <c r="AH900" s="64" t="str">
        <f>IF($B900="","",(COUNTIFS(Rships!$C$2:$C$9990,$A900,Rships!$D$2:$D$9990,7)))</f>
        <v/>
      </c>
    </row>
    <row r="901" spans="1:34">
      <c r="A901" s="1" t="s">
        <v>1150</v>
      </c>
      <c r="C901" s="11" t="s">
        <v>19</v>
      </c>
      <c r="D901" s="11" t="s">
        <v>21</v>
      </c>
      <c r="F901" s="15"/>
      <c r="G901" s="15"/>
      <c r="I901" s="17"/>
      <c r="O901" s="11" t="s">
        <v>27</v>
      </c>
      <c r="Y901" s="64">
        <f t="shared" si="28"/>
        <v>0</v>
      </c>
      <c r="AA901" s="64">
        <f t="shared" si="29"/>
        <v>0</v>
      </c>
      <c r="AB901" s="64" t="str">
        <f>IF($B901="","",(COUNTIFS(Rships!$C$2:$C$9990,$A901,Rships!$D$2:$D$9990,1)))</f>
        <v/>
      </c>
      <c r="AC901" s="64" t="str">
        <f>IF($B901="","",(COUNTIFS(Rships!$C$2:$C$9990,$A901,Rships!$D$2:$D$9990,2)))</f>
        <v/>
      </c>
      <c r="AD901" s="64" t="str">
        <f>IF($B901="","",(COUNTIFS(Rships!$C$2:$C$9990,$A901,Rships!$D$2:$D$9990,3)))</f>
        <v/>
      </c>
      <c r="AE901" s="64" t="str">
        <f>IF($B901="","",(COUNTIFS(Rships!$C$2:$C$9990,$A901,Rships!$D$2:$D$9990,4)))</f>
        <v/>
      </c>
      <c r="AF901" s="64" t="str">
        <f>IF($B901="","",(COUNTIFS(Rships!$C$2:$C$9990,$A901,Rships!$D$2:$D$9990,5)))</f>
        <v/>
      </c>
      <c r="AG901" s="64" t="str">
        <f>IF($B901="","",(COUNTIFS(Rships!$C$2:$C$9990,$A901,Rships!$D$2:$D$9990,6)))</f>
        <v/>
      </c>
      <c r="AH901" s="64" t="str">
        <f>IF($B901="","",(COUNTIFS(Rships!$C$2:$C$9990,$A901,Rships!$D$2:$D$9990,7)))</f>
        <v/>
      </c>
    </row>
    <row r="902" spans="1:34">
      <c r="A902" s="1" t="s">
        <v>1151</v>
      </c>
      <c r="C902" s="11" t="s">
        <v>19</v>
      </c>
      <c r="D902" s="11" t="s">
        <v>21</v>
      </c>
      <c r="F902" s="15"/>
      <c r="G902" s="15"/>
      <c r="I902" s="17"/>
      <c r="O902" s="11" t="s">
        <v>27</v>
      </c>
      <c r="Y902" s="64">
        <f t="shared" si="28"/>
        <v>0</v>
      </c>
      <c r="AA902" s="64">
        <f t="shared" si="29"/>
        <v>0</v>
      </c>
      <c r="AB902" s="64" t="str">
        <f>IF($B902="","",(COUNTIFS(Rships!$C$2:$C$9990,$A902,Rships!$D$2:$D$9990,1)))</f>
        <v/>
      </c>
      <c r="AC902" s="64" t="str">
        <f>IF($B902="","",(COUNTIFS(Rships!$C$2:$C$9990,$A902,Rships!$D$2:$D$9990,2)))</f>
        <v/>
      </c>
      <c r="AD902" s="64" t="str">
        <f>IF($B902="","",(COUNTIFS(Rships!$C$2:$C$9990,$A902,Rships!$D$2:$D$9990,3)))</f>
        <v/>
      </c>
      <c r="AE902" s="64" t="str">
        <f>IF($B902="","",(COUNTIFS(Rships!$C$2:$C$9990,$A902,Rships!$D$2:$D$9990,4)))</f>
        <v/>
      </c>
      <c r="AF902" s="64" t="str">
        <f>IF($B902="","",(COUNTIFS(Rships!$C$2:$C$9990,$A902,Rships!$D$2:$D$9990,5)))</f>
        <v/>
      </c>
      <c r="AG902" s="64" t="str">
        <f>IF($B902="","",(COUNTIFS(Rships!$C$2:$C$9990,$A902,Rships!$D$2:$D$9990,6)))</f>
        <v/>
      </c>
      <c r="AH902" s="64" t="str">
        <f>IF($B902="","",(COUNTIFS(Rships!$C$2:$C$9990,$A902,Rships!$D$2:$D$9990,7)))</f>
        <v/>
      </c>
    </row>
    <row r="903" spans="1:34">
      <c r="A903" s="1" t="s">
        <v>1152</v>
      </c>
      <c r="C903" s="11" t="s">
        <v>19</v>
      </c>
      <c r="D903" s="11" t="s">
        <v>21</v>
      </c>
      <c r="F903" s="15"/>
      <c r="G903" s="15"/>
      <c r="I903" s="17"/>
      <c r="O903" s="11" t="s">
        <v>27</v>
      </c>
      <c r="Y903" s="64">
        <f t="shared" si="28"/>
        <v>0</v>
      </c>
      <c r="AA903" s="64">
        <f t="shared" si="29"/>
        <v>0</v>
      </c>
      <c r="AB903" s="64" t="str">
        <f>IF($B903="","",(COUNTIFS(Rships!$C$2:$C$9990,$A903,Rships!$D$2:$D$9990,1)))</f>
        <v/>
      </c>
      <c r="AC903" s="64" t="str">
        <f>IF($B903="","",(COUNTIFS(Rships!$C$2:$C$9990,$A903,Rships!$D$2:$D$9990,2)))</f>
        <v/>
      </c>
      <c r="AD903" s="64" t="str">
        <f>IF($B903="","",(COUNTIFS(Rships!$C$2:$C$9990,$A903,Rships!$D$2:$D$9990,3)))</f>
        <v/>
      </c>
      <c r="AE903" s="64" t="str">
        <f>IF($B903="","",(COUNTIFS(Rships!$C$2:$C$9990,$A903,Rships!$D$2:$D$9990,4)))</f>
        <v/>
      </c>
      <c r="AF903" s="64" t="str">
        <f>IF($B903="","",(COUNTIFS(Rships!$C$2:$C$9990,$A903,Rships!$D$2:$D$9990,5)))</f>
        <v/>
      </c>
      <c r="AG903" s="64" t="str">
        <f>IF($B903="","",(COUNTIFS(Rships!$C$2:$C$9990,$A903,Rships!$D$2:$D$9990,6)))</f>
        <v/>
      </c>
      <c r="AH903" s="64" t="str">
        <f>IF($B903="","",(COUNTIFS(Rships!$C$2:$C$9990,$A903,Rships!$D$2:$D$9990,7)))</f>
        <v/>
      </c>
    </row>
    <row r="904" spans="1:34">
      <c r="A904" s="1" t="s">
        <v>1153</v>
      </c>
      <c r="C904" s="11" t="s">
        <v>19</v>
      </c>
      <c r="D904" s="11" t="s">
        <v>21</v>
      </c>
      <c r="F904" s="15"/>
      <c r="G904" s="15"/>
      <c r="I904" s="17"/>
      <c r="O904" s="11" t="s">
        <v>27</v>
      </c>
      <c r="Y904" s="64">
        <f t="shared" si="28"/>
        <v>0</v>
      </c>
      <c r="AA904" s="64">
        <f t="shared" si="29"/>
        <v>0</v>
      </c>
      <c r="AB904" s="64" t="str">
        <f>IF($B904="","",(COUNTIFS(Rships!$C$2:$C$9990,$A904,Rships!$D$2:$D$9990,1)))</f>
        <v/>
      </c>
      <c r="AC904" s="64" t="str">
        <f>IF($B904="","",(COUNTIFS(Rships!$C$2:$C$9990,$A904,Rships!$D$2:$D$9990,2)))</f>
        <v/>
      </c>
      <c r="AD904" s="64" t="str">
        <f>IF($B904="","",(COUNTIFS(Rships!$C$2:$C$9990,$A904,Rships!$D$2:$D$9990,3)))</f>
        <v/>
      </c>
      <c r="AE904" s="64" t="str">
        <f>IF($B904="","",(COUNTIFS(Rships!$C$2:$C$9990,$A904,Rships!$D$2:$D$9990,4)))</f>
        <v/>
      </c>
      <c r="AF904" s="64" t="str">
        <f>IF($B904="","",(COUNTIFS(Rships!$C$2:$C$9990,$A904,Rships!$D$2:$D$9990,5)))</f>
        <v/>
      </c>
      <c r="AG904" s="64" t="str">
        <f>IF($B904="","",(COUNTIFS(Rships!$C$2:$C$9990,$A904,Rships!$D$2:$D$9990,6)))</f>
        <v/>
      </c>
      <c r="AH904" s="64" t="str">
        <f>IF($B904="","",(COUNTIFS(Rships!$C$2:$C$9990,$A904,Rships!$D$2:$D$9990,7)))</f>
        <v/>
      </c>
    </row>
    <row r="905" spans="1:34">
      <c r="A905" s="1" t="s">
        <v>1154</v>
      </c>
      <c r="C905" s="11" t="s">
        <v>19</v>
      </c>
      <c r="D905" s="11" t="s">
        <v>21</v>
      </c>
      <c r="F905" s="15"/>
      <c r="G905" s="15"/>
      <c r="I905" s="17"/>
      <c r="O905" s="11" t="s">
        <v>27</v>
      </c>
      <c r="Y905" s="64">
        <f t="shared" si="28"/>
        <v>0</v>
      </c>
      <c r="AA905" s="64">
        <f t="shared" si="29"/>
        <v>0</v>
      </c>
      <c r="AB905" s="64" t="str">
        <f>IF($B905="","",(COUNTIFS(Rships!$C$2:$C$9990,$A905,Rships!$D$2:$D$9990,1)))</f>
        <v/>
      </c>
      <c r="AC905" s="64" t="str">
        <f>IF($B905="","",(COUNTIFS(Rships!$C$2:$C$9990,$A905,Rships!$D$2:$D$9990,2)))</f>
        <v/>
      </c>
      <c r="AD905" s="64" t="str">
        <f>IF($B905="","",(COUNTIFS(Rships!$C$2:$C$9990,$A905,Rships!$D$2:$D$9990,3)))</f>
        <v/>
      </c>
      <c r="AE905" s="64" t="str">
        <f>IF($B905="","",(COUNTIFS(Rships!$C$2:$C$9990,$A905,Rships!$D$2:$D$9990,4)))</f>
        <v/>
      </c>
      <c r="AF905" s="64" t="str">
        <f>IF($B905="","",(COUNTIFS(Rships!$C$2:$C$9990,$A905,Rships!$D$2:$D$9990,5)))</f>
        <v/>
      </c>
      <c r="AG905" s="64" t="str">
        <f>IF($B905="","",(COUNTIFS(Rships!$C$2:$C$9990,$A905,Rships!$D$2:$D$9990,6)))</f>
        <v/>
      </c>
      <c r="AH905" s="64" t="str">
        <f>IF($B905="","",(COUNTIFS(Rships!$C$2:$C$9990,$A905,Rships!$D$2:$D$9990,7)))</f>
        <v/>
      </c>
    </row>
    <row r="906" spans="1:34">
      <c r="A906" s="1" t="s">
        <v>1155</v>
      </c>
      <c r="C906" s="11" t="s">
        <v>19</v>
      </c>
      <c r="D906" s="11" t="s">
        <v>21</v>
      </c>
      <c r="F906" s="15"/>
      <c r="G906" s="15"/>
      <c r="I906" s="17"/>
      <c r="O906" s="11" t="s">
        <v>27</v>
      </c>
      <c r="Y906" s="64">
        <f t="shared" si="28"/>
        <v>0</v>
      </c>
      <c r="AA906" s="64">
        <f t="shared" si="29"/>
        <v>0</v>
      </c>
      <c r="AB906" s="64" t="str">
        <f>IF($B906="","",(COUNTIFS(Rships!$C$2:$C$9990,$A906,Rships!$D$2:$D$9990,1)))</f>
        <v/>
      </c>
      <c r="AC906" s="64" t="str">
        <f>IF($B906="","",(COUNTIFS(Rships!$C$2:$C$9990,$A906,Rships!$D$2:$D$9990,2)))</f>
        <v/>
      </c>
      <c r="AD906" s="64" t="str">
        <f>IF($B906="","",(COUNTIFS(Rships!$C$2:$C$9990,$A906,Rships!$D$2:$D$9990,3)))</f>
        <v/>
      </c>
      <c r="AE906" s="64" t="str">
        <f>IF($B906="","",(COUNTIFS(Rships!$C$2:$C$9990,$A906,Rships!$D$2:$D$9990,4)))</f>
        <v/>
      </c>
      <c r="AF906" s="64" t="str">
        <f>IF($B906="","",(COUNTIFS(Rships!$C$2:$C$9990,$A906,Rships!$D$2:$D$9990,5)))</f>
        <v/>
      </c>
      <c r="AG906" s="64" t="str">
        <f>IF($B906="","",(COUNTIFS(Rships!$C$2:$C$9990,$A906,Rships!$D$2:$D$9990,6)))</f>
        <v/>
      </c>
      <c r="AH906" s="64" t="str">
        <f>IF($B906="","",(COUNTIFS(Rships!$C$2:$C$9990,$A906,Rships!$D$2:$D$9990,7)))</f>
        <v/>
      </c>
    </row>
    <row r="907" spans="1:34">
      <c r="A907" s="1" t="s">
        <v>1156</v>
      </c>
      <c r="C907" s="11" t="s">
        <v>19</v>
      </c>
      <c r="D907" s="11" t="s">
        <v>21</v>
      </c>
      <c r="F907" s="15"/>
      <c r="G907" s="15"/>
      <c r="I907" s="17"/>
      <c r="O907" s="11" t="s">
        <v>27</v>
      </c>
      <c r="Y907" s="64">
        <f t="shared" si="28"/>
        <v>0</v>
      </c>
      <c r="AA907" s="64">
        <f t="shared" si="29"/>
        <v>0</v>
      </c>
      <c r="AB907" s="64" t="str">
        <f>IF($B907="","",(COUNTIFS(Rships!$C$2:$C$9990,$A907,Rships!$D$2:$D$9990,1)))</f>
        <v/>
      </c>
      <c r="AC907" s="64" t="str">
        <f>IF($B907="","",(COUNTIFS(Rships!$C$2:$C$9990,$A907,Rships!$D$2:$D$9990,2)))</f>
        <v/>
      </c>
      <c r="AD907" s="64" t="str">
        <f>IF($B907="","",(COUNTIFS(Rships!$C$2:$C$9990,$A907,Rships!$D$2:$D$9990,3)))</f>
        <v/>
      </c>
      <c r="AE907" s="64" t="str">
        <f>IF($B907="","",(COUNTIFS(Rships!$C$2:$C$9990,$A907,Rships!$D$2:$D$9990,4)))</f>
        <v/>
      </c>
      <c r="AF907" s="64" t="str">
        <f>IF($B907="","",(COUNTIFS(Rships!$C$2:$C$9990,$A907,Rships!$D$2:$D$9990,5)))</f>
        <v/>
      </c>
      <c r="AG907" s="64" t="str">
        <f>IF($B907="","",(COUNTIFS(Rships!$C$2:$C$9990,$A907,Rships!$D$2:$D$9990,6)))</f>
        <v/>
      </c>
      <c r="AH907" s="64" t="str">
        <f>IF($B907="","",(COUNTIFS(Rships!$C$2:$C$9990,$A907,Rships!$D$2:$D$9990,7)))</f>
        <v/>
      </c>
    </row>
    <row r="908" spans="1:34">
      <c r="A908" s="1" t="s">
        <v>1157</v>
      </c>
      <c r="C908" s="11" t="s">
        <v>19</v>
      </c>
      <c r="D908" s="11" t="s">
        <v>21</v>
      </c>
      <c r="F908" s="15"/>
      <c r="G908" s="15"/>
      <c r="I908" s="17"/>
      <c r="O908" s="11" t="s">
        <v>27</v>
      </c>
      <c r="Y908" s="64">
        <f t="shared" si="28"/>
        <v>0</v>
      </c>
      <c r="AA908" s="64">
        <f t="shared" si="29"/>
        <v>0</v>
      </c>
      <c r="AB908" s="64" t="str">
        <f>IF($B908="","",(COUNTIFS(Rships!$C$2:$C$9990,$A908,Rships!$D$2:$D$9990,1)))</f>
        <v/>
      </c>
      <c r="AC908" s="64" t="str">
        <f>IF($B908="","",(COUNTIFS(Rships!$C$2:$C$9990,$A908,Rships!$D$2:$D$9990,2)))</f>
        <v/>
      </c>
      <c r="AD908" s="64" t="str">
        <f>IF($B908="","",(COUNTIFS(Rships!$C$2:$C$9990,$A908,Rships!$D$2:$D$9990,3)))</f>
        <v/>
      </c>
      <c r="AE908" s="64" t="str">
        <f>IF($B908="","",(COUNTIFS(Rships!$C$2:$C$9990,$A908,Rships!$D$2:$D$9990,4)))</f>
        <v/>
      </c>
      <c r="AF908" s="64" t="str">
        <f>IF($B908="","",(COUNTIFS(Rships!$C$2:$C$9990,$A908,Rships!$D$2:$D$9990,5)))</f>
        <v/>
      </c>
      <c r="AG908" s="64" t="str">
        <f>IF($B908="","",(COUNTIFS(Rships!$C$2:$C$9990,$A908,Rships!$D$2:$D$9990,6)))</f>
        <v/>
      </c>
      <c r="AH908" s="64" t="str">
        <f>IF($B908="","",(COUNTIFS(Rships!$C$2:$C$9990,$A908,Rships!$D$2:$D$9990,7)))</f>
        <v/>
      </c>
    </row>
    <row r="909" spans="1:34">
      <c r="A909" s="1" t="s">
        <v>1158</v>
      </c>
      <c r="C909" s="11" t="s">
        <v>19</v>
      </c>
      <c r="D909" s="11" t="s">
        <v>21</v>
      </c>
      <c r="F909" s="15"/>
      <c r="G909" s="15"/>
      <c r="I909" s="17"/>
      <c r="O909" s="11" t="s">
        <v>27</v>
      </c>
      <c r="Y909" s="64">
        <f t="shared" si="28"/>
        <v>0</v>
      </c>
      <c r="AA909" s="64">
        <f t="shared" si="29"/>
        <v>0</v>
      </c>
      <c r="AB909" s="64" t="str">
        <f>IF($B909="","",(COUNTIFS(Rships!$C$2:$C$9990,$A909,Rships!$D$2:$D$9990,1)))</f>
        <v/>
      </c>
      <c r="AC909" s="64" t="str">
        <f>IF($B909="","",(COUNTIFS(Rships!$C$2:$C$9990,$A909,Rships!$D$2:$D$9990,2)))</f>
        <v/>
      </c>
      <c r="AD909" s="64" t="str">
        <f>IF($B909="","",(COUNTIFS(Rships!$C$2:$C$9990,$A909,Rships!$D$2:$D$9990,3)))</f>
        <v/>
      </c>
      <c r="AE909" s="64" t="str">
        <f>IF($B909="","",(COUNTIFS(Rships!$C$2:$C$9990,$A909,Rships!$D$2:$D$9990,4)))</f>
        <v/>
      </c>
      <c r="AF909" s="64" t="str">
        <f>IF($B909="","",(COUNTIFS(Rships!$C$2:$C$9990,$A909,Rships!$D$2:$D$9990,5)))</f>
        <v/>
      </c>
      <c r="AG909" s="64" t="str">
        <f>IF($B909="","",(COUNTIFS(Rships!$C$2:$C$9990,$A909,Rships!$D$2:$D$9990,6)))</f>
        <v/>
      </c>
      <c r="AH909" s="64" t="str">
        <f>IF($B909="","",(COUNTIFS(Rships!$C$2:$C$9990,$A909,Rships!$D$2:$D$9990,7)))</f>
        <v/>
      </c>
    </row>
    <row r="910" spans="1:34">
      <c r="A910" s="1" t="s">
        <v>1159</v>
      </c>
      <c r="C910" s="11" t="s">
        <v>19</v>
      </c>
      <c r="D910" s="11" t="s">
        <v>21</v>
      </c>
      <c r="F910" s="15"/>
      <c r="G910" s="15"/>
      <c r="I910" s="17"/>
      <c r="O910" s="11" t="s">
        <v>27</v>
      </c>
      <c r="Y910" s="64">
        <f t="shared" si="28"/>
        <v>0</v>
      </c>
      <c r="AA910" s="64">
        <f t="shared" si="29"/>
        <v>0</v>
      </c>
      <c r="AB910" s="64" t="str">
        <f>IF($B910="","",(COUNTIFS(Rships!$C$2:$C$9990,$A910,Rships!$D$2:$D$9990,1)))</f>
        <v/>
      </c>
      <c r="AC910" s="64" t="str">
        <f>IF($B910="","",(COUNTIFS(Rships!$C$2:$C$9990,$A910,Rships!$D$2:$D$9990,2)))</f>
        <v/>
      </c>
      <c r="AD910" s="64" t="str">
        <f>IF($B910="","",(COUNTIFS(Rships!$C$2:$C$9990,$A910,Rships!$D$2:$D$9990,3)))</f>
        <v/>
      </c>
      <c r="AE910" s="64" t="str">
        <f>IF($B910="","",(COUNTIFS(Rships!$C$2:$C$9990,$A910,Rships!$D$2:$D$9990,4)))</f>
        <v/>
      </c>
      <c r="AF910" s="64" t="str">
        <f>IF($B910="","",(COUNTIFS(Rships!$C$2:$C$9990,$A910,Rships!$D$2:$D$9990,5)))</f>
        <v/>
      </c>
      <c r="AG910" s="64" t="str">
        <f>IF($B910="","",(COUNTIFS(Rships!$C$2:$C$9990,$A910,Rships!$D$2:$D$9990,6)))</f>
        <v/>
      </c>
      <c r="AH910" s="64" t="str">
        <f>IF($B910="","",(COUNTIFS(Rships!$C$2:$C$9990,$A910,Rships!$D$2:$D$9990,7)))</f>
        <v/>
      </c>
    </row>
    <row r="911" spans="1:34">
      <c r="A911" s="1" t="s">
        <v>1160</v>
      </c>
      <c r="C911" s="11" t="s">
        <v>19</v>
      </c>
      <c r="D911" s="11" t="s">
        <v>21</v>
      </c>
      <c r="F911" s="15"/>
      <c r="G911" s="15"/>
      <c r="I911" s="17"/>
      <c r="O911" s="11" t="s">
        <v>27</v>
      </c>
      <c r="Y911" s="64">
        <f t="shared" si="28"/>
        <v>0</v>
      </c>
      <c r="AA911" s="64">
        <f t="shared" si="29"/>
        <v>0</v>
      </c>
      <c r="AB911" s="64" t="str">
        <f>IF($B911="","",(COUNTIFS(Rships!$C$2:$C$9990,$A911,Rships!$D$2:$D$9990,1)))</f>
        <v/>
      </c>
      <c r="AC911" s="64" t="str">
        <f>IF($B911="","",(COUNTIFS(Rships!$C$2:$C$9990,$A911,Rships!$D$2:$D$9990,2)))</f>
        <v/>
      </c>
      <c r="AD911" s="64" t="str">
        <f>IF($B911="","",(COUNTIFS(Rships!$C$2:$C$9990,$A911,Rships!$D$2:$D$9990,3)))</f>
        <v/>
      </c>
      <c r="AE911" s="64" t="str">
        <f>IF($B911="","",(COUNTIFS(Rships!$C$2:$C$9990,$A911,Rships!$D$2:$D$9990,4)))</f>
        <v/>
      </c>
      <c r="AF911" s="64" t="str">
        <f>IF($B911="","",(COUNTIFS(Rships!$C$2:$C$9990,$A911,Rships!$D$2:$D$9990,5)))</f>
        <v/>
      </c>
      <c r="AG911" s="64" t="str">
        <f>IF($B911="","",(COUNTIFS(Rships!$C$2:$C$9990,$A911,Rships!$D$2:$D$9990,6)))</f>
        <v/>
      </c>
      <c r="AH911" s="64" t="str">
        <f>IF($B911="","",(COUNTIFS(Rships!$C$2:$C$9990,$A911,Rships!$D$2:$D$9990,7)))</f>
        <v/>
      </c>
    </row>
    <row r="912" spans="1:34">
      <c r="A912" s="1" t="s">
        <v>1161</v>
      </c>
      <c r="C912" s="11" t="s">
        <v>19</v>
      </c>
      <c r="D912" s="11" t="s">
        <v>21</v>
      </c>
      <c r="F912" s="15"/>
      <c r="G912" s="15"/>
      <c r="I912" s="17"/>
      <c r="O912" s="11" t="s">
        <v>27</v>
      </c>
      <c r="Y912" s="64">
        <f t="shared" si="28"/>
        <v>0</v>
      </c>
      <c r="AA912" s="64">
        <f t="shared" si="29"/>
        <v>0</v>
      </c>
      <c r="AB912" s="64" t="str">
        <f>IF($B912="","",(COUNTIFS(Rships!$C$2:$C$9990,$A912,Rships!$D$2:$D$9990,1)))</f>
        <v/>
      </c>
      <c r="AC912" s="64" t="str">
        <f>IF($B912="","",(COUNTIFS(Rships!$C$2:$C$9990,$A912,Rships!$D$2:$D$9990,2)))</f>
        <v/>
      </c>
      <c r="AD912" s="64" t="str">
        <f>IF($B912="","",(COUNTIFS(Rships!$C$2:$C$9990,$A912,Rships!$D$2:$D$9990,3)))</f>
        <v/>
      </c>
      <c r="AE912" s="64" t="str">
        <f>IF($B912="","",(COUNTIFS(Rships!$C$2:$C$9990,$A912,Rships!$D$2:$D$9990,4)))</f>
        <v/>
      </c>
      <c r="AF912" s="64" t="str">
        <f>IF($B912="","",(COUNTIFS(Rships!$C$2:$C$9990,$A912,Rships!$D$2:$D$9990,5)))</f>
        <v/>
      </c>
      <c r="AG912" s="64" t="str">
        <f>IF($B912="","",(COUNTIFS(Rships!$C$2:$C$9990,$A912,Rships!$D$2:$D$9990,6)))</f>
        <v/>
      </c>
      <c r="AH912" s="64" t="str">
        <f>IF($B912="","",(COUNTIFS(Rships!$C$2:$C$9990,$A912,Rships!$D$2:$D$9990,7)))</f>
        <v/>
      </c>
    </row>
    <row r="913" spans="1:34">
      <c r="A913" s="1" t="s">
        <v>1162</v>
      </c>
      <c r="C913" s="11" t="s">
        <v>19</v>
      </c>
      <c r="D913" s="11" t="s">
        <v>21</v>
      </c>
      <c r="F913" s="15"/>
      <c r="G913" s="15"/>
      <c r="I913" s="17"/>
      <c r="O913" s="11" t="s">
        <v>27</v>
      </c>
      <c r="Y913" s="64">
        <f t="shared" si="28"/>
        <v>0</v>
      </c>
      <c r="AA913" s="64">
        <f t="shared" si="29"/>
        <v>0</v>
      </c>
      <c r="AB913" s="64" t="str">
        <f>IF($B913="","",(COUNTIFS(Rships!$C$2:$C$9990,$A913,Rships!$D$2:$D$9990,1)))</f>
        <v/>
      </c>
      <c r="AC913" s="64" t="str">
        <f>IF($B913="","",(COUNTIFS(Rships!$C$2:$C$9990,$A913,Rships!$D$2:$D$9990,2)))</f>
        <v/>
      </c>
      <c r="AD913" s="64" t="str">
        <f>IF($B913="","",(COUNTIFS(Rships!$C$2:$C$9990,$A913,Rships!$D$2:$D$9990,3)))</f>
        <v/>
      </c>
      <c r="AE913" s="64" t="str">
        <f>IF($B913="","",(COUNTIFS(Rships!$C$2:$C$9990,$A913,Rships!$D$2:$D$9990,4)))</f>
        <v/>
      </c>
      <c r="AF913" s="64" t="str">
        <f>IF($B913="","",(COUNTIFS(Rships!$C$2:$C$9990,$A913,Rships!$D$2:$D$9990,5)))</f>
        <v/>
      </c>
      <c r="AG913" s="64" t="str">
        <f>IF($B913="","",(COUNTIFS(Rships!$C$2:$C$9990,$A913,Rships!$D$2:$D$9990,6)))</f>
        <v/>
      </c>
      <c r="AH913" s="64" t="str">
        <f>IF($B913="","",(COUNTIFS(Rships!$C$2:$C$9990,$A913,Rships!$D$2:$D$9990,7)))</f>
        <v/>
      </c>
    </row>
    <row r="914" spans="1:34">
      <c r="A914" s="1" t="s">
        <v>1163</v>
      </c>
      <c r="C914" s="11" t="s">
        <v>19</v>
      </c>
      <c r="D914" s="11" t="s">
        <v>21</v>
      </c>
      <c r="F914" s="15"/>
      <c r="G914" s="15"/>
      <c r="I914" s="17"/>
      <c r="O914" s="11" t="s">
        <v>27</v>
      </c>
      <c r="Y914" s="64">
        <f t="shared" si="28"/>
        <v>0</v>
      </c>
      <c r="AA914" s="64">
        <f t="shared" si="29"/>
        <v>0</v>
      </c>
      <c r="AB914" s="64" t="str">
        <f>IF($B914="","",(COUNTIFS(Rships!$C$2:$C$9990,$A914,Rships!$D$2:$D$9990,1)))</f>
        <v/>
      </c>
      <c r="AC914" s="64" t="str">
        <f>IF($B914="","",(COUNTIFS(Rships!$C$2:$C$9990,$A914,Rships!$D$2:$D$9990,2)))</f>
        <v/>
      </c>
      <c r="AD914" s="64" t="str">
        <f>IF($B914="","",(COUNTIFS(Rships!$C$2:$C$9990,$A914,Rships!$D$2:$D$9990,3)))</f>
        <v/>
      </c>
      <c r="AE914" s="64" t="str">
        <f>IF($B914="","",(COUNTIFS(Rships!$C$2:$C$9990,$A914,Rships!$D$2:$D$9990,4)))</f>
        <v/>
      </c>
      <c r="AF914" s="64" t="str">
        <f>IF($B914="","",(COUNTIFS(Rships!$C$2:$C$9990,$A914,Rships!$D$2:$D$9990,5)))</f>
        <v/>
      </c>
      <c r="AG914" s="64" t="str">
        <f>IF($B914="","",(COUNTIFS(Rships!$C$2:$C$9990,$A914,Rships!$D$2:$D$9990,6)))</f>
        <v/>
      </c>
      <c r="AH914" s="64" t="str">
        <f>IF($B914="","",(COUNTIFS(Rships!$C$2:$C$9990,$A914,Rships!$D$2:$D$9990,7)))</f>
        <v/>
      </c>
    </row>
    <row r="915" spans="1:34">
      <c r="A915" s="1" t="s">
        <v>1164</v>
      </c>
      <c r="C915" s="11" t="s">
        <v>19</v>
      </c>
      <c r="D915" s="11" t="s">
        <v>21</v>
      </c>
      <c r="F915" s="15"/>
      <c r="G915" s="15"/>
      <c r="I915" s="17"/>
      <c r="O915" s="11" t="s">
        <v>27</v>
      </c>
      <c r="Y915" s="64">
        <f t="shared" si="28"/>
        <v>0</v>
      </c>
      <c r="AA915" s="64">
        <f t="shared" si="29"/>
        <v>0</v>
      </c>
      <c r="AB915" s="64" t="str">
        <f>IF($B915="","",(COUNTIFS(Rships!$C$2:$C$9990,$A915,Rships!$D$2:$D$9990,1)))</f>
        <v/>
      </c>
      <c r="AC915" s="64" t="str">
        <f>IF($B915="","",(COUNTIFS(Rships!$C$2:$C$9990,$A915,Rships!$D$2:$D$9990,2)))</f>
        <v/>
      </c>
      <c r="AD915" s="64" t="str">
        <f>IF($B915="","",(COUNTIFS(Rships!$C$2:$C$9990,$A915,Rships!$D$2:$D$9990,3)))</f>
        <v/>
      </c>
      <c r="AE915" s="64" t="str">
        <f>IF($B915="","",(COUNTIFS(Rships!$C$2:$C$9990,$A915,Rships!$D$2:$D$9990,4)))</f>
        <v/>
      </c>
      <c r="AF915" s="64" t="str">
        <f>IF($B915="","",(COUNTIFS(Rships!$C$2:$C$9990,$A915,Rships!$D$2:$D$9990,5)))</f>
        <v/>
      </c>
      <c r="AG915" s="64" t="str">
        <f>IF($B915="","",(COUNTIFS(Rships!$C$2:$C$9990,$A915,Rships!$D$2:$D$9990,6)))</f>
        <v/>
      </c>
      <c r="AH915" s="64" t="str">
        <f>IF($B915="","",(COUNTIFS(Rships!$C$2:$C$9990,$A915,Rships!$D$2:$D$9990,7)))</f>
        <v/>
      </c>
    </row>
    <row r="916" spans="1:34">
      <c r="A916" s="1" t="s">
        <v>1165</v>
      </c>
      <c r="C916" s="11" t="s">
        <v>19</v>
      </c>
      <c r="D916" s="11" t="s">
        <v>21</v>
      </c>
      <c r="F916" s="15"/>
      <c r="G916" s="15"/>
      <c r="I916" s="17"/>
      <c r="O916" s="11" t="s">
        <v>27</v>
      </c>
      <c r="Y916" s="64">
        <f t="shared" si="28"/>
        <v>0</v>
      </c>
      <c r="AA916" s="64">
        <f t="shared" si="29"/>
        <v>0</v>
      </c>
      <c r="AB916" s="64" t="str">
        <f>IF($B916="","",(COUNTIFS(Rships!$C$2:$C$9990,$A916,Rships!$D$2:$D$9990,1)))</f>
        <v/>
      </c>
      <c r="AC916" s="64" t="str">
        <f>IF($B916="","",(COUNTIFS(Rships!$C$2:$C$9990,$A916,Rships!$D$2:$D$9990,2)))</f>
        <v/>
      </c>
      <c r="AD916" s="64" t="str">
        <f>IF($B916="","",(COUNTIFS(Rships!$C$2:$C$9990,$A916,Rships!$D$2:$D$9990,3)))</f>
        <v/>
      </c>
      <c r="AE916" s="64" t="str">
        <f>IF($B916="","",(COUNTIFS(Rships!$C$2:$C$9990,$A916,Rships!$D$2:$D$9990,4)))</f>
        <v/>
      </c>
      <c r="AF916" s="64" t="str">
        <f>IF($B916="","",(COUNTIFS(Rships!$C$2:$C$9990,$A916,Rships!$D$2:$D$9990,5)))</f>
        <v/>
      </c>
      <c r="AG916" s="64" t="str">
        <f>IF($B916="","",(COUNTIFS(Rships!$C$2:$C$9990,$A916,Rships!$D$2:$D$9990,6)))</f>
        <v/>
      </c>
      <c r="AH916" s="64" t="str">
        <f>IF($B916="","",(COUNTIFS(Rships!$C$2:$C$9990,$A916,Rships!$D$2:$D$9990,7)))</f>
        <v/>
      </c>
    </row>
    <row r="917" spans="1:34">
      <c r="A917" s="1" t="s">
        <v>1166</v>
      </c>
      <c r="C917" s="11" t="s">
        <v>19</v>
      </c>
      <c r="D917" s="11" t="s">
        <v>21</v>
      </c>
      <c r="F917" s="15"/>
      <c r="G917" s="15"/>
      <c r="I917" s="17"/>
      <c r="O917" s="11" t="s">
        <v>27</v>
      </c>
      <c r="Y917" s="64">
        <f t="shared" si="28"/>
        <v>0</v>
      </c>
      <c r="AA917" s="64">
        <f t="shared" si="29"/>
        <v>0</v>
      </c>
      <c r="AB917" s="64" t="str">
        <f>IF($B917="","",(COUNTIFS(Rships!$C$2:$C$9990,$A917,Rships!$D$2:$D$9990,1)))</f>
        <v/>
      </c>
      <c r="AC917" s="64" t="str">
        <f>IF($B917="","",(COUNTIFS(Rships!$C$2:$C$9990,$A917,Rships!$D$2:$D$9990,2)))</f>
        <v/>
      </c>
      <c r="AD917" s="64" t="str">
        <f>IF($B917="","",(COUNTIFS(Rships!$C$2:$C$9990,$A917,Rships!$D$2:$D$9990,3)))</f>
        <v/>
      </c>
      <c r="AE917" s="64" t="str">
        <f>IF($B917="","",(COUNTIFS(Rships!$C$2:$C$9990,$A917,Rships!$D$2:$D$9990,4)))</f>
        <v/>
      </c>
      <c r="AF917" s="64" t="str">
        <f>IF($B917="","",(COUNTIFS(Rships!$C$2:$C$9990,$A917,Rships!$D$2:$D$9990,5)))</f>
        <v/>
      </c>
      <c r="AG917" s="64" t="str">
        <f>IF($B917="","",(COUNTIFS(Rships!$C$2:$C$9990,$A917,Rships!$D$2:$D$9990,6)))</f>
        <v/>
      </c>
      <c r="AH917" s="64" t="str">
        <f>IF($B917="","",(COUNTIFS(Rships!$C$2:$C$9990,$A917,Rships!$D$2:$D$9990,7)))</f>
        <v/>
      </c>
    </row>
    <row r="918" spans="1:34">
      <c r="A918" s="1" t="s">
        <v>1167</v>
      </c>
      <c r="C918" s="11" t="s">
        <v>19</v>
      </c>
      <c r="D918" s="11" t="s">
        <v>21</v>
      </c>
      <c r="F918" s="15"/>
      <c r="G918" s="15"/>
      <c r="I918" s="17"/>
      <c r="O918" s="11" t="s">
        <v>27</v>
      </c>
      <c r="Y918" s="64">
        <f t="shared" si="28"/>
        <v>0</v>
      </c>
      <c r="AA918" s="64">
        <f t="shared" si="29"/>
        <v>0</v>
      </c>
      <c r="AB918" s="64" t="str">
        <f>IF($B918="","",(COUNTIFS(Rships!$C$2:$C$9990,$A918,Rships!$D$2:$D$9990,1)))</f>
        <v/>
      </c>
      <c r="AC918" s="64" t="str">
        <f>IF($B918="","",(COUNTIFS(Rships!$C$2:$C$9990,$A918,Rships!$D$2:$D$9990,2)))</f>
        <v/>
      </c>
      <c r="AD918" s="64" t="str">
        <f>IF($B918="","",(COUNTIFS(Rships!$C$2:$C$9990,$A918,Rships!$D$2:$D$9990,3)))</f>
        <v/>
      </c>
      <c r="AE918" s="64" t="str">
        <f>IF($B918="","",(COUNTIFS(Rships!$C$2:$C$9990,$A918,Rships!$D$2:$D$9990,4)))</f>
        <v/>
      </c>
      <c r="AF918" s="64" t="str">
        <f>IF($B918="","",(COUNTIFS(Rships!$C$2:$C$9990,$A918,Rships!$D$2:$D$9990,5)))</f>
        <v/>
      </c>
      <c r="AG918" s="64" t="str">
        <f>IF($B918="","",(COUNTIFS(Rships!$C$2:$C$9990,$A918,Rships!$D$2:$D$9990,6)))</f>
        <v/>
      </c>
      <c r="AH918" s="64" t="str">
        <f>IF($B918="","",(COUNTIFS(Rships!$C$2:$C$9990,$A918,Rships!$D$2:$D$9990,7)))</f>
        <v/>
      </c>
    </row>
    <row r="919" spans="1:34">
      <c r="A919" s="1" t="s">
        <v>1168</v>
      </c>
      <c r="C919" s="11" t="s">
        <v>19</v>
      </c>
      <c r="D919" s="11" t="s">
        <v>21</v>
      </c>
      <c r="F919" s="15"/>
      <c r="G919" s="15"/>
      <c r="I919" s="17"/>
      <c r="O919" s="11" t="s">
        <v>27</v>
      </c>
      <c r="Y919" s="64">
        <f t="shared" si="28"/>
        <v>0</v>
      </c>
      <c r="AA919" s="64">
        <f t="shared" si="29"/>
        <v>0</v>
      </c>
      <c r="AB919" s="64" t="str">
        <f>IF($B919="","",(COUNTIFS(Rships!$C$2:$C$9990,$A919,Rships!$D$2:$D$9990,1)))</f>
        <v/>
      </c>
      <c r="AC919" s="64" t="str">
        <f>IF($B919="","",(COUNTIFS(Rships!$C$2:$C$9990,$A919,Rships!$D$2:$D$9990,2)))</f>
        <v/>
      </c>
      <c r="AD919" s="64" t="str">
        <f>IF($B919="","",(COUNTIFS(Rships!$C$2:$C$9990,$A919,Rships!$D$2:$D$9990,3)))</f>
        <v/>
      </c>
      <c r="AE919" s="64" t="str">
        <f>IF($B919="","",(COUNTIFS(Rships!$C$2:$C$9990,$A919,Rships!$D$2:$D$9990,4)))</f>
        <v/>
      </c>
      <c r="AF919" s="64" t="str">
        <f>IF($B919="","",(COUNTIFS(Rships!$C$2:$C$9990,$A919,Rships!$D$2:$D$9990,5)))</f>
        <v/>
      </c>
      <c r="AG919" s="64" t="str">
        <f>IF($B919="","",(COUNTIFS(Rships!$C$2:$C$9990,$A919,Rships!$D$2:$D$9990,6)))</f>
        <v/>
      </c>
      <c r="AH919" s="64" t="str">
        <f>IF($B919="","",(COUNTIFS(Rships!$C$2:$C$9990,$A919,Rships!$D$2:$D$9990,7)))</f>
        <v/>
      </c>
    </row>
    <row r="920" spans="1:34">
      <c r="A920" s="1" t="s">
        <v>1169</v>
      </c>
      <c r="C920" s="11" t="s">
        <v>19</v>
      </c>
      <c r="D920" s="11" t="s">
        <v>21</v>
      </c>
      <c r="F920" s="15"/>
      <c r="G920" s="15"/>
      <c r="I920" s="17"/>
      <c r="O920" s="11" t="s">
        <v>27</v>
      </c>
      <c r="Y920" s="64">
        <f t="shared" si="28"/>
        <v>0</v>
      </c>
      <c r="AA920" s="64">
        <f t="shared" si="29"/>
        <v>0</v>
      </c>
      <c r="AB920" s="64" t="str">
        <f>IF($B920="","",(COUNTIFS(Rships!$C$2:$C$9990,$A920,Rships!$D$2:$D$9990,1)))</f>
        <v/>
      </c>
      <c r="AC920" s="64" t="str">
        <f>IF($B920="","",(COUNTIFS(Rships!$C$2:$C$9990,$A920,Rships!$D$2:$D$9990,2)))</f>
        <v/>
      </c>
      <c r="AD920" s="64" t="str">
        <f>IF($B920="","",(COUNTIFS(Rships!$C$2:$C$9990,$A920,Rships!$D$2:$D$9990,3)))</f>
        <v/>
      </c>
      <c r="AE920" s="64" t="str">
        <f>IF($B920="","",(COUNTIFS(Rships!$C$2:$C$9990,$A920,Rships!$D$2:$D$9990,4)))</f>
        <v/>
      </c>
      <c r="AF920" s="64" t="str">
        <f>IF($B920="","",(COUNTIFS(Rships!$C$2:$C$9990,$A920,Rships!$D$2:$D$9990,5)))</f>
        <v/>
      </c>
      <c r="AG920" s="64" t="str">
        <f>IF($B920="","",(COUNTIFS(Rships!$C$2:$C$9990,$A920,Rships!$D$2:$D$9990,6)))</f>
        <v/>
      </c>
      <c r="AH920" s="64" t="str">
        <f>IF($B920="","",(COUNTIFS(Rships!$C$2:$C$9990,$A920,Rships!$D$2:$D$9990,7)))</f>
        <v/>
      </c>
    </row>
    <row r="921" spans="1:34">
      <c r="A921" s="1" t="s">
        <v>1170</v>
      </c>
      <c r="C921" s="11" t="s">
        <v>19</v>
      </c>
      <c r="D921" s="11" t="s">
        <v>21</v>
      </c>
      <c r="F921" s="15"/>
      <c r="G921" s="15"/>
      <c r="I921" s="17"/>
      <c r="O921" s="11" t="s">
        <v>27</v>
      </c>
      <c r="Y921" s="64">
        <f t="shared" si="28"/>
        <v>0</v>
      </c>
      <c r="AA921" s="64">
        <f t="shared" si="29"/>
        <v>0</v>
      </c>
      <c r="AB921" s="64" t="str">
        <f>IF($B921="","",(COUNTIFS(Rships!$C$2:$C$9990,$A921,Rships!$D$2:$D$9990,1)))</f>
        <v/>
      </c>
      <c r="AC921" s="64" t="str">
        <f>IF($B921="","",(COUNTIFS(Rships!$C$2:$C$9990,$A921,Rships!$D$2:$D$9990,2)))</f>
        <v/>
      </c>
      <c r="AD921" s="64" t="str">
        <f>IF($B921="","",(COUNTIFS(Rships!$C$2:$C$9990,$A921,Rships!$D$2:$D$9990,3)))</f>
        <v/>
      </c>
      <c r="AE921" s="64" t="str">
        <f>IF($B921="","",(COUNTIFS(Rships!$C$2:$C$9990,$A921,Rships!$D$2:$D$9990,4)))</f>
        <v/>
      </c>
      <c r="AF921" s="64" t="str">
        <f>IF($B921="","",(COUNTIFS(Rships!$C$2:$C$9990,$A921,Rships!$D$2:$D$9990,5)))</f>
        <v/>
      </c>
      <c r="AG921" s="64" t="str">
        <f>IF($B921="","",(COUNTIFS(Rships!$C$2:$C$9990,$A921,Rships!$D$2:$D$9990,6)))</f>
        <v/>
      </c>
      <c r="AH921" s="64" t="str">
        <f>IF($B921="","",(COUNTIFS(Rships!$C$2:$C$9990,$A921,Rships!$D$2:$D$9990,7)))</f>
        <v/>
      </c>
    </row>
    <row r="922" spans="1:34">
      <c r="A922" s="1" t="s">
        <v>1171</v>
      </c>
      <c r="C922" s="11" t="s">
        <v>19</v>
      </c>
      <c r="D922" s="11" t="s">
        <v>21</v>
      </c>
      <c r="F922" s="15"/>
      <c r="G922" s="15"/>
      <c r="I922" s="17"/>
      <c r="O922" s="11" t="s">
        <v>27</v>
      </c>
      <c r="Y922" s="64">
        <f t="shared" si="28"/>
        <v>0</v>
      </c>
      <c r="AA922" s="64">
        <f t="shared" si="29"/>
        <v>0</v>
      </c>
      <c r="AB922" s="64" t="str">
        <f>IF($B922="","",(COUNTIFS(Rships!$C$2:$C$9990,$A922,Rships!$D$2:$D$9990,1)))</f>
        <v/>
      </c>
      <c r="AC922" s="64" t="str">
        <f>IF($B922="","",(COUNTIFS(Rships!$C$2:$C$9990,$A922,Rships!$D$2:$D$9990,2)))</f>
        <v/>
      </c>
      <c r="AD922" s="64" t="str">
        <f>IF($B922="","",(COUNTIFS(Rships!$C$2:$C$9990,$A922,Rships!$D$2:$D$9990,3)))</f>
        <v/>
      </c>
      <c r="AE922" s="64" t="str">
        <f>IF($B922="","",(COUNTIFS(Rships!$C$2:$C$9990,$A922,Rships!$D$2:$D$9990,4)))</f>
        <v/>
      </c>
      <c r="AF922" s="64" t="str">
        <f>IF($B922="","",(COUNTIFS(Rships!$C$2:$C$9990,$A922,Rships!$D$2:$D$9990,5)))</f>
        <v/>
      </c>
      <c r="AG922" s="64" t="str">
        <f>IF($B922="","",(COUNTIFS(Rships!$C$2:$C$9990,$A922,Rships!$D$2:$D$9990,6)))</f>
        <v/>
      </c>
      <c r="AH922" s="64" t="str">
        <f>IF($B922="","",(COUNTIFS(Rships!$C$2:$C$9990,$A922,Rships!$D$2:$D$9990,7)))</f>
        <v/>
      </c>
    </row>
    <row r="923" spans="1:34">
      <c r="A923" s="1" t="s">
        <v>1172</v>
      </c>
      <c r="C923" s="11" t="s">
        <v>19</v>
      </c>
      <c r="D923" s="11" t="s">
        <v>21</v>
      </c>
      <c r="F923" s="15"/>
      <c r="G923" s="15"/>
      <c r="I923" s="17"/>
      <c r="O923" s="11" t="s">
        <v>27</v>
      </c>
      <c r="Y923" s="64">
        <f t="shared" si="28"/>
        <v>0</v>
      </c>
      <c r="AA923" s="64">
        <f t="shared" si="29"/>
        <v>0</v>
      </c>
      <c r="AB923" s="64" t="str">
        <f>IF($B923="","",(COUNTIFS(Rships!$C$2:$C$9990,$A923,Rships!$D$2:$D$9990,1)))</f>
        <v/>
      </c>
      <c r="AC923" s="64" t="str">
        <f>IF($B923="","",(COUNTIFS(Rships!$C$2:$C$9990,$A923,Rships!$D$2:$D$9990,2)))</f>
        <v/>
      </c>
      <c r="AD923" s="64" t="str">
        <f>IF($B923="","",(COUNTIFS(Rships!$C$2:$C$9990,$A923,Rships!$D$2:$D$9990,3)))</f>
        <v/>
      </c>
      <c r="AE923" s="64" t="str">
        <f>IF($B923="","",(COUNTIFS(Rships!$C$2:$C$9990,$A923,Rships!$D$2:$D$9990,4)))</f>
        <v/>
      </c>
      <c r="AF923" s="64" t="str">
        <f>IF($B923="","",(COUNTIFS(Rships!$C$2:$C$9990,$A923,Rships!$D$2:$D$9990,5)))</f>
        <v/>
      </c>
      <c r="AG923" s="64" t="str">
        <f>IF($B923="","",(COUNTIFS(Rships!$C$2:$C$9990,$A923,Rships!$D$2:$D$9990,6)))</f>
        <v/>
      </c>
      <c r="AH923" s="64" t="str">
        <f>IF($B923="","",(COUNTIFS(Rships!$C$2:$C$9990,$A923,Rships!$D$2:$D$9990,7)))</f>
        <v/>
      </c>
    </row>
    <row r="924" spans="1:34">
      <c r="A924" s="1" t="s">
        <v>1173</v>
      </c>
      <c r="C924" s="11" t="s">
        <v>19</v>
      </c>
      <c r="D924" s="11" t="s">
        <v>21</v>
      </c>
      <c r="F924" s="15"/>
      <c r="G924" s="15"/>
      <c r="I924" s="17"/>
      <c r="O924" s="11" t="s">
        <v>27</v>
      </c>
      <c r="Y924" s="64">
        <f t="shared" si="28"/>
        <v>0</v>
      </c>
      <c r="AA924" s="64">
        <f t="shared" si="29"/>
        <v>0</v>
      </c>
      <c r="AB924" s="64" t="str">
        <f>IF($B924="","",(COUNTIFS(Rships!$C$2:$C$9990,$A924,Rships!$D$2:$D$9990,1)))</f>
        <v/>
      </c>
      <c r="AC924" s="64" t="str">
        <f>IF($B924="","",(COUNTIFS(Rships!$C$2:$C$9990,$A924,Rships!$D$2:$D$9990,2)))</f>
        <v/>
      </c>
      <c r="AD924" s="64" t="str">
        <f>IF($B924="","",(COUNTIFS(Rships!$C$2:$C$9990,$A924,Rships!$D$2:$D$9990,3)))</f>
        <v/>
      </c>
      <c r="AE924" s="64" t="str">
        <f>IF($B924="","",(COUNTIFS(Rships!$C$2:$C$9990,$A924,Rships!$D$2:$D$9990,4)))</f>
        <v/>
      </c>
      <c r="AF924" s="64" t="str">
        <f>IF($B924="","",(COUNTIFS(Rships!$C$2:$C$9990,$A924,Rships!$D$2:$D$9990,5)))</f>
        <v/>
      </c>
      <c r="AG924" s="64" t="str">
        <f>IF($B924="","",(COUNTIFS(Rships!$C$2:$C$9990,$A924,Rships!$D$2:$D$9990,6)))</f>
        <v/>
      </c>
      <c r="AH924" s="64" t="str">
        <f>IF($B924="","",(COUNTIFS(Rships!$C$2:$C$9990,$A924,Rships!$D$2:$D$9990,7)))</f>
        <v/>
      </c>
    </row>
    <row r="925" spans="1:34">
      <c r="A925" s="1" t="s">
        <v>1174</v>
      </c>
      <c r="C925" s="11" t="s">
        <v>19</v>
      </c>
      <c r="D925" s="11" t="s">
        <v>21</v>
      </c>
      <c r="F925" s="15"/>
      <c r="G925" s="15"/>
      <c r="I925" s="17"/>
      <c r="O925" s="11" t="s">
        <v>27</v>
      </c>
      <c r="Y925" s="64">
        <f t="shared" si="28"/>
        <v>0</v>
      </c>
      <c r="AA925" s="64">
        <f t="shared" si="29"/>
        <v>0</v>
      </c>
      <c r="AB925" s="64" t="str">
        <f>IF($B925="","",(COUNTIFS(Rships!$C$2:$C$9990,$A925,Rships!$D$2:$D$9990,1)))</f>
        <v/>
      </c>
      <c r="AC925" s="64" t="str">
        <f>IF($B925="","",(COUNTIFS(Rships!$C$2:$C$9990,$A925,Rships!$D$2:$D$9990,2)))</f>
        <v/>
      </c>
      <c r="AD925" s="64" t="str">
        <f>IF($B925="","",(COUNTIFS(Rships!$C$2:$C$9990,$A925,Rships!$D$2:$D$9990,3)))</f>
        <v/>
      </c>
      <c r="AE925" s="64" t="str">
        <f>IF($B925="","",(COUNTIFS(Rships!$C$2:$C$9990,$A925,Rships!$D$2:$D$9990,4)))</f>
        <v/>
      </c>
      <c r="AF925" s="64" t="str">
        <f>IF($B925="","",(COUNTIFS(Rships!$C$2:$C$9990,$A925,Rships!$D$2:$D$9990,5)))</f>
        <v/>
      </c>
      <c r="AG925" s="64" t="str">
        <f>IF($B925="","",(COUNTIFS(Rships!$C$2:$C$9990,$A925,Rships!$D$2:$D$9990,6)))</f>
        <v/>
      </c>
      <c r="AH925" s="64" t="str">
        <f>IF($B925="","",(COUNTIFS(Rships!$C$2:$C$9990,$A925,Rships!$D$2:$D$9990,7)))</f>
        <v/>
      </c>
    </row>
    <row r="926" spans="1:34">
      <c r="A926" s="1" t="s">
        <v>1175</v>
      </c>
      <c r="C926" s="11" t="s">
        <v>19</v>
      </c>
      <c r="D926" s="11" t="s">
        <v>21</v>
      </c>
      <c r="F926" s="15"/>
      <c r="G926" s="15"/>
      <c r="I926" s="17"/>
      <c r="O926" s="11" t="s">
        <v>27</v>
      </c>
      <c r="Y926" s="64">
        <f t="shared" si="28"/>
        <v>0</v>
      </c>
      <c r="AA926" s="64">
        <f t="shared" si="29"/>
        <v>0</v>
      </c>
      <c r="AB926" s="64" t="str">
        <f>IF($B926="","",(COUNTIFS(Rships!$C$2:$C$9990,$A926,Rships!$D$2:$D$9990,1)))</f>
        <v/>
      </c>
      <c r="AC926" s="64" t="str">
        <f>IF($B926="","",(COUNTIFS(Rships!$C$2:$C$9990,$A926,Rships!$D$2:$D$9990,2)))</f>
        <v/>
      </c>
      <c r="AD926" s="64" t="str">
        <f>IF($B926="","",(COUNTIFS(Rships!$C$2:$C$9990,$A926,Rships!$D$2:$D$9990,3)))</f>
        <v/>
      </c>
      <c r="AE926" s="64" t="str">
        <f>IF($B926="","",(COUNTIFS(Rships!$C$2:$C$9990,$A926,Rships!$D$2:$D$9990,4)))</f>
        <v/>
      </c>
      <c r="AF926" s="64" t="str">
        <f>IF($B926="","",(COUNTIFS(Rships!$C$2:$C$9990,$A926,Rships!$D$2:$D$9990,5)))</f>
        <v/>
      </c>
      <c r="AG926" s="64" t="str">
        <f>IF($B926="","",(COUNTIFS(Rships!$C$2:$C$9990,$A926,Rships!$D$2:$D$9990,6)))</f>
        <v/>
      </c>
      <c r="AH926" s="64" t="str">
        <f>IF($B926="","",(COUNTIFS(Rships!$C$2:$C$9990,$A926,Rships!$D$2:$D$9990,7)))</f>
        <v/>
      </c>
    </row>
    <row r="927" spans="1:34">
      <c r="A927" s="1" t="s">
        <v>1176</v>
      </c>
      <c r="C927" s="11" t="s">
        <v>19</v>
      </c>
      <c r="D927" s="11" t="s">
        <v>21</v>
      </c>
      <c r="F927" s="15"/>
      <c r="G927" s="15"/>
      <c r="I927" s="17"/>
      <c r="O927" s="11" t="s">
        <v>27</v>
      </c>
      <c r="Y927" s="64">
        <f t="shared" si="28"/>
        <v>0</v>
      </c>
      <c r="AA927" s="64">
        <f t="shared" si="29"/>
        <v>0</v>
      </c>
      <c r="AB927" s="64" t="str">
        <f>IF($B927="","",(COUNTIFS(Rships!$C$2:$C$9990,$A927,Rships!$D$2:$D$9990,1)))</f>
        <v/>
      </c>
      <c r="AC927" s="64" t="str">
        <f>IF($B927="","",(COUNTIFS(Rships!$C$2:$C$9990,$A927,Rships!$D$2:$D$9990,2)))</f>
        <v/>
      </c>
      <c r="AD927" s="64" t="str">
        <f>IF($B927="","",(COUNTIFS(Rships!$C$2:$C$9990,$A927,Rships!$D$2:$D$9990,3)))</f>
        <v/>
      </c>
      <c r="AE927" s="64" t="str">
        <f>IF($B927="","",(COUNTIFS(Rships!$C$2:$C$9990,$A927,Rships!$D$2:$D$9990,4)))</f>
        <v/>
      </c>
      <c r="AF927" s="64" t="str">
        <f>IF($B927="","",(COUNTIFS(Rships!$C$2:$C$9990,$A927,Rships!$D$2:$D$9990,5)))</f>
        <v/>
      </c>
      <c r="AG927" s="64" t="str">
        <f>IF($B927="","",(COUNTIFS(Rships!$C$2:$C$9990,$A927,Rships!$D$2:$D$9990,6)))</f>
        <v/>
      </c>
      <c r="AH927" s="64" t="str">
        <f>IF($B927="","",(COUNTIFS(Rships!$C$2:$C$9990,$A927,Rships!$D$2:$D$9990,7)))</f>
        <v/>
      </c>
    </row>
    <row r="928" spans="1:34">
      <c r="A928" s="1" t="s">
        <v>1177</v>
      </c>
      <c r="C928" s="11" t="s">
        <v>19</v>
      </c>
      <c r="D928" s="11" t="s">
        <v>21</v>
      </c>
      <c r="F928" s="15"/>
      <c r="G928" s="15"/>
      <c r="I928" s="17"/>
      <c r="O928" s="11" t="s">
        <v>27</v>
      </c>
      <c r="Y928" s="64">
        <f t="shared" si="28"/>
        <v>0</v>
      </c>
      <c r="AA928" s="64">
        <f t="shared" si="29"/>
        <v>0</v>
      </c>
      <c r="AB928" s="64" t="str">
        <f>IF($B928="","",(COUNTIFS(Rships!$C$2:$C$9990,$A928,Rships!$D$2:$D$9990,1)))</f>
        <v/>
      </c>
      <c r="AC928" s="64" t="str">
        <f>IF($B928="","",(COUNTIFS(Rships!$C$2:$C$9990,$A928,Rships!$D$2:$D$9990,2)))</f>
        <v/>
      </c>
      <c r="AD928" s="64" t="str">
        <f>IF($B928="","",(COUNTIFS(Rships!$C$2:$C$9990,$A928,Rships!$D$2:$D$9990,3)))</f>
        <v/>
      </c>
      <c r="AE928" s="64" t="str">
        <f>IF($B928="","",(COUNTIFS(Rships!$C$2:$C$9990,$A928,Rships!$D$2:$D$9990,4)))</f>
        <v/>
      </c>
      <c r="AF928" s="64" t="str">
        <f>IF($B928="","",(COUNTIFS(Rships!$C$2:$C$9990,$A928,Rships!$D$2:$D$9990,5)))</f>
        <v/>
      </c>
      <c r="AG928" s="64" t="str">
        <f>IF($B928="","",(COUNTIFS(Rships!$C$2:$C$9990,$A928,Rships!$D$2:$D$9990,6)))</f>
        <v/>
      </c>
      <c r="AH928" s="64" t="str">
        <f>IF($B928="","",(COUNTIFS(Rships!$C$2:$C$9990,$A928,Rships!$D$2:$D$9990,7)))</f>
        <v/>
      </c>
    </row>
    <row r="929" spans="1:34">
      <c r="A929" s="1" t="s">
        <v>1178</v>
      </c>
      <c r="C929" s="11" t="s">
        <v>19</v>
      </c>
      <c r="D929" s="11" t="s">
        <v>21</v>
      </c>
      <c r="F929" s="15"/>
      <c r="G929" s="15"/>
      <c r="I929" s="17"/>
      <c r="O929" s="11" t="s">
        <v>27</v>
      </c>
      <c r="Y929" s="64">
        <f t="shared" si="28"/>
        <v>0</v>
      </c>
      <c r="AA929" s="64">
        <f t="shared" si="29"/>
        <v>0</v>
      </c>
      <c r="AB929" s="64" t="str">
        <f>IF($B929="","",(COUNTIFS(Rships!$C$2:$C$9990,$A929,Rships!$D$2:$D$9990,1)))</f>
        <v/>
      </c>
      <c r="AC929" s="64" t="str">
        <f>IF($B929="","",(COUNTIFS(Rships!$C$2:$C$9990,$A929,Rships!$D$2:$D$9990,2)))</f>
        <v/>
      </c>
      <c r="AD929" s="64" t="str">
        <f>IF($B929="","",(COUNTIFS(Rships!$C$2:$C$9990,$A929,Rships!$D$2:$D$9990,3)))</f>
        <v/>
      </c>
      <c r="AE929" s="64" t="str">
        <f>IF($B929="","",(COUNTIFS(Rships!$C$2:$C$9990,$A929,Rships!$D$2:$D$9990,4)))</f>
        <v/>
      </c>
      <c r="AF929" s="64" t="str">
        <f>IF($B929="","",(COUNTIFS(Rships!$C$2:$C$9990,$A929,Rships!$D$2:$D$9990,5)))</f>
        <v/>
      </c>
      <c r="AG929" s="64" t="str">
        <f>IF($B929="","",(COUNTIFS(Rships!$C$2:$C$9990,$A929,Rships!$D$2:$D$9990,6)))</f>
        <v/>
      </c>
      <c r="AH929" s="64" t="str">
        <f>IF($B929="","",(COUNTIFS(Rships!$C$2:$C$9990,$A929,Rships!$D$2:$D$9990,7)))</f>
        <v/>
      </c>
    </row>
    <row r="930" spans="1:34">
      <c r="A930" s="1" t="s">
        <v>1179</v>
      </c>
      <c r="C930" s="11" t="s">
        <v>19</v>
      </c>
      <c r="D930" s="11" t="s">
        <v>21</v>
      </c>
      <c r="F930" s="15"/>
      <c r="G930" s="15"/>
      <c r="I930" s="17"/>
      <c r="O930" s="11" t="s">
        <v>27</v>
      </c>
      <c r="Y930" s="64">
        <f t="shared" si="28"/>
        <v>0</v>
      </c>
      <c r="AA930" s="64">
        <f t="shared" si="29"/>
        <v>0</v>
      </c>
      <c r="AB930" s="64" t="str">
        <f>IF($B930="","",(COUNTIFS(Rships!$C$2:$C$9990,$A930,Rships!$D$2:$D$9990,1)))</f>
        <v/>
      </c>
      <c r="AC930" s="64" t="str">
        <f>IF($B930="","",(COUNTIFS(Rships!$C$2:$C$9990,$A930,Rships!$D$2:$D$9990,2)))</f>
        <v/>
      </c>
      <c r="AD930" s="64" t="str">
        <f>IF($B930="","",(COUNTIFS(Rships!$C$2:$C$9990,$A930,Rships!$D$2:$D$9990,3)))</f>
        <v/>
      </c>
      <c r="AE930" s="64" t="str">
        <f>IF($B930="","",(COUNTIFS(Rships!$C$2:$C$9990,$A930,Rships!$D$2:$D$9990,4)))</f>
        <v/>
      </c>
      <c r="AF930" s="64" t="str">
        <f>IF($B930="","",(COUNTIFS(Rships!$C$2:$C$9990,$A930,Rships!$D$2:$D$9990,5)))</f>
        <v/>
      </c>
      <c r="AG930" s="64" t="str">
        <f>IF($B930="","",(COUNTIFS(Rships!$C$2:$C$9990,$A930,Rships!$D$2:$D$9990,6)))</f>
        <v/>
      </c>
      <c r="AH930" s="64" t="str">
        <f>IF($B930="","",(COUNTIFS(Rships!$C$2:$C$9990,$A930,Rships!$D$2:$D$9990,7)))</f>
        <v/>
      </c>
    </row>
    <row r="931" spans="1:34">
      <c r="A931" s="1" t="s">
        <v>1180</v>
      </c>
      <c r="C931" s="11" t="s">
        <v>19</v>
      </c>
      <c r="D931" s="11" t="s">
        <v>21</v>
      </c>
      <c r="F931" s="15"/>
      <c r="G931" s="15"/>
      <c r="I931" s="17"/>
      <c r="O931" s="11" t="s">
        <v>27</v>
      </c>
      <c r="Y931" s="64">
        <f t="shared" si="28"/>
        <v>0</v>
      </c>
      <c r="AA931" s="64">
        <f t="shared" si="29"/>
        <v>0</v>
      </c>
      <c r="AB931" s="64" t="str">
        <f>IF($B931="","",(COUNTIFS(Rships!$C$2:$C$9990,$A931,Rships!$D$2:$D$9990,1)))</f>
        <v/>
      </c>
      <c r="AC931" s="64" t="str">
        <f>IF($B931="","",(COUNTIFS(Rships!$C$2:$C$9990,$A931,Rships!$D$2:$D$9990,2)))</f>
        <v/>
      </c>
      <c r="AD931" s="64" t="str">
        <f>IF($B931="","",(COUNTIFS(Rships!$C$2:$C$9990,$A931,Rships!$D$2:$D$9990,3)))</f>
        <v/>
      </c>
      <c r="AE931" s="64" t="str">
        <f>IF($B931="","",(COUNTIFS(Rships!$C$2:$C$9990,$A931,Rships!$D$2:$D$9990,4)))</f>
        <v/>
      </c>
      <c r="AF931" s="64" t="str">
        <f>IF($B931="","",(COUNTIFS(Rships!$C$2:$C$9990,$A931,Rships!$D$2:$D$9990,5)))</f>
        <v/>
      </c>
      <c r="AG931" s="64" t="str">
        <f>IF($B931="","",(COUNTIFS(Rships!$C$2:$C$9990,$A931,Rships!$D$2:$D$9990,6)))</f>
        <v/>
      </c>
      <c r="AH931" s="64" t="str">
        <f>IF($B931="","",(COUNTIFS(Rships!$C$2:$C$9990,$A931,Rships!$D$2:$D$9990,7)))</f>
        <v/>
      </c>
    </row>
    <row r="932" spans="1:34">
      <c r="A932" s="1" t="s">
        <v>1181</v>
      </c>
      <c r="C932" s="11" t="s">
        <v>19</v>
      </c>
      <c r="D932" s="11" t="s">
        <v>21</v>
      </c>
      <c r="F932" s="15"/>
      <c r="G932" s="15"/>
      <c r="I932" s="17"/>
      <c r="O932" s="11" t="s">
        <v>27</v>
      </c>
      <c r="Y932" s="64">
        <f t="shared" si="28"/>
        <v>0</v>
      </c>
      <c r="AA932" s="64">
        <f t="shared" si="29"/>
        <v>0</v>
      </c>
      <c r="AB932" s="64" t="str">
        <f>IF($B932="","",(COUNTIFS(Rships!$C$2:$C$9990,$A932,Rships!$D$2:$D$9990,1)))</f>
        <v/>
      </c>
      <c r="AC932" s="64" t="str">
        <f>IF($B932="","",(COUNTIFS(Rships!$C$2:$C$9990,$A932,Rships!$D$2:$D$9990,2)))</f>
        <v/>
      </c>
      <c r="AD932" s="64" t="str">
        <f>IF($B932="","",(COUNTIFS(Rships!$C$2:$C$9990,$A932,Rships!$D$2:$D$9990,3)))</f>
        <v/>
      </c>
      <c r="AE932" s="64" t="str">
        <f>IF($B932="","",(COUNTIFS(Rships!$C$2:$C$9990,$A932,Rships!$D$2:$D$9990,4)))</f>
        <v/>
      </c>
      <c r="AF932" s="64" t="str">
        <f>IF($B932="","",(COUNTIFS(Rships!$C$2:$C$9990,$A932,Rships!$D$2:$D$9990,5)))</f>
        <v/>
      </c>
      <c r="AG932" s="64" t="str">
        <f>IF($B932="","",(COUNTIFS(Rships!$C$2:$C$9990,$A932,Rships!$D$2:$D$9990,6)))</f>
        <v/>
      </c>
      <c r="AH932" s="64" t="str">
        <f>IF($B932="","",(COUNTIFS(Rships!$C$2:$C$9990,$A932,Rships!$D$2:$D$9990,7)))</f>
        <v/>
      </c>
    </row>
    <row r="933" spans="1:34">
      <c r="A933" s="1" t="s">
        <v>1182</v>
      </c>
      <c r="C933" s="11" t="s">
        <v>19</v>
      </c>
      <c r="D933" s="11" t="s">
        <v>21</v>
      </c>
      <c r="F933" s="15"/>
      <c r="G933" s="15"/>
      <c r="I933" s="17"/>
      <c r="O933" s="11" t="s">
        <v>27</v>
      </c>
      <c r="Y933" s="64">
        <f t="shared" si="28"/>
        <v>0</v>
      </c>
      <c r="AA933" s="64">
        <f t="shared" si="29"/>
        <v>0</v>
      </c>
      <c r="AB933" s="64" t="str">
        <f>IF($B933="","",(COUNTIFS(Rships!$C$2:$C$9990,$A933,Rships!$D$2:$D$9990,1)))</f>
        <v/>
      </c>
      <c r="AC933" s="64" t="str">
        <f>IF($B933="","",(COUNTIFS(Rships!$C$2:$C$9990,$A933,Rships!$D$2:$D$9990,2)))</f>
        <v/>
      </c>
      <c r="AD933" s="64" t="str">
        <f>IF($B933="","",(COUNTIFS(Rships!$C$2:$C$9990,$A933,Rships!$D$2:$D$9990,3)))</f>
        <v/>
      </c>
      <c r="AE933" s="64" t="str">
        <f>IF($B933="","",(COUNTIFS(Rships!$C$2:$C$9990,$A933,Rships!$D$2:$D$9990,4)))</f>
        <v/>
      </c>
      <c r="AF933" s="64" t="str">
        <f>IF($B933="","",(COUNTIFS(Rships!$C$2:$C$9990,$A933,Rships!$D$2:$D$9990,5)))</f>
        <v/>
      </c>
      <c r="AG933" s="64" t="str">
        <f>IF($B933="","",(COUNTIFS(Rships!$C$2:$C$9990,$A933,Rships!$D$2:$D$9990,6)))</f>
        <v/>
      </c>
      <c r="AH933" s="64" t="str">
        <f>IF($B933="","",(COUNTIFS(Rships!$C$2:$C$9990,$A933,Rships!$D$2:$D$9990,7)))</f>
        <v/>
      </c>
    </row>
    <row r="934" spans="1:34">
      <c r="A934" s="1" t="s">
        <v>1183</v>
      </c>
      <c r="C934" s="11" t="s">
        <v>19</v>
      </c>
      <c r="D934" s="11" t="s">
        <v>21</v>
      </c>
      <c r="F934" s="15"/>
      <c r="G934" s="15"/>
      <c r="I934" s="17"/>
      <c r="O934" s="11" t="s">
        <v>27</v>
      </c>
      <c r="Y934" s="64">
        <f t="shared" si="28"/>
        <v>0</v>
      </c>
      <c r="AA934" s="64">
        <f t="shared" si="29"/>
        <v>0</v>
      </c>
      <c r="AB934" s="64" t="str">
        <f>IF($B934="","",(COUNTIFS(Rships!$C$2:$C$9990,$A934,Rships!$D$2:$D$9990,1)))</f>
        <v/>
      </c>
      <c r="AC934" s="64" t="str">
        <f>IF($B934="","",(COUNTIFS(Rships!$C$2:$C$9990,$A934,Rships!$D$2:$D$9990,2)))</f>
        <v/>
      </c>
      <c r="AD934" s="64" t="str">
        <f>IF($B934="","",(COUNTIFS(Rships!$C$2:$C$9990,$A934,Rships!$D$2:$D$9990,3)))</f>
        <v/>
      </c>
      <c r="AE934" s="64" t="str">
        <f>IF($B934="","",(COUNTIFS(Rships!$C$2:$C$9990,$A934,Rships!$D$2:$D$9990,4)))</f>
        <v/>
      </c>
      <c r="AF934" s="64" t="str">
        <f>IF($B934="","",(COUNTIFS(Rships!$C$2:$C$9990,$A934,Rships!$D$2:$D$9990,5)))</f>
        <v/>
      </c>
      <c r="AG934" s="64" t="str">
        <f>IF($B934="","",(COUNTIFS(Rships!$C$2:$C$9990,$A934,Rships!$D$2:$D$9990,6)))</f>
        <v/>
      </c>
      <c r="AH934" s="64" t="str">
        <f>IF($B934="","",(COUNTIFS(Rships!$C$2:$C$9990,$A934,Rships!$D$2:$D$9990,7)))</f>
        <v/>
      </c>
    </row>
    <row r="935" spans="1:34">
      <c r="A935" s="1" t="s">
        <v>1184</v>
      </c>
      <c r="C935" s="11" t="s">
        <v>19</v>
      </c>
      <c r="D935" s="11" t="s">
        <v>21</v>
      </c>
      <c r="F935" s="15"/>
      <c r="G935" s="15"/>
      <c r="I935" s="17"/>
      <c r="O935" s="11" t="s">
        <v>27</v>
      </c>
      <c r="Y935" s="64">
        <f t="shared" si="28"/>
        <v>0</v>
      </c>
      <c r="AA935" s="64">
        <f t="shared" si="29"/>
        <v>0</v>
      </c>
      <c r="AB935" s="64" t="str">
        <f>IF($B935="","",(COUNTIFS(Rships!$C$2:$C$9990,$A935,Rships!$D$2:$D$9990,1)))</f>
        <v/>
      </c>
      <c r="AC935" s="64" t="str">
        <f>IF($B935="","",(COUNTIFS(Rships!$C$2:$C$9990,$A935,Rships!$D$2:$D$9990,2)))</f>
        <v/>
      </c>
      <c r="AD935" s="64" t="str">
        <f>IF($B935="","",(COUNTIFS(Rships!$C$2:$C$9990,$A935,Rships!$D$2:$D$9990,3)))</f>
        <v/>
      </c>
      <c r="AE935" s="64" t="str">
        <f>IF($B935="","",(COUNTIFS(Rships!$C$2:$C$9990,$A935,Rships!$D$2:$D$9990,4)))</f>
        <v/>
      </c>
      <c r="AF935" s="64" t="str">
        <f>IF($B935="","",(COUNTIFS(Rships!$C$2:$C$9990,$A935,Rships!$D$2:$D$9990,5)))</f>
        <v/>
      </c>
      <c r="AG935" s="64" t="str">
        <f>IF($B935="","",(COUNTIFS(Rships!$C$2:$C$9990,$A935,Rships!$D$2:$D$9990,6)))</f>
        <v/>
      </c>
      <c r="AH935" s="64" t="str">
        <f>IF($B935="","",(COUNTIFS(Rships!$C$2:$C$9990,$A935,Rships!$D$2:$D$9990,7)))</f>
        <v/>
      </c>
    </row>
    <row r="936" spans="1:34">
      <c r="A936" s="1" t="s">
        <v>1185</v>
      </c>
      <c r="C936" s="11" t="s">
        <v>19</v>
      </c>
      <c r="D936" s="11" t="s">
        <v>21</v>
      </c>
      <c r="F936" s="15"/>
      <c r="G936" s="15"/>
      <c r="I936" s="17"/>
      <c r="O936" s="11" t="s">
        <v>27</v>
      </c>
      <c r="Y936" s="64">
        <f t="shared" si="28"/>
        <v>0</v>
      </c>
      <c r="AA936" s="64">
        <f t="shared" si="29"/>
        <v>0</v>
      </c>
      <c r="AB936" s="64" t="str">
        <f>IF($B936="","",(COUNTIFS(Rships!$C$2:$C$9990,$A936,Rships!$D$2:$D$9990,1)))</f>
        <v/>
      </c>
      <c r="AC936" s="64" t="str">
        <f>IF($B936="","",(COUNTIFS(Rships!$C$2:$C$9990,$A936,Rships!$D$2:$D$9990,2)))</f>
        <v/>
      </c>
      <c r="AD936" s="64" t="str">
        <f>IF($B936="","",(COUNTIFS(Rships!$C$2:$C$9990,$A936,Rships!$D$2:$D$9990,3)))</f>
        <v/>
      </c>
      <c r="AE936" s="64" t="str">
        <f>IF($B936="","",(COUNTIFS(Rships!$C$2:$C$9990,$A936,Rships!$D$2:$D$9990,4)))</f>
        <v/>
      </c>
      <c r="AF936" s="64" t="str">
        <f>IF($B936="","",(COUNTIFS(Rships!$C$2:$C$9990,$A936,Rships!$D$2:$D$9990,5)))</f>
        <v/>
      </c>
      <c r="AG936" s="64" t="str">
        <f>IF($B936="","",(COUNTIFS(Rships!$C$2:$C$9990,$A936,Rships!$D$2:$D$9990,6)))</f>
        <v/>
      </c>
      <c r="AH936" s="64" t="str">
        <f>IF($B936="","",(COUNTIFS(Rships!$C$2:$C$9990,$A936,Rships!$D$2:$D$9990,7)))</f>
        <v/>
      </c>
    </row>
    <row r="937" spans="1:34">
      <c r="A937" s="1" t="s">
        <v>1186</v>
      </c>
      <c r="C937" s="11" t="s">
        <v>19</v>
      </c>
      <c r="D937" s="11" t="s">
        <v>21</v>
      </c>
      <c r="F937" s="15"/>
      <c r="G937" s="15"/>
      <c r="I937" s="17"/>
      <c r="O937" s="11" t="s">
        <v>27</v>
      </c>
      <c r="Y937" s="64">
        <f t="shared" si="28"/>
        <v>0</v>
      </c>
      <c r="AA937" s="64">
        <f t="shared" si="29"/>
        <v>0</v>
      </c>
      <c r="AB937" s="64" t="str">
        <f>IF($B937="","",(COUNTIFS(Rships!$C$2:$C$9990,$A937,Rships!$D$2:$D$9990,1)))</f>
        <v/>
      </c>
      <c r="AC937" s="64" t="str">
        <f>IF($B937="","",(COUNTIFS(Rships!$C$2:$C$9990,$A937,Rships!$D$2:$D$9990,2)))</f>
        <v/>
      </c>
      <c r="AD937" s="64" t="str">
        <f>IF($B937="","",(COUNTIFS(Rships!$C$2:$C$9990,$A937,Rships!$D$2:$D$9990,3)))</f>
        <v/>
      </c>
      <c r="AE937" s="64" t="str">
        <f>IF($B937="","",(COUNTIFS(Rships!$C$2:$C$9990,$A937,Rships!$D$2:$D$9990,4)))</f>
        <v/>
      </c>
      <c r="AF937" s="64" t="str">
        <f>IF($B937="","",(COUNTIFS(Rships!$C$2:$C$9990,$A937,Rships!$D$2:$D$9990,5)))</f>
        <v/>
      </c>
      <c r="AG937" s="64" t="str">
        <f>IF($B937="","",(COUNTIFS(Rships!$C$2:$C$9990,$A937,Rships!$D$2:$D$9990,6)))</f>
        <v/>
      </c>
      <c r="AH937" s="64" t="str">
        <f>IF($B937="","",(COUNTIFS(Rships!$C$2:$C$9990,$A937,Rships!$D$2:$D$9990,7)))</f>
        <v/>
      </c>
    </row>
    <row r="938" spans="1:34">
      <c r="A938" s="1" t="s">
        <v>1187</v>
      </c>
      <c r="C938" s="11" t="s">
        <v>19</v>
      </c>
      <c r="D938" s="11" t="s">
        <v>21</v>
      </c>
      <c r="F938" s="15"/>
      <c r="G938" s="15"/>
      <c r="I938" s="17"/>
      <c r="O938" s="11" t="s">
        <v>27</v>
      </c>
      <c r="Y938" s="64">
        <f t="shared" si="28"/>
        <v>0</v>
      </c>
      <c r="AA938" s="64">
        <f t="shared" si="29"/>
        <v>0</v>
      </c>
      <c r="AB938" s="64" t="str">
        <f>IF($B938="","",(COUNTIFS(Rships!$C$2:$C$9990,$A938,Rships!$D$2:$D$9990,1)))</f>
        <v/>
      </c>
      <c r="AC938" s="64" t="str">
        <f>IF($B938="","",(COUNTIFS(Rships!$C$2:$C$9990,$A938,Rships!$D$2:$D$9990,2)))</f>
        <v/>
      </c>
      <c r="AD938" s="64" t="str">
        <f>IF($B938="","",(COUNTIFS(Rships!$C$2:$C$9990,$A938,Rships!$D$2:$D$9990,3)))</f>
        <v/>
      </c>
      <c r="AE938" s="64" t="str">
        <f>IF($B938="","",(COUNTIFS(Rships!$C$2:$C$9990,$A938,Rships!$D$2:$D$9990,4)))</f>
        <v/>
      </c>
      <c r="AF938" s="64" t="str">
        <f>IF($B938="","",(COUNTIFS(Rships!$C$2:$C$9990,$A938,Rships!$D$2:$D$9990,5)))</f>
        <v/>
      </c>
      <c r="AG938" s="64" t="str">
        <f>IF($B938="","",(COUNTIFS(Rships!$C$2:$C$9990,$A938,Rships!$D$2:$D$9990,6)))</f>
        <v/>
      </c>
      <c r="AH938" s="64" t="str">
        <f>IF($B938="","",(COUNTIFS(Rships!$C$2:$C$9990,$A938,Rships!$D$2:$D$9990,7)))</f>
        <v/>
      </c>
    </row>
    <row r="939" spans="1:34">
      <c r="A939" s="1" t="s">
        <v>1188</v>
      </c>
      <c r="C939" s="11" t="s">
        <v>19</v>
      </c>
      <c r="D939" s="11" t="s">
        <v>21</v>
      </c>
      <c r="F939" s="15"/>
      <c r="G939" s="15"/>
      <c r="I939" s="17"/>
      <c r="O939" s="11" t="s">
        <v>27</v>
      </c>
      <c r="Y939" s="64">
        <f t="shared" si="28"/>
        <v>0</v>
      </c>
      <c r="AA939" s="64">
        <f t="shared" si="29"/>
        <v>0</v>
      </c>
      <c r="AB939" s="64" t="str">
        <f>IF($B939="","",(COUNTIFS(Rships!$C$2:$C$9990,$A939,Rships!$D$2:$D$9990,1)))</f>
        <v/>
      </c>
      <c r="AC939" s="64" t="str">
        <f>IF($B939="","",(COUNTIFS(Rships!$C$2:$C$9990,$A939,Rships!$D$2:$D$9990,2)))</f>
        <v/>
      </c>
      <c r="AD939" s="64" t="str">
        <f>IF($B939="","",(COUNTIFS(Rships!$C$2:$C$9990,$A939,Rships!$D$2:$D$9990,3)))</f>
        <v/>
      </c>
      <c r="AE939" s="64" t="str">
        <f>IF($B939="","",(COUNTIFS(Rships!$C$2:$C$9990,$A939,Rships!$D$2:$D$9990,4)))</f>
        <v/>
      </c>
      <c r="AF939" s="64" t="str">
        <f>IF($B939="","",(COUNTIFS(Rships!$C$2:$C$9990,$A939,Rships!$D$2:$D$9990,5)))</f>
        <v/>
      </c>
      <c r="AG939" s="64" t="str">
        <f>IF($B939="","",(COUNTIFS(Rships!$C$2:$C$9990,$A939,Rships!$D$2:$D$9990,6)))</f>
        <v/>
      </c>
      <c r="AH939" s="64" t="str">
        <f>IF($B939="","",(COUNTIFS(Rships!$C$2:$C$9990,$A939,Rships!$D$2:$D$9990,7)))</f>
        <v/>
      </c>
    </row>
    <row r="940" spans="1:34">
      <c r="A940" s="1" t="s">
        <v>1189</v>
      </c>
      <c r="C940" s="11" t="s">
        <v>19</v>
      </c>
      <c r="D940" s="11" t="s">
        <v>21</v>
      </c>
      <c r="F940" s="15"/>
      <c r="G940" s="15"/>
      <c r="I940" s="17"/>
      <c r="O940" s="11" t="s">
        <v>27</v>
      </c>
      <c r="Y940" s="64">
        <f t="shared" si="28"/>
        <v>0</v>
      </c>
      <c r="AA940" s="64">
        <f t="shared" si="29"/>
        <v>0</v>
      </c>
      <c r="AB940" s="64" t="str">
        <f>IF($B940="","",(COUNTIFS(Rships!$C$2:$C$9990,$A940,Rships!$D$2:$D$9990,1)))</f>
        <v/>
      </c>
      <c r="AC940" s="64" t="str">
        <f>IF($B940="","",(COUNTIFS(Rships!$C$2:$C$9990,$A940,Rships!$D$2:$D$9990,2)))</f>
        <v/>
      </c>
      <c r="AD940" s="64" t="str">
        <f>IF($B940="","",(COUNTIFS(Rships!$C$2:$C$9990,$A940,Rships!$D$2:$D$9990,3)))</f>
        <v/>
      </c>
      <c r="AE940" s="64" t="str">
        <f>IF($B940="","",(COUNTIFS(Rships!$C$2:$C$9990,$A940,Rships!$D$2:$D$9990,4)))</f>
        <v/>
      </c>
      <c r="AF940" s="64" t="str">
        <f>IF($B940="","",(COUNTIFS(Rships!$C$2:$C$9990,$A940,Rships!$D$2:$D$9990,5)))</f>
        <v/>
      </c>
      <c r="AG940" s="64" t="str">
        <f>IF($B940="","",(COUNTIFS(Rships!$C$2:$C$9990,$A940,Rships!$D$2:$D$9990,6)))</f>
        <v/>
      </c>
      <c r="AH940" s="64" t="str">
        <f>IF($B940="","",(COUNTIFS(Rships!$C$2:$C$9990,$A940,Rships!$D$2:$D$9990,7)))</f>
        <v/>
      </c>
    </row>
    <row r="941" spans="1:34">
      <c r="A941" s="1" t="s">
        <v>1190</v>
      </c>
      <c r="C941" s="11" t="s">
        <v>19</v>
      </c>
      <c r="D941" s="11" t="s">
        <v>21</v>
      </c>
      <c r="F941" s="15"/>
      <c r="G941" s="15"/>
      <c r="I941" s="17"/>
      <c r="O941" s="11" t="s">
        <v>27</v>
      </c>
      <c r="Y941" s="64">
        <f t="shared" si="28"/>
        <v>0</v>
      </c>
      <c r="AA941" s="64">
        <f t="shared" si="29"/>
        <v>0</v>
      </c>
      <c r="AB941" s="64" t="str">
        <f>IF($B941="","",(COUNTIFS(Rships!$C$2:$C$9990,$A941,Rships!$D$2:$D$9990,1)))</f>
        <v/>
      </c>
      <c r="AC941" s="64" t="str">
        <f>IF($B941="","",(COUNTIFS(Rships!$C$2:$C$9990,$A941,Rships!$D$2:$D$9990,2)))</f>
        <v/>
      </c>
      <c r="AD941" s="64" t="str">
        <f>IF($B941="","",(COUNTIFS(Rships!$C$2:$C$9990,$A941,Rships!$D$2:$D$9990,3)))</f>
        <v/>
      </c>
      <c r="AE941" s="64" t="str">
        <f>IF($B941="","",(COUNTIFS(Rships!$C$2:$C$9990,$A941,Rships!$D$2:$D$9990,4)))</f>
        <v/>
      </c>
      <c r="AF941" s="64" t="str">
        <f>IF($B941="","",(COUNTIFS(Rships!$C$2:$C$9990,$A941,Rships!$D$2:$D$9990,5)))</f>
        <v/>
      </c>
      <c r="AG941" s="64" t="str">
        <f>IF($B941="","",(COUNTIFS(Rships!$C$2:$C$9990,$A941,Rships!$D$2:$D$9990,6)))</f>
        <v/>
      </c>
      <c r="AH941" s="64" t="str">
        <f>IF($B941="","",(COUNTIFS(Rships!$C$2:$C$9990,$A941,Rships!$D$2:$D$9990,7)))</f>
        <v/>
      </c>
    </row>
    <row r="942" spans="1:34">
      <c r="A942" s="1" t="s">
        <v>1191</v>
      </c>
      <c r="C942" s="11" t="s">
        <v>19</v>
      </c>
      <c r="D942" s="11" t="s">
        <v>21</v>
      </c>
      <c r="F942" s="15"/>
      <c r="G942" s="15"/>
      <c r="I942" s="17"/>
      <c r="O942" s="11" t="s">
        <v>27</v>
      </c>
      <c r="Y942" s="64">
        <f t="shared" si="28"/>
        <v>0</v>
      </c>
      <c r="AA942" s="64">
        <f t="shared" si="29"/>
        <v>0</v>
      </c>
      <c r="AB942" s="64" t="str">
        <f>IF($B942="","",(COUNTIFS(Rships!$C$2:$C$9990,$A942,Rships!$D$2:$D$9990,1)))</f>
        <v/>
      </c>
      <c r="AC942" s="64" t="str">
        <f>IF($B942="","",(COUNTIFS(Rships!$C$2:$C$9990,$A942,Rships!$D$2:$D$9990,2)))</f>
        <v/>
      </c>
      <c r="AD942" s="64" t="str">
        <f>IF($B942="","",(COUNTIFS(Rships!$C$2:$C$9990,$A942,Rships!$D$2:$D$9990,3)))</f>
        <v/>
      </c>
      <c r="AE942" s="64" t="str">
        <f>IF($B942="","",(COUNTIFS(Rships!$C$2:$C$9990,$A942,Rships!$D$2:$D$9990,4)))</f>
        <v/>
      </c>
      <c r="AF942" s="64" t="str">
        <f>IF($B942="","",(COUNTIFS(Rships!$C$2:$C$9990,$A942,Rships!$D$2:$D$9990,5)))</f>
        <v/>
      </c>
      <c r="AG942" s="64" t="str">
        <f>IF($B942="","",(COUNTIFS(Rships!$C$2:$C$9990,$A942,Rships!$D$2:$D$9990,6)))</f>
        <v/>
      </c>
      <c r="AH942" s="64" t="str">
        <f>IF($B942="","",(COUNTIFS(Rships!$C$2:$C$9990,$A942,Rships!$D$2:$D$9990,7)))</f>
        <v/>
      </c>
    </row>
    <row r="943" spans="1:34">
      <c r="A943" s="1" t="s">
        <v>1192</v>
      </c>
      <c r="C943" s="11" t="s">
        <v>19</v>
      </c>
      <c r="D943" s="11" t="s">
        <v>21</v>
      </c>
      <c r="F943" s="15"/>
      <c r="G943" s="15"/>
      <c r="I943" s="17"/>
      <c r="O943" s="11" t="s">
        <v>27</v>
      </c>
      <c r="Y943" s="64">
        <f t="shared" si="28"/>
        <v>0</v>
      </c>
      <c r="AA943" s="64">
        <f t="shared" si="29"/>
        <v>0</v>
      </c>
      <c r="AB943" s="64" t="str">
        <f>IF($B943="","",(COUNTIFS(Rships!$C$2:$C$9990,$A943,Rships!$D$2:$D$9990,1)))</f>
        <v/>
      </c>
      <c r="AC943" s="64" t="str">
        <f>IF($B943="","",(COUNTIFS(Rships!$C$2:$C$9990,$A943,Rships!$D$2:$D$9990,2)))</f>
        <v/>
      </c>
      <c r="AD943" s="64" t="str">
        <f>IF($B943="","",(COUNTIFS(Rships!$C$2:$C$9990,$A943,Rships!$D$2:$D$9990,3)))</f>
        <v/>
      </c>
      <c r="AE943" s="64" t="str">
        <f>IF($B943="","",(COUNTIFS(Rships!$C$2:$C$9990,$A943,Rships!$D$2:$D$9990,4)))</f>
        <v/>
      </c>
      <c r="AF943" s="64" t="str">
        <f>IF($B943="","",(COUNTIFS(Rships!$C$2:$C$9990,$A943,Rships!$D$2:$D$9990,5)))</f>
        <v/>
      </c>
      <c r="AG943" s="64" t="str">
        <f>IF($B943="","",(COUNTIFS(Rships!$C$2:$C$9990,$A943,Rships!$D$2:$D$9990,6)))</f>
        <v/>
      </c>
      <c r="AH943" s="64" t="str">
        <f>IF($B943="","",(COUNTIFS(Rships!$C$2:$C$9990,$A943,Rships!$D$2:$D$9990,7)))</f>
        <v/>
      </c>
    </row>
    <row r="944" spans="1:34">
      <c r="A944" s="1" t="s">
        <v>1193</v>
      </c>
      <c r="C944" s="11" t="s">
        <v>19</v>
      </c>
      <c r="D944" s="11" t="s">
        <v>21</v>
      </c>
      <c r="F944" s="15"/>
      <c r="G944" s="15"/>
      <c r="I944" s="17"/>
      <c r="O944" s="11" t="s">
        <v>27</v>
      </c>
      <c r="Y944" s="64">
        <f t="shared" si="28"/>
        <v>0</v>
      </c>
      <c r="AA944" s="64">
        <f t="shared" si="29"/>
        <v>0</v>
      </c>
      <c r="AB944" s="64" t="str">
        <f>IF($B944="","",(COUNTIFS(Rships!$C$2:$C$9990,$A944,Rships!$D$2:$D$9990,1)))</f>
        <v/>
      </c>
      <c r="AC944" s="64" t="str">
        <f>IF($B944="","",(COUNTIFS(Rships!$C$2:$C$9990,$A944,Rships!$D$2:$D$9990,2)))</f>
        <v/>
      </c>
      <c r="AD944" s="64" t="str">
        <f>IF($B944="","",(COUNTIFS(Rships!$C$2:$C$9990,$A944,Rships!$D$2:$D$9990,3)))</f>
        <v/>
      </c>
      <c r="AE944" s="64" t="str">
        <f>IF($B944="","",(COUNTIFS(Rships!$C$2:$C$9990,$A944,Rships!$D$2:$D$9990,4)))</f>
        <v/>
      </c>
      <c r="AF944" s="64" t="str">
        <f>IF($B944="","",(COUNTIFS(Rships!$C$2:$C$9990,$A944,Rships!$D$2:$D$9990,5)))</f>
        <v/>
      </c>
      <c r="AG944" s="64" t="str">
        <f>IF($B944="","",(COUNTIFS(Rships!$C$2:$C$9990,$A944,Rships!$D$2:$D$9990,6)))</f>
        <v/>
      </c>
      <c r="AH944" s="64" t="str">
        <f>IF($B944="","",(COUNTIFS(Rships!$C$2:$C$9990,$A944,Rships!$D$2:$D$9990,7)))</f>
        <v/>
      </c>
    </row>
    <row r="945" spans="1:34">
      <c r="A945" s="1" t="s">
        <v>1194</v>
      </c>
      <c r="C945" s="11" t="s">
        <v>19</v>
      </c>
      <c r="D945" s="11" t="s">
        <v>21</v>
      </c>
      <c r="F945" s="15"/>
      <c r="G945" s="15"/>
      <c r="I945" s="17"/>
      <c r="O945" s="11" t="s">
        <v>27</v>
      </c>
      <c r="Y945" s="64">
        <f t="shared" si="28"/>
        <v>0</v>
      </c>
      <c r="AA945" s="64">
        <f t="shared" si="29"/>
        <v>0</v>
      </c>
      <c r="AB945" s="64" t="str">
        <f>IF($B945="","",(COUNTIFS(Rships!$C$2:$C$9990,$A945,Rships!$D$2:$D$9990,1)))</f>
        <v/>
      </c>
      <c r="AC945" s="64" t="str">
        <f>IF($B945="","",(COUNTIFS(Rships!$C$2:$C$9990,$A945,Rships!$D$2:$D$9990,2)))</f>
        <v/>
      </c>
      <c r="AD945" s="64" t="str">
        <f>IF($B945="","",(COUNTIFS(Rships!$C$2:$C$9990,$A945,Rships!$D$2:$D$9990,3)))</f>
        <v/>
      </c>
      <c r="AE945" s="64" t="str">
        <f>IF($B945="","",(COUNTIFS(Rships!$C$2:$C$9990,$A945,Rships!$D$2:$D$9990,4)))</f>
        <v/>
      </c>
      <c r="AF945" s="64" t="str">
        <f>IF($B945="","",(COUNTIFS(Rships!$C$2:$C$9990,$A945,Rships!$D$2:$D$9990,5)))</f>
        <v/>
      </c>
      <c r="AG945" s="64" t="str">
        <f>IF($B945="","",(COUNTIFS(Rships!$C$2:$C$9990,$A945,Rships!$D$2:$D$9990,6)))</f>
        <v/>
      </c>
      <c r="AH945" s="64" t="str">
        <f>IF($B945="","",(COUNTIFS(Rships!$C$2:$C$9990,$A945,Rships!$D$2:$D$9990,7)))</f>
        <v/>
      </c>
    </row>
    <row r="946" spans="1:34">
      <c r="A946" s="1" t="s">
        <v>1195</v>
      </c>
      <c r="C946" s="11" t="s">
        <v>19</v>
      </c>
      <c r="D946" s="11" t="s">
        <v>21</v>
      </c>
      <c r="F946" s="15"/>
      <c r="G946" s="15"/>
      <c r="I946" s="17"/>
      <c r="O946" s="11" t="s">
        <v>27</v>
      </c>
      <c r="Y946" s="64">
        <f t="shared" si="28"/>
        <v>0</v>
      </c>
      <c r="AA946" s="64">
        <f t="shared" si="29"/>
        <v>0</v>
      </c>
      <c r="AB946" s="64" t="str">
        <f>IF($B946="","",(COUNTIFS(Rships!$C$2:$C$9990,$A946,Rships!$D$2:$D$9990,1)))</f>
        <v/>
      </c>
      <c r="AC946" s="64" t="str">
        <f>IF($B946="","",(COUNTIFS(Rships!$C$2:$C$9990,$A946,Rships!$D$2:$D$9990,2)))</f>
        <v/>
      </c>
      <c r="AD946" s="64" t="str">
        <f>IF($B946="","",(COUNTIFS(Rships!$C$2:$C$9990,$A946,Rships!$D$2:$D$9990,3)))</f>
        <v/>
      </c>
      <c r="AE946" s="64" t="str">
        <f>IF($B946="","",(COUNTIFS(Rships!$C$2:$C$9990,$A946,Rships!$D$2:$D$9990,4)))</f>
        <v/>
      </c>
      <c r="AF946" s="64" t="str">
        <f>IF($B946="","",(COUNTIFS(Rships!$C$2:$C$9990,$A946,Rships!$D$2:$D$9990,5)))</f>
        <v/>
      </c>
      <c r="AG946" s="64" t="str">
        <f>IF($B946="","",(COUNTIFS(Rships!$C$2:$C$9990,$A946,Rships!$D$2:$D$9990,6)))</f>
        <v/>
      </c>
      <c r="AH946" s="64" t="str">
        <f>IF($B946="","",(COUNTIFS(Rships!$C$2:$C$9990,$A946,Rships!$D$2:$D$9990,7)))</f>
        <v/>
      </c>
    </row>
    <row r="947" spans="1:34">
      <c r="A947" s="1" t="s">
        <v>1196</v>
      </c>
      <c r="C947" s="11" t="s">
        <v>19</v>
      </c>
      <c r="D947" s="11" t="s">
        <v>21</v>
      </c>
      <c r="F947" s="15"/>
      <c r="G947" s="15"/>
      <c r="I947" s="17"/>
      <c r="O947" s="11" t="s">
        <v>27</v>
      </c>
      <c r="Y947" s="64">
        <f t="shared" ref="Y947:Y1001" si="30">SUMIF($B$2:$B$100,$A947,$AA$2:$AA$100)</f>
        <v>0</v>
      </c>
      <c r="AA947" s="64">
        <f t="shared" si="29"/>
        <v>0</v>
      </c>
      <c r="AB947" s="64" t="str">
        <f>IF($B947="","",(COUNTIFS(Rships!$C$2:$C$9990,$A947,Rships!$D$2:$D$9990,1)))</f>
        <v/>
      </c>
      <c r="AC947" s="64" t="str">
        <f>IF($B947="","",(COUNTIFS(Rships!$C$2:$C$9990,$A947,Rships!$D$2:$D$9990,2)))</f>
        <v/>
      </c>
      <c r="AD947" s="64" t="str">
        <f>IF($B947="","",(COUNTIFS(Rships!$C$2:$C$9990,$A947,Rships!$D$2:$D$9990,3)))</f>
        <v/>
      </c>
      <c r="AE947" s="64" t="str">
        <f>IF($B947="","",(COUNTIFS(Rships!$C$2:$C$9990,$A947,Rships!$D$2:$D$9990,4)))</f>
        <v/>
      </c>
      <c r="AF947" s="64" t="str">
        <f>IF($B947="","",(COUNTIFS(Rships!$C$2:$C$9990,$A947,Rships!$D$2:$D$9990,5)))</f>
        <v/>
      </c>
      <c r="AG947" s="64" t="str">
        <f>IF($B947="","",(COUNTIFS(Rships!$C$2:$C$9990,$A947,Rships!$D$2:$D$9990,6)))</f>
        <v/>
      </c>
      <c r="AH947" s="64" t="str">
        <f>IF($B947="","",(COUNTIFS(Rships!$C$2:$C$9990,$A947,Rships!$D$2:$D$9990,7)))</f>
        <v/>
      </c>
    </row>
    <row r="948" spans="1:34">
      <c r="A948" s="1" t="s">
        <v>1197</v>
      </c>
      <c r="C948" s="11" t="s">
        <v>19</v>
      </c>
      <c r="D948" s="11" t="s">
        <v>21</v>
      </c>
      <c r="F948" s="15"/>
      <c r="G948" s="15"/>
      <c r="I948" s="17"/>
      <c r="O948" s="11" t="s">
        <v>27</v>
      </c>
      <c r="Y948" s="64">
        <f t="shared" si="30"/>
        <v>0</v>
      </c>
      <c r="AA948" s="64">
        <f t="shared" si="29"/>
        <v>0</v>
      </c>
      <c r="AB948" s="64" t="str">
        <f>IF($B948="","",(COUNTIFS(Rships!$C$2:$C$9990,$A948,Rships!$D$2:$D$9990,1)))</f>
        <v/>
      </c>
      <c r="AC948" s="64" t="str">
        <f>IF($B948="","",(COUNTIFS(Rships!$C$2:$C$9990,$A948,Rships!$D$2:$D$9990,2)))</f>
        <v/>
      </c>
      <c r="AD948" s="64" t="str">
        <f>IF($B948="","",(COUNTIFS(Rships!$C$2:$C$9990,$A948,Rships!$D$2:$D$9990,3)))</f>
        <v/>
      </c>
      <c r="AE948" s="64" t="str">
        <f>IF($B948="","",(COUNTIFS(Rships!$C$2:$C$9990,$A948,Rships!$D$2:$D$9990,4)))</f>
        <v/>
      </c>
      <c r="AF948" s="64" t="str">
        <f>IF($B948="","",(COUNTIFS(Rships!$C$2:$C$9990,$A948,Rships!$D$2:$D$9990,5)))</f>
        <v/>
      </c>
      <c r="AG948" s="64" t="str">
        <f>IF($B948="","",(COUNTIFS(Rships!$C$2:$C$9990,$A948,Rships!$D$2:$D$9990,6)))</f>
        <v/>
      </c>
      <c r="AH948" s="64" t="str">
        <f>IF($B948="","",(COUNTIFS(Rships!$C$2:$C$9990,$A948,Rships!$D$2:$D$9990,7)))</f>
        <v/>
      </c>
    </row>
    <row r="949" spans="1:34">
      <c r="A949" s="1" t="s">
        <v>1198</v>
      </c>
      <c r="C949" s="11" t="s">
        <v>19</v>
      </c>
      <c r="D949" s="11" t="s">
        <v>21</v>
      </c>
      <c r="F949" s="15"/>
      <c r="G949" s="15"/>
      <c r="I949" s="17"/>
      <c r="O949" s="11" t="s">
        <v>27</v>
      </c>
      <c r="Y949" s="64">
        <f t="shared" si="30"/>
        <v>0</v>
      </c>
      <c r="AA949" s="64">
        <f t="shared" si="29"/>
        <v>0</v>
      </c>
      <c r="AB949" s="64" t="str">
        <f>IF($B949="","",(COUNTIFS(Rships!$C$2:$C$9990,$A949,Rships!$D$2:$D$9990,1)))</f>
        <v/>
      </c>
      <c r="AC949" s="64" t="str">
        <f>IF($B949="","",(COUNTIFS(Rships!$C$2:$C$9990,$A949,Rships!$D$2:$D$9990,2)))</f>
        <v/>
      </c>
      <c r="AD949" s="64" t="str">
        <f>IF($B949="","",(COUNTIFS(Rships!$C$2:$C$9990,$A949,Rships!$D$2:$D$9990,3)))</f>
        <v/>
      </c>
      <c r="AE949" s="64" t="str">
        <f>IF($B949="","",(COUNTIFS(Rships!$C$2:$C$9990,$A949,Rships!$D$2:$D$9990,4)))</f>
        <v/>
      </c>
      <c r="AF949" s="64" t="str">
        <f>IF($B949="","",(COUNTIFS(Rships!$C$2:$C$9990,$A949,Rships!$D$2:$D$9990,5)))</f>
        <v/>
      </c>
      <c r="AG949" s="64" t="str">
        <f>IF($B949="","",(COUNTIFS(Rships!$C$2:$C$9990,$A949,Rships!$D$2:$D$9990,6)))</f>
        <v/>
      </c>
      <c r="AH949" s="64" t="str">
        <f>IF($B949="","",(COUNTIFS(Rships!$C$2:$C$9990,$A949,Rships!$D$2:$D$9990,7)))</f>
        <v/>
      </c>
    </row>
    <row r="950" spans="1:34">
      <c r="A950" s="1" t="s">
        <v>1199</v>
      </c>
      <c r="C950" s="11" t="s">
        <v>19</v>
      </c>
      <c r="D950" s="11" t="s">
        <v>21</v>
      </c>
      <c r="F950" s="15"/>
      <c r="G950" s="15"/>
      <c r="I950" s="17"/>
      <c r="O950" s="11" t="s">
        <v>27</v>
      </c>
      <c r="Y950" s="64">
        <f t="shared" si="30"/>
        <v>0</v>
      </c>
      <c r="AA950" s="64">
        <f t="shared" si="29"/>
        <v>0</v>
      </c>
      <c r="AB950" s="64" t="str">
        <f>IF($B950="","",(COUNTIFS(Rships!$C$2:$C$9990,$A950,Rships!$D$2:$D$9990,1)))</f>
        <v/>
      </c>
      <c r="AC950" s="64" t="str">
        <f>IF($B950="","",(COUNTIFS(Rships!$C$2:$C$9990,$A950,Rships!$D$2:$D$9990,2)))</f>
        <v/>
      </c>
      <c r="AD950" s="64" t="str">
        <f>IF($B950="","",(COUNTIFS(Rships!$C$2:$C$9990,$A950,Rships!$D$2:$D$9990,3)))</f>
        <v/>
      </c>
      <c r="AE950" s="64" t="str">
        <f>IF($B950="","",(COUNTIFS(Rships!$C$2:$C$9990,$A950,Rships!$D$2:$D$9990,4)))</f>
        <v/>
      </c>
      <c r="AF950" s="64" t="str">
        <f>IF($B950="","",(COUNTIFS(Rships!$C$2:$C$9990,$A950,Rships!$D$2:$D$9990,5)))</f>
        <v/>
      </c>
      <c r="AG950" s="64" t="str">
        <f>IF($B950="","",(COUNTIFS(Rships!$C$2:$C$9990,$A950,Rships!$D$2:$D$9990,6)))</f>
        <v/>
      </c>
      <c r="AH950" s="64" t="str">
        <f>IF($B950="","",(COUNTIFS(Rships!$C$2:$C$9990,$A950,Rships!$D$2:$D$9990,7)))</f>
        <v/>
      </c>
    </row>
    <row r="951" spans="1:34">
      <c r="A951" s="1" t="s">
        <v>1200</v>
      </c>
      <c r="C951" s="11" t="s">
        <v>19</v>
      </c>
      <c r="D951" s="11" t="s">
        <v>21</v>
      </c>
      <c r="F951" s="15"/>
      <c r="G951" s="15"/>
      <c r="I951" s="17"/>
      <c r="O951" s="11" t="s">
        <v>27</v>
      </c>
      <c r="Y951" s="64">
        <f t="shared" si="30"/>
        <v>0</v>
      </c>
      <c r="AA951" s="64">
        <f t="shared" si="29"/>
        <v>0</v>
      </c>
      <c r="AB951" s="64" t="str">
        <f>IF($B951="","",(COUNTIFS(Rships!$C$2:$C$9990,$A951,Rships!$D$2:$D$9990,1)))</f>
        <v/>
      </c>
      <c r="AC951" s="64" t="str">
        <f>IF($B951="","",(COUNTIFS(Rships!$C$2:$C$9990,$A951,Rships!$D$2:$D$9990,2)))</f>
        <v/>
      </c>
      <c r="AD951" s="64" t="str">
        <f>IF($B951="","",(COUNTIFS(Rships!$C$2:$C$9990,$A951,Rships!$D$2:$D$9990,3)))</f>
        <v/>
      </c>
      <c r="AE951" s="64" t="str">
        <f>IF($B951="","",(COUNTIFS(Rships!$C$2:$C$9990,$A951,Rships!$D$2:$D$9990,4)))</f>
        <v/>
      </c>
      <c r="AF951" s="64" t="str">
        <f>IF($B951="","",(COUNTIFS(Rships!$C$2:$C$9990,$A951,Rships!$D$2:$D$9990,5)))</f>
        <v/>
      </c>
      <c r="AG951" s="64" t="str">
        <f>IF($B951="","",(COUNTIFS(Rships!$C$2:$C$9990,$A951,Rships!$D$2:$D$9990,6)))</f>
        <v/>
      </c>
      <c r="AH951" s="64" t="str">
        <f>IF($B951="","",(COUNTIFS(Rships!$C$2:$C$9990,$A951,Rships!$D$2:$D$9990,7)))</f>
        <v/>
      </c>
    </row>
    <row r="952" spans="1:34">
      <c r="A952" s="1" t="s">
        <v>1201</v>
      </c>
      <c r="C952" s="11" t="s">
        <v>19</v>
      </c>
      <c r="D952" s="11" t="s">
        <v>21</v>
      </c>
      <c r="F952" s="15"/>
      <c r="G952" s="15"/>
      <c r="I952" s="17"/>
      <c r="O952" s="11" t="s">
        <v>27</v>
      </c>
      <c r="Y952" s="64">
        <f t="shared" si="30"/>
        <v>0</v>
      </c>
      <c r="AA952" s="64">
        <f t="shared" si="29"/>
        <v>0</v>
      </c>
      <c r="AB952" s="64" t="str">
        <f>IF($B952="","",(COUNTIFS(Rships!$C$2:$C$9990,$A952,Rships!$D$2:$D$9990,1)))</f>
        <v/>
      </c>
      <c r="AC952" s="64" t="str">
        <f>IF($B952="","",(COUNTIFS(Rships!$C$2:$C$9990,$A952,Rships!$D$2:$D$9990,2)))</f>
        <v/>
      </c>
      <c r="AD952" s="64" t="str">
        <f>IF($B952="","",(COUNTIFS(Rships!$C$2:$C$9990,$A952,Rships!$D$2:$D$9990,3)))</f>
        <v/>
      </c>
      <c r="AE952" s="64" t="str">
        <f>IF($B952="","",(COUNTIFS(Rships!$C$2:$C$9990,$A952,Rships!$D$2:$D$9990,4)))</f>
        <v/>
      </c>
      <c r="AF952" s="64" t="str">
        <f>IF($B952="","",(COUNTIFS(Rships!$C$2:$C$9990,$A952,Rships!$D$2:$D$9990,5)))</f>
        <v/>
      </c>
      <c r="AG952" s="64" t="str">
        <f>IF($B952="","",(COUNTIFS(Rships!$C$2:$C$9990,$A952,Rships!$D$2:$D$9990,6)))</f>
        <v/>
      </c>
      <c r="AH952" s="64" t="str">
        <f>IF($B952="","",(COUNTIFS(Rships!$C$2:$C$9990,$A952,Rships!$D$2:$D$9990,7)))</f>
        <v/>
      </c>
    </row>
    <row r="953" spans="1:34">
      <c r="A953" s="1" t="s">
        <v>1202</v>
      </c>
      <c r="C953" s="11" t="s">
        <v>19</v>
      </c>
      <c r="D953" s="11" t="s">
        <v>21</v>
      </c>
      <c r="F953" s="15"/>
      <c r="G953" s="15"/>
      <c r="I953" s="17"/>
      <c r="O953" s="11" t="s">
        <v>27</v>
      </c>
      <c r="Y953" s="64">
        <f t="shared" si="30"/>
        <v>0</v>
      </c>
      <c r="AA953" s="64">
        <f t="shared" si="29"/>
        <v>0</v>
      </c>
      <c r="AB953" s="64" t="str">
        <f>IF($B953="","",(COUNTIFS(Rships!$C$2:$C$9990,$A953,Rships!$D$2:$D$9990,1)))</f>
        <v/>
      </c>
      <c r="AC953" s="64" t="str">
        <f>IF($B953="","",(COUNTIFS(Rships!$C$2:$C$9990,$A953,Rships!$D$2:$D$9990,2)))</f>
        <v/>
      </c>
      <c r="AD953" s="64" t="str">
        <f>IF($B953="","",(COUNTIFS(Rships!$C$2:$C$9990,$A953,Rships!$D$2:$D$9990,3)))</f>
        <v/>
      </c>
      <c r="AE953" s="64" t="str">
        <f>IF($B953="","",(COUNTIFS(Rships!$C$2:$C$9990,$A953,Rships!$D$2:$D$9990,4)))</f>
        <v/>
      </c>
      <c r="AF953" s="64" t="str">
        <f>IF($B953="","",(COUNTIFS(Rships!$C$2:$C$9990,$A953,Rships!$D$2:$D$9990,5)))</f>
        <v/>
      </c>
      <c r="AG953" s="64" t="str">
        <f>IF($B953="","",(COUNTIFS(Rships!$C$2:$C$9990,$A953,Rships!$D$2:$D$9990,6)))</f>
        <v/>
      </c>
      <c r="AH953" s="64" t="str">
        <f>IF($B953="","",(COUNTIFS(Rships!$C$2:$C$9990,$A953,Rships!$D$2:$D$9990,7)))</f>
        <v/>
      </c>
    </row>
    <row r="954" spans="1:34">
      <c r="A954" s="1" t="s">
        <v>1203</v>
      </c>
      <c r="C954" s="11" t="s">
        <v>19</v>
      </c>
      <c r="D954" s="11" t="s">
        <v>21</v>
      </c>
      <c r="F954" s="15"/>
      <c r="G954" s="15"/>
      <c r="I954" s="17"/>
      <c r="O954" s="11" t="s">
        <v>27</v>
      </c>
      <c r="Y954" s="64">
        <f t="shared" si="30"/>
        <v>0</v>
      </c>
      <c r="AA954" s="64">
        <f t="shared" si="29"/>
        <v>0</v>
      </c>
      <c r="AB954" s="64" t="str">
        <f>IF($B954="","",(COUNTIFS(Rships!$C$2:$C$9990,$A954,Rships!$D$2:$D$9990,1)))</f>
        <v/>
      </c>
      <c r="AC954" s="64" t="str">
        <f>IF($B954="","",(COUNTIFS(Rships!$C$2:$C$9990,$A954,Rships!$D$2:$D$9990,2)))</f>
        <v/>
      </c>
      <c r="AD954" s="64" t="str">
        <f>IF($B954="","",(COUNTIFS(Rships!$C$2:$C$9990,$A954,Rships!$D$2:$D$9990,3)))</f>
        <v/>
      </c>
      <c r="AE954" s="64" t="str">
        <f>IF($B954="","",(COUNTIFS(Rships!$C$2:$C$9990,$A954,Rships!$D$2:$D$9990,4)))</f>
        <v/>
      </c>
      <c r="AF954" s="64" t="str">
        <f>IF($B954="","",(COUNTIFS(Rships!$C$2:$C$9990,$A954,Rships!$D$2:$D$9990,5)))</f>
        <v/>
      </c>
      <c r="AG954" s="64" t="str">
        <f>IF($B954="","",(COUNTIFS(Rships!$C$2:$C$9990,$A954,Rships!$D$2:$D$9990,6)))</f>
        <v/>
      </c>
      <c r="AH954" s="64" t="str">
        <f>IF($B954="","",(COUNTIFS(Rships!$C$2:$C$9990,$A954,Rships!$D$2:$D$9990,7)))</f>
        <v/>
      </c>
    </row>
    <row r="955" spans="1:34">
      <c r="A955" s="1" t="s">
        <v>1204</v>
      </c>
      <c r="C955" s="11" t="s">
        <v>19</v>
      </c>
      <c r="D955" s="11" t="s">
        <v>21</v>
      </c>
      <c r="F955" s="15"/>
      <c r="G955" s="15"/>
      <c r="I955" s="17"/>
      <c r="O955" s="11" t="s">
        <v>27</v>
      </c>
      <c r="Y955" s="64">
        <f t="shared" si="30"/>
        <v>0</v>
      </c>
      <c r="AA955" s="64">
        <f t="shared" si="29"/>
        <v>0</v>
      </c>
      <c r="AB955" s="64" t="str">
        <f>IF($B955="","",(COUNTIFS(Rships!$C$2:$C$9990,$A955,Rships!$D$2:$D$9990,1)))</f>
        <v/>
      </c>
      <c r="AC955" s="64" t="str">
        <f>IF($B955="","",(COUNTIFS(Rships!$C$2:$C$9990,$A955,Rships!$D$2:$D$9990,2)))</f>
        <v/>
      </c>
      <c r="AD955" s="64" t="str">
        <f>IF($B955="","",(COUNTIFS(Rships!$C$2:$C$9990,$A955,Rships!$D$2:$D$9990,3)))</f>
        <v/>
      </c>
      <c r="AE955" s="64" t="str">
        <f>IF($B955="","",(COUNTIFS(Rships!$C$2:$C$9990,$A955,Rships!$D$2:$D$9990,4)))</f>
        <v/>
      </c>
      <c r="AF955" s="64" t="str">
        <f>IF($B955="","",(COUNTIFS(Rships!$C$2:$C$9990,$A955,Rships!$D$2:$D$9990,5)))</f>
        <v/>
      </c>
      <c r="AG955" s="64" t="str">
        <f>IF($B955="","",(COUNTIFS(Rships!$C$2:$C$9990,$A955,Rships!$D$2:$D$9990,6)))</f>
        <v/>
      </c>
      <c r="AH955" s="64" t="str">
        <f>IF($B955="","",(COUNTIFS(Rships!$C$2:$C$9990,$A955,Rships!$D$2:$D$9990,7)))</f>
        <v/>
      </c>
    </row>
    <row r="956" spans="1:34">
      <c r="A956" s="1" t="s">
        <v>1205</v>
      </c>
      <c r="C956" s="11" t="s">
        <v>19</v>
      </c>
      <c r="D956" s="11" t="s">
        <v>21</v>
      </c>
      <c r="F956" s="15"/>
      <c r="G956" s="15"/>
      <c r="I956" s="17"/>
      <c r="O956" s="11" t="s">
        <v>27</v>
      </c>
      <c r="Y956" s="64">
        <f t="shared" si="30"/>
        <v>0</v>
      </c>
      <c r="AA956" s="64">
        <f t="shared" si="29"/>
        <v>0</v>
      </c>
      <c r="AB956" s="64" t="str">
        <f>IF($B956="","",(COUNTIFS(Rships!$C$2:$C$9990,$A956,Rships!$D$2:$D$9990,1)))</f>
        <v/>
      </c>
      <c r="AC956" s="64" t="str">
        <f>IF($B956="","",(COUNTIFS(Rships!$C$2:$C$9990,$A956,Rships!$D$2:$D$9990,2)))</f>
        <v/>
      </c>
      <c r="AD956" s="64" t="str">
        <f>IF($B956="","",(COUNTIFS(Rships!$C$2:$C$9990,$A956,Rships!$D$2:$D$9990,3)))</f>
        <v/>
      </c>
      <c r="AE956" s="64" t="str">
        <f>IF($B956="","",(COUNTIFS(Rships!$C$2:$C$9990,$A956,Rships!$D$2:$D$9990,4)))</f>
        <v/>
      </c>
      <c r="AF956" s="64" t="str">
        <f>IF($B956="","",(COUNTIFS(Rships!$C$2:$C$9990,$A956,Rships!$D$2:$D$9990,5)))</f>
        <v/>
      </c>
      <c r="AG956" s="64" t="str">
        <f>IF($B956="","",(COUNTIFS(Rships!$C$2:$C$9990,$A956,Rships!$D$2:$D$9990,6)))</f>
        <v/>
      </c>
      <c r="AH956" s="64" t="str">
        <f>IF($B956="","",(COUNTIFS(Rships!$C$2:$C$9990,$A956,Rships!$D$2:$D$9990,7)))</f>
        <v/>
      </c>
    </row>
    <row r="957" spans="1:34">
      <c r="A957" s="1" t="s">
        <v>1206</v>
      </c>
      <c r="C957" s="11" t="s">
        <v>19</v>
      </c>
      <c r="D957" s="11" t="s">
        <v>21</v>
      </c>
      <c r="F957" s="15"/>
      <c r="G957" s="15"/>
      <c r="I957" s="17"/>
      <c r="O957" s="11" t="s">
        <v>27</v>
      </c>
      <c r="Y957" s="64">
        <f t="shared" si="30"/>
        <v>0</v>
      </c>
      <c r="AA957" s="64">
        <f t="shared" si="29"/>
        <v>0</v>
      </c>
      <c r="AB957" s="64" t="str">
        <f>IF($B957="","",(COUNTIFS(Rships!$C$2:$C$9990,$A957,Rships!$D$2:$D$9990,1)))</f>
        <v/>
      </c>
      <c r="AC957" s="64" t="str">
        <f>IF($B957="","",(COUNTIFS(Rships!$C$2:$C$9990,$A957,Rships!$D$2:$D$9990,2)))</f>
        <v/>
      </c>
      <c r="AD957" s="64" t="str">
        <f>IF($B957="","",(COUNTIFS(Rships!$C$2:$C$9990,$A957,Rships!$D$2:$D$9990,3)))</f>
        <v/>
      </c>
      <c r="AE957" s="64" t="str">
        <f>IF($B957="","",(COUNTIFS(Rships!$C$2:$C$9990,$A957,Rships!$D$2:$D$9990,4)))</f>
        <v/>
      </c>
      <c r="AF957" s="64" t="str">
        <f>IF($B957="","",(COUNTIFS(Rships!$C$2:$C$9990,$A957,Rships!$D$2:$D$9990,5)))</f>
        <v/>
      </c>
      <c r="AG957" s="64" t="str">
        <f>IF($B957="","",(COUNTIFS(Rships!$C$2:$C$9990,$A957,Rships!$D$2:$D$9990,6)))</f>
        <v/>
      </c>
      <c r="AH957" s="64" t="str">
        <f>IF($B957="","",(COUNTIFS(Rships!$C$2:$C$9990,$A957,Rships!$D$2:$D$9990,7)))</f>
        <v/>
      </c>
    </row>
    <row r="958" spans="1:34">
      <c r="A958" s="1" t="s">
        <v>1207</v>
      </c>
      <c r="C958" s="11" t="s">
        <v>19</v>
      </c>
      <c r="D958" s="11" t="s">
        <v>21</v>
      </c>
      <c r="F958" s="15"/>
      <c r="G958" s="15"/>
      <c r="I958" s="17"/>
      <c r="O958" s="11" t="s">
        <v>27</v>
      </c>
      <c r="Y958" s="64">
        <f t="shared" si="30"/>
        <v>0</v>
      </c>
      <c r="AA958" s="64">
        <f t="shared" si="29"/>
        <v>0</v>
      </c>
      <c r="AB958" s="64" t="str">
        <f>IF($B958="","",(COUNTIFS(Rships!$C$2:$C$9990,$A958,Rships!$D$2:$D$9990,1)))</f>
        <v/>
      </c>
      <c r="AC958" s="64" t="str">
        <f>IF($B958="","",(COUNTIFS(Rships!$C$2:$C$9990,$A958,Rships!$D$2:$D$9990,2)))</f>
        <v/>
      </c>
      <c r="AD958" s="64" t="str">
        <f>IF($B958="","",(COUNTIFS(Rships!$C$2:$C$9990,$A958,Rships!$D$2:$D$9990,3)))</f>
        <v/>
      </c>
      <c r="AE958" s="64" t="str">
        <f>IF($B958="","",(COUNTIFS(Rships!$C$2:$C$9990,$A958,Rships!$D$2:$D$9990,4)))</f>
        <v/>
      </c>
      <c r="AF958" s="64" t="str">
        <f>IF($B958="","",(COUNTIFS(Rships!$C$2:$C$9990,$A958,Rships!$D$2:$D$9990,5)))</f>
        <v/>
      </c>
      <c r="AG958" s="64" t="str">
        <f>IF($B958="","",(COUNTIFS(Rships!$C$2:$C$9990,$A958,Rships!$D$2:$D$9990,6)))</f>
        <v/>
      </c>
      <c r="AH958" s="64" t="str">
        <f>IF($B958="","",(COUNTIFS(Rships!$C$2:$C$9990,$A958,Rships!$D$2:$D$9990,7)))</f>
        <v/>
      </c>
    </row>
    <row r="959" spans="1:34">
      <c r="A959" s="1" t="s">
        <v>1208</v>
      </c>
      <c r="C959" s="11" t="s">
        <v>19</v>
      </c>
      <c r="D959" s="11" t="s">
        <v>21</v>
      </c>
      <c r="F959" s="15"/>
      <c r="G959" s="15"/>
      <c r="I959" s="17"/>
      <c r="O959" s="11" t="s">
        <v>27</v>
      </c>
      <c r="Y959" s="64">
        <f t="shared" si="30"/>
        <v>0</v>
      </c>
      <c r="AA959" s="64">
        <f t="shared" si="29"/>
        <v>0</v>
      </c>
      <c r="AB959" s="64" t="str">
        <f>IF($B959="","",(COUNTIFS(Rships!$C$2:$C$9990,$A959,Rships!$D$2:$D$9990,1)))</f>
        <v/>
      </c>
      <c r="AC959" s="64" t="str">
        <f>IF($B959="","",(COUNTIFS(Rships!$C$2:$C$9990,$A959,Rships!$D$2:$D$9990,2)))</f>
        <v/>
      </c>
      <c r="AD959" s="64" t="str">
        <f>IF($B959="","",(COUNTIFS(Rships!$C$2:$C$9990,$A959,Rships!$D$2:$D$9990,3)))</f>
        <v/>
      </c>
      <c r="AE959" s="64" t="str">
        <f>IF($B959="","",(COUNTIFS(Rships!$C$2:$C$9990,$A959,Rships!$D$2:$D$9990,4)))</f>
        <v/>
      </c>
      <c r="AF959" s="64" t="str">
        <f>IF($B959="","",(COUNTIFS(Rships!$C$2:$C$9990,$A959,Rships!$D$2:$D$9990,5)))</f>
        <v/>
      </c>
      <c r="AG959" s="64" t="str">
        <f>IF($B959="","",(COUNTIFS(Rships!$C$2:$C$9990,$A959,Rships!$D$2:$D$9990,6)))</f>
        <v/>
      </c>
      <c r="AH959" s="64" t="str">
        <f>IF($B959="","",(COUNTIFS(Rships!$C$2:$C$9990,$A959,Rships!$D$2:$D$9990,7)))</f>
        <v/>
      </c>
    </row>
    <row r="960" spans="1:34">
      <c r="A960" s="1" t="s">
        <v>1209</v>
      </c>
      <c r="C960" s="11" t="s">
        <v>19</v>
      </c>
      <c r="D960" s="11" t="s">
        <v>21</v>
      </c>
      <c r="F960" s="15"/>
      <c r="G960" s="15"/>
      <c r="I960" s="17"/>
      <c r="O960" s="11" t="s">
        <v>27</v>
      </c>
      <c r="Y960" s="64">
        <f t="shared" si="30"/>
        <v>0</v>
      </c>
      <c r="AA960" s="64">
        <f t="shared" si="29"/>
        <v>0</v>
      </c>
      <c r="AB960" s="64" t="str">
        <f>IF($B960="","",(COUNTIFS(Rships!$C$2:$C$9990,$A960,Rships!$D$2:$D$9990,1)))</f>
        <v/>
      </c>
      <c r="AC960" s="64" t="str">
        <f>IF($B960="","",(COUNTIFS(Rships!$C$2:$C$9990,$A960,Rships!$D$2:$D$9990,2)))</f>
        <v/>
      </c>
      <c r="AD960" s="64" t="str">
        <f>IF($B960="","",(COUNTIFS(Rships!$C$2:$C$9990,$A960,Rships!$D$2:$D$9990,3)))</f>
        <v/>
      </c>
      <c r="AE960" s="64" t="str">
        <f>IF($B960="","",(COUNTIFS(Rships!$C$2:$C$9990,$A960,Rships!$D$2:$D$9990,4)))</f>
        <v/>
      </c>
      <c r="AF960" s="64" t="str">
        <f>IF($B960="","",(COUNTIFS(Rships!$C$2:$C$9990,$A960,Rships!$D$2:$D$9990,5)))</f>
        <v/>
      </c>
      <c r="AG960" s="64" t="str">
        <f>IF($B960="","",(COUNTIFS(Rships!$C$2:$C$9990,$A960,Rships!$D$2:$D$9990,6)))</f>
        <v/>
      </c>
      <c r="AH960" s="64" t="str">
        <f>IF($B960="","",(COUNTIFS(Rships!$C$2:$C$9990,$A960,Rships!$D$2:$D$9990,7)))</f>
        <v/>
      </c>
    </row>
    <row r="961" spans="1:34">
      <c r="A961" s="1" t="s">
        <v>1210</v>
      </c>
      <c r="C961" s="11" t="s">
        <v>19</v>
      </c>
      <c r="D961" s="11" t="s">
        <v>21</v>
      </c>
      <c r="F961" s="15"/>
      <c r="G961" s="15"/>
      <c r="I961" s="17"/>
      <c r="O961" s="11" t="s">
        <v>27</v>
      </c>
      <c r="Y961" s="64">
        <f t="shared" si="30"/>
        <v>0</v>
      </c>
      <c r="AA961" s="64">
        <f t="shared" si="29"/>
        <v>0</v>
      </c>
      <c r="AB961" s="64" t="str">
        <f>IF($B961="","",(COUNTIFS(Rships!$C$2:$C$9990,$A961,Rships!$D$2:$D$9990,1)))</f>
        <v/>
      </c>
      <c r="AC961" s="64" t="str">
        <f>IF($B961="","",(COUNTIFS(Rships!$C$2:$C$9990,$A961,Rships!$D$2:$D$9990,2)))</f>
        <v/>
      </c>
      <c r="AD961" s="64" t="str">
        <f>IF($B961="","",(COUNTIFS(Rships!$C$2:$C$9990,$A961,Rships!$D$2:$D$9990,3)))</f>
        <v/>
      </c>
      <c r="AE961" s="64" t="str">
        <f>IF($B961="","",(COUNTIFS(Rships!$C$2:$C$9990,$A961,Rships!$D$2:$D$9990,4)))</f>
        <v/>
      </c>
      <c r="AF961" s="64" t="str">
        <f>IF($B961="","",(COUNTIFS(Rships!$C$2:$C$9990,$A961,Rships!$D$2:$D$9990,5)))</f>
        <v/>
      </c>
      <c r="AG961" s="64" t="str">
        <f>IF($B961="","",(COUNTIFS(Rships!$C$2:$C$9990,$A961,Rships!$D$2:$D$9990,6)))</f>
        <v/>
      </c>
      <c r="AH961" s="64" t="str">
        <f>IF($B961="","",(COUNTIFS(Rships!$C$2:$C$9990,$A961,Rships!$D$2:$D$9990,7)))</f>
        <v/>
      </c>
    </row>
    <row r="962" spans="1:34">
      <c r="A962" s="1" t="s">
        <v>1211</v>
      </c>
      <c r="C962" s="11" t="s">
        <v>19</v>
      </c>
      <c r="D962" s="11" t="s">
        <v>21</v>
      </c>
      <c r="F962" s="15"/>
      <c r="G962" s="15"/>
      <c r="I962" s="17"/>
      <c r="O962" s="11" t="s">
        <v>27</v>
      </c>
      <c r="Y962" s="64">
        <f t="shared" si="30"/>
        <v>0</v>
      </c>
      <c r="AA962" s="64">
        <f t="shared" si="29"/>
        <v>0</v>
      </c>
      <c r="AB962" s="64" t="str">
        <f>IF($B962="","",(COUNTIFS(Rships!$C$2:$C$9990,$A962,Rships!$D$2:$D$9990,1)))</f>
        <v/>
      </c>
      <c r="AC962" s="64" t="str">
        <f>IF($B962="","",(COUNTIFS(Rships!$C$2:$C$9990,$A962,Rships!$D$2:$D$9990,2)))</f>
        <v/>
      </c>
      <c r="AD962" s="64" t="str">
        <f>IF($B962="","",(COUNTIFS(Rships!$C$2:$C$9990,$A962,Rships!$D$2:$D$9990,3)))</f>
        <v/>
      </c>
      <c r="AE962" s="64" t="str">
        <f>IF($B962="","",(COUNTIFS(Rships!$C$2:$C$9990,$A962,Rships!$D$2:$D$9990,4)))</f>
        <v/>
      </c>
      <c r="AF962" s="64" t="str">
        <f>IF($B962="","",(COUNTIFS(Rships!$C$2:$C$9990,$A962,Rships!$D$2:$D$9990,5)))</f>
        <v/>
      </c>
      <c r="AG962" s="64" t="str">
        <f>IF($B962="","",(COUNTIFS(Rships!$C$2:$C$9990,$A962,Rships!$D$2:$D$9990,6)))</f>
        <v/>
      </c>
      <c r="AH962" s="64" t="str">
        <f>IF($B962="","",(COUNTIFS(Rships!$C$2:$C$9990,$A962,Rships!$D$2:$D$9990,7)))</f>
        <v/>
      </c>
    </row>
    <row r="963" spans="1:34">
      <c r="A963" s="1" t="s">
        <v>1212</v>
      </c>
      <c r="C963" s="11" t="s">
        <v>19</v>
      </c>
      <c r="D963" s="11" t="s">
        <v>21</v>
      </c>
      <c r="F963" s="15"/>
      <c r="G963" s="15"/>
      <c r="I963" s="17"/>
      <c r="O963" s="11" t="s">
        <v>27</v>
      </c>
      <c r="Y963" s="64">
        <f t="shared" si="30"/>
        <v>0</v>
      </c>
      <c r="AA963" s="64">
        <f t="shared" ref="AA963:AA1001" si="31">SUM($AB963:$AH963)</f>
        <v>0</v>
      </c>
      <c r="AB963" s="64" t="str">
        <f>IF($B963="","",(COUNTIFS(Rships!$C$2:$C$9990,$A963,Rships!$D$2:$D$9990,1)))</f>
        <v/>
      </c>
      <c r="AC963" s="64" t="str">
        <f>IF($B963="","",(COUNTIFS(Rships!$C$2:$C$9990,$A963,Rships!$D$2:$D$9990,2)))</f>
        <v/>
      </c>
      <c r="AD963" s="64" t="str">
        <f>IF($B963="","",(COUNTIFS(Rships!$C$2:$C$9990,$A963,Rships!$D$2:$D$9990,3)))</f>
        <v/>
      </c>
      <c r="AE963" s="64" t="str">
        <f>IF($B963="","",(COUNTIFS(Rships!$C$2:$C$9990,$A963,Rships!$D$2:$D$9990,4)))</f>
        <v/>
      </c>
      <c r="AF963" s="64" t="str">
        <f>IF($B963="","",(COUNTIFS(Rships!$C$2:$C$9990,$A963,Rships!$D$2:$D$9990,5)))</f>
        <v/>
      </c>
      <c r="AG963" s="64" t="str">
        <f>IF($B963="","",(COUNTIFS(Rships!$C$2:$C$9990,$A963,Rships!$D$2:$D$9990,6)))</f>
        <v/>
      </c>
      <c r="AH963" s="64" t="str">
        <f>IF($B963="","",(COUNTIFS(Rships!$C$2:$C$9990,$A963,Rships!$D$2:$D$9990,7)))</f>
        <v/>
      </c>
    </row>
    <row r="964" spans="1:34">
      <c r="A964" s="1" t="s">
        <v>1213</v>
      </c>
      <c r="C964" s="11" t="s">
        <v>19</v>
      </c>
      <c r="D964" s="11" t="s">
        <v>21</v>
      </c>
      <c r="F964" s="15"/>
      <c r="G964" s="15"/>
      <c r="I964" s="17"/>
      <c r="O964" s="11" t="s">
        <v>27</v>
      </c>
      <c r="Y964" s="64">
        <f t="shared" si="30"/>
        <v>0</v>
      </c>
      <c r="AA964" s="64">
        <f t="shared" si="31"/>
        <v>0</v>
      </c>
      <c r="AB964" s="64" t="str">
        <f>IF($B964="","",(COUNTIFS(Rships!$C$2:$C$9990,$A964,Rships!$D$2:$D$9990,1)))</f>
        <v/>
      </c>
      <c r="AC964" s="64" t="str">
        <f>IF($B964="","",(COUNTIFS(Rships!$C$2:$C$9990,$A964,Rships!$D$2:$D$9990,2)))</f>
        <v/>
      </c>
      <c r="AD964" s="64" t="str">
        <f>IF($B964="","",(COUNTIFS(Rships!$C$2:$C$9990,$A964,Rships!$D$2:$D$9990,3)))</f>
        <v/>
      </c>
      <c r="AE964" s="64" t="str">
        <f>IF($B964="","",(COUNTIFS(Rships!$C$2:$C$9990,$A964,Rships!$D$2:$D$9990,4)))</f>
        <v/>
      </c>
      <c r="AF964" s="64" t="str">
        <f>IF($B964="","",(COUNTIFS(Rships!$C$2:$C$9990,$A964,Rships!$D$2:$D$9990,5)))</f>
        <v/>
      </c>
      <c r="AG964" s="64" t="str">
        <f>IF($B964="","",(COUNTIFS(Rships!$C$2:$C$9990,$A964,Rships!$D$2:$D$9990,6)))</f>
        <v/>
      </c>
      <c r="AH964" s="64" t="str">
        <f>IF($B964="","",(COUNTIFS(Rships!$C$2:$C$9990,$A964,Rships!$D$2:$D$9990,7)))</f>
        <v/>
      </c>
    </row>
    <row r="965" spans="1:34">
      <c r="A965" s="1" t="s">
        <v>1214</v>
      </c>
      <c r="C965" s="11" t="s">
        <v>19</v>
      </c>
      <c r="D965" s="11" t="s">
        <v>21</v>
      </c>
      <c r="F965" s="15"/>
      <c r="G965" s="15"/>
      <c r="I965" s="17"/>
      <c r="O965" s="11" t="s">
        <v>27</v>
      </c>
      <c r="Y965" s="64">
        <f t="shared" si="30"/>
        <v>0</v>
      </c>
      <c r="AA965" s="64">
        <f t="shared" si="31"/>
        <v>0</v>
      </c>
      <c r="AB965" s="64" t="str">
        <f>IF($B965="","",(COUNTIFS(Rships!$C$2:$C$9990,$A965,Rships!$D$2:$D$9990,1)))</f>
        <v/>
      </c>
      <c r="AC965" s="64" t="str">
        <f>IF($B965="","",(COUNTIFS(Rships!$C$2:$C$9990,$A965,Rships!$D$2:$D$9990,2)))</f>
        <v/>
      </c>
      <c r="AD965" s="64" t="str">
        <f>IF($B965="","",(COUNTIFS(Rships!$C$2:$C$9990,$A965,Rships!$D$2:$D$9990,3)))</f>
        <v/>
      </c>
      <c r="AE965" s="64" t="str">
        <f>IF($B965="","",(COUNTIFS(Rships!$C$2:$C$9990,$A965,Rships!$D$2:$D$9990,4)))</f>
        <v/>
      </c>
      <c r="AF965" s="64" t="str">
        <f>IF($B965="","",(COUNTIFS(Rships!$C$2:$C$9990,$A965,Rships!$D$2:$D$9990,5)))</f>
        <v/>
      </c>
      <c r="AG965" s="64" t="str">
        <f>IF($B965="","",(COUNTIFS(Rships!$C$2:$C$9990,$A965,Rships!$D$2:$D$9990,6)))</f>
        <v/>
      </c>
      <c r="AH965" s="64" t="str">
        <f>IF($B965="","",(COUNTIFS(Rships!$C$2:$C$9990,$A965,Rships!$D$2:$D$9990,7)))</f>
        <v/>
      </c>
    </row>
    <row r="966" spans="1:34">
      <c r="A966" s="1" t="s">
        <v>1215</v>
      </c>
      <c r="C966" s="11" t="s">
        <v>19</v>
      </c>
      <c r="D966" s="11" t="s">
        <v>21</v>
      </c>
      <c r="F966" s="15"/>
      <c r="G966" s="15"/>
      <c r="I966" s="17"/>
      <c r="O966" s="11" t="s">
        <v>27</v>
      </c>
      <c r="Y966" s="64">
        <f t="shared" si="30"/>
        <v>0</v>
      </c>
      <c r="AA966" s="64">
        <f t="shared" si="31"/>
        <v>0</v>
      </c>
      <c r="AB966" s="64" t="str">
        <f>IF($B966="","",(COUNTIFS(Rships!$C$2:$C$9990,$A966,Rships!$D$2:$D$9990,1)))</f>
        <v/>
      </c>
      <c r="AC966" s="64" t="str">
        <f>IF($B966="","",(COUNTIFS(Rships!$C$2:$C$9990,$A966,Rships!$D$2:$D$9990,2)))</f>
        <v/>
      </c>
      <c r="AD966" s="64" t="str">
        <f>IF($B966="","",(COUNTIFS(Rships!$C$2:$C$9990,$A966,Rships!$D$2:$D$9990,3)))</f>
        <v/>
      </c>
      <c r="AE966" s="64" t="str">
        <f>IF($B966="","",(COUNTIFS(Rships!$C$2:$C$9990,$A966,Rships!$D$2:$D$9990,4)))</f>
        <v/>
      </c>
      <c r="AF966" s="64" t="str">
        <f>IF($B966="","",(COUNTIFS(Rships!$C$2:$C$9990,$A966,Rships!$D$2:$D$9990,5)))</f>
        <v/>
      </c>
      <c r="AG966" s="64" t="str">
        <f>IF($B966="","",(COUNTIFS(Rships!$C$2:$C$9990,$A966,Rships!$D$2:$D$9990,6)))</f>
        <v/>
      </c>
      <c r="AH966" s="64" t="str">
        <f>IF($B966="","",(COUNTIFS(Rships!$C$2:$C$9990,$A966,Rships!$D$2:$D$9990,7)))</f>
        <v/>
      </c>
    </row>
    <row r="967" spans="1:34">
      <c r="A967" s="1" t="s">
        <v>1216</v>
      </c>
      <c r="C967" s="11" t="s">
        <v>19</v>
      </c>
      <c r="D967" s="11" t="s">
        <v>21</v>
      </c>
      <c r="F967" s="15"/>
      <c r="G967" s="15"/>
      <c r="I967" s="17"/>
      <c r="O967" s="11" t="s">
        <v>27</v>
      </c>
      <c r="Y967" s="64">
        <f t="shared" si="30"/>
        <v>0</v>
      </c>
      <c r="AA967" s="64">
        <f t="shared" si="31"/>
        <v>0</v>
      </c>
      <c r="AB967" s="64" t="str">
        <f>IF($B967="","",(COUNTIFS(Rships!$C$2:$C$9990,$A967,Rships!$D$2:$D$9990,1)))</f>
        <v/>
      </c>
      <c r="AC967" s="64" t="str">
        <f>IF($B967="","",(COUNTIFS(Rships!$C$2:$C$9990,$A967,Rships!$D$2:$D$9990,2)))</f>
        <v/>
      </c>
      <c r="AD967" s="64" t="str">
        <f>IF($B967="","",(COUNTIFS(Rships!$C$2:$C$9990,$A967,Rships!$D$2:$D$9990,3)))</f>
        <v/>
      </c>
      <c r="AE967" s="64" t="str">
        <f>IF($B967="","",(COUNTIFS(Rships!$C$2:$C$9990,$A967,Rships!$D$2:$D$9990,4)))</f>
        <v/>
      </c>
      <c r="AF967" s="64" t="str">
        <f>IF($B967="","",(COUNTIFS(Rships!$C$2:$C$9990,$A967,Rships!$D$2:$D$9990,5)))</f>
        <v/>
      </c>
      <c r="AG967" s="64" t="str">
        <f>IF($B967="","",(COUNTIFS(Rships!$C$2:$C$9990,$A967,Rships!$D$2:$D$9990,6)))</f>
        <v/>
      </c>
      <c r="AH967" s="64" t="str">
        <f>IF($B967="","",(COUNTIFS(Rships!$C$2:$C$9990,$A967,Rships!$D$2:$D$9990,7)))</f>
        <v/>
      </c>
    </row>
    <row r="968" spans="1:34">
      <c r="A968" s="1" t="s">
        <v>1217</v>
      </c>
      <c r="C968" s="11" t="s">
        <v>19</v>
      </c>
      <c r="D968" s="11" t="s">
        <v>21</v>
      </c>
      <c r="F968" s="15"/>
      <c r="G968" s="15"/>
      <c r="I968" s="17"/>
      <c r="O968" s="11" t="s">
        <v>27</v>
      </c>
      <c r="Y968" s="64">
        <f t="shared" si="30"/>
        <v>0</v>
      </c>
      <c r="AA968" s="64">
        <f t="shared" si="31"/>
        <v>0</v>
      </c>
      <c r="AB968" s="64" t="str">
        <f>IF($B968="","",(COUNTIFS(Rships!$C$2:$C$9990,$A968,Rships!$D$2:$D$9990,1)))</f>
        <v/>
      </c>
      <c r="AC968" s="64" t="str">
        <f>IF($B968="","",(COUNTIFS(Rships!$C$2:$C$9990,$A968,Rships!$D$2:$D$9990,2)))</f>
        <v/>
      </c>
      <c r="AD968" s="64" t="str">
        <f>IF($B968="","",(COUNTIFS(Rships!$C$2:$C$9990,$A968,Rships!$D$2:$D$9990,3)))</f>
        <v/>
      </c>
      <c r="AE968" s="64" t="str">
        <f>IF($B968="","",(COUNTIFS(Rships!$C$2:$C$9990,$A968,Rships!$D$2:$D$9990,4)))</f>
        <v/>
      </c>
      <c r="AF968" s="64" t="str">
        <f>IF($B968="","",(COUNTIFS(Rships!$C$2:$C$9990,$A968,Rships!$D$2:$D$9990,5)))</f>
        <v/>
      </c>
      <c r="AG968" s="64" t="str">
        <f>IF($B968="","",(COUNTIFS(Rships!$C$2:$C$9990,$A968,Rships!$D$2:$D$9990,6)))</f>
        <v/>
      </c>
      <c r="AH968" s="64" t="str">
        <f>IF($B968="","",(COUNTIFS(Rships!$C$2:$C$9990,$A968,Rships!$D$2:$D$9990,7)))</f>
        <v/>
      </c>
    </row>
    <row r="969" spans="1:34">
      <c r="A969" s="1" t="s">
        <v>1218</v>
      </c>
      <c r="C969" s="11" t="s">
        <v>19</v>
      </c>
      <c r="D969" s="11" t="s">
        <v>21</v>
      </c>
      <c r="F969" s="15"/>
      <c r="G969" s="15"/>
      <c r="I969" s="17"/>
      <c r="O969" s="11" t="s">
        <v>27</v>
      </c>
      <c r="Y969" s="64">
        <f t="shared" si="30"/>
        <v>0</v>
      </c>
      <c r="AA969" s="64">
        <f t="shared" si="31"/>
        <v>0</v>
      </c>
      <c r="AB969" s="64" t="str">
        <f>IF($B969="","",(COUNTIFS(Rships!$C$2:$C$9990,$A969,Rships!$D$2:$D$9990,1)))</f>
        <v/>
      </c>
      <c r="AC969" s="64" t="str">
        <f>IF($B969="","",(COUNTIFS(Rships!$C$2:$C$9990,$A969,Rships!$D$2:$D$9990,2)))</f>
        <v/>
      </c>
      <c r="AD969" s="64" t="str">
        <f>IF($B969="","",(COUNTIFS(Rships!$C$2:$C$9990,$A969,Rships!$D$2:$D$9990,3)))</f>
        <v/>
      </c>
      <c r="AE969" s="64" t="str">
        <f>IF($B969="","",(COUNTIFS(Rships!$C$2:$C$9990,$A969,Rships!$D$2:$D$9990,4)))</f>
        <v/>
      </c>
      <c r="AF969" s="64" t="str">
        <f>IF($B969="","",(COUNTIFS(Rships!$C$2:$C$9990,$A969,Rships!$D$2:$D$9990,5)))</f>
        <v/>
      </c>
      <c r="AG969" s="64" t="str">
        <f>IF($B969="","",(COUNTIFS(Rships!$C$2:$C$9990,$A969,Rships!$D$2:$D$9990,6)))</f>
        <v/>
      </c>
      <c r="AH969" s="64" t="str">
        <f>IF($B969="","",(COUNTIFS(Rships!$C$2:$C$9990,$A969,Rships!$D$2:$D$9990,7)))</f>
        <v/>
      </c>
    </row>
    <row r="970" spans="1:34">
      <c r="A970" s="1" t="s">
        <v>1219</v>
      </c>
      <c r="C970" s="11" t="s">
        <v>19</v>
      </c>
      <c r="D970" s="11" t="s">
        <v>21</v>
      </c>
      <c r="F970" s="15"/>
      <c r="G970" s="15"/>
      <c r="I970" s="17"/>
      <c r="O970" s="11" t="s">
        <v>27</v>
      </c>
      <c r="Y970" s="64">
        <f t="shared" si="30"/>
        <v>0</v>
      </c>
      <c r="AA970" s="64">
        <f t="shared" si="31"/>
        <v>0</v>
      </c>
      <c r="AB970" s="64" t="str">
        <f>IF($B970="","",(COUNTIFS(Rships!$C$2:$C$9990,$A970,Rships!$D$2:$D$9990,1)))</f>
        <v/>
      </c>
      <c r="AC970" s="64" t="str">
        <f>IF($B970="","",(COUNTIFS(Rships!$C$2:$C$9990,$A970,Rships!$D$2:$D$9990,2)))</f>
        <v/>
      </c>
      <c r="AD970" s="64" t="str">
        <f>IF($B970="","",(COUNTIFS(Rships!$C$2:$C$9990,$A970,Rships!$D$2:$D$9990,3)))</f>
        <v/>
      </c>
      <c r="AE970" s="64" t="str">
        <f>IF($B970="","",(COUNTIFS(Rships!$C$2:$C$9990,$A970,Rships!$D$2:$D$9990,4)))</f>
        <v/>
      </c>
      <c r="AF970" s="64" t="str">
        <f>IF($B970="","",(COUNTIFS(Rships!$C$2:$C$9990,$A970,Rships!$D$2:$D$9990,5)))</f>
        <v/>
      </c>
      <c r="AG970" s="64" t="str">
        <f>IF($B970="","",(COUNTIFS(Rships!$C$2:$C$9990,$A970,Rships!$D$2:$D$9990,6)))</f>
        <v/>
      </c>
      <c r="AH970" s="64" t="str">
        <f>IF($B970="","",(COUNTIFS(Rships!$C$2:$C$9990,$A970,Rships!$D$2:$D$9990,7)))</f>
        <v/>
      </c>
    </row>
    <row r="971" spans="1:34">
      <c r="A971" s="1" t="s">
        <v>1220</v>
      </c>
      <c r="C971" s="11" t="s">
        <v>19</v>
      </c>
      <c r="D971" s="11" t="s">
        <v>21</v>
      </c>
      <c r="F971" s="15"/>
      <c r="G971" s="15"/>
      <c r="I971" s="17"/>
      <c r="O971" s="11" t="s">
        <v>27</v>
      </c>
      <c r="Y971" s="64">
        <f t="shared" si="30"/>
        <v>0</v>
      </c>
      <c r="AA971" s="64">
        <f t="shared" si="31"/>
        <v>0</v>
      </c>
      <c r="AB971" s="64" t="str">
        <f>IF($B971="","",(COUNTIFS(Rships!$C$2:$C$9990,$A971,Rships!$D$2:$D$9990,1)))</f>
        <v/>
      </c>
      <c r="AC971" s="64" t="str">
        <f>IF($B971="","",(COUNTIFS(Rships!$C$2:$C$9990,$A971,Rships!$D$2:$D$9990,2)))</f>
        <v/>
      </c>
      <c r="AD971" s="64" t="str">
        <f>IF($B971="","",(COUNTIFS(Rships!$C$2:$C$9990,$A971,Rships!$D$2:$D$9990,3)))</f>
        <v/>
      </c>
      <c r="AE971" s="64" t="str">
        <f>IF($B971="","",(COUNTIFS(Rships!$C$2:$C$9990,$A971,Rships!$D$2:$D$9990,4)))</f>
        <v/>
      </c>
      <c r="AF971" s="64" t="str">
        <f>IF($B971="","",(COUNTIFS(Rships!$C$2:$C$9990,$A971,Rships!$D$2:$D$9990,5)))</f>
        <v/>
      </c>
      <c r="AG971" s="64" t="str">
        <f>IF($B971="","",(COUNTIFS(Rships!$C$2:$C$9990,$A971,Rships!$D$2:$D$9990,6)))</f>
        <v/>
      </c>
      <c r="AH971" s="64" t="str">
        <f>IF($B971="","",(COUNTIFS(Rships!$C$2:$C$9990,$A971,Rships!$D$2:$D$9990,7)))</f>
        <v/>
      </c>
    </row>
    <row r="972" spans="1:34">
      <c r="A972" s="1" t="s">
        <v>1221</v>
      </c>
      <c r="C972" s="11" t="s">
        <v>19</v>
      </c>
      <c r="D972" s="11" t="s">
        <v>21</v>
      </c>
      <c r="F972" s="15"/>
      <c r="G972" s="15"/>
      <c r="I972" s="17"/>
      <c r="O972" s="11" t="s">
        <v>27</v>
      </c>
      <c r="Y972" s="64">
        <f t="shared" si="30"/>
        <v>0</v>
      </c>
      <c r="AA972" s="64">
        <f t="shared" si="31"/>
        <v>0</v>
      </c>
      <c r="AB972" s="64" t="str">
        <f>IF($B972="","",(COUNTIFS(Rships!$C$2:$C$9990,$A972,Rships!$D$2:$D$9990,1)))</f>
        <v/>
      </c>
      <c r="AC972" s="64" t="str">
        <f>IF($B972="","",(COUNTIFS(Rships!$C$2:$C$9990,$A972,Rships!$D$2:$D$9990,2)))</f>
        <v/>
      </c>
      <c r="AD972" s="64" t="str">
        <f>IF($B972="","",(COUNTIFS(Rships!$C$2:$C$9990,$A972,Rships!$D$2:$D$9990,3)))</f>
        <v/>
      </c>
      <c r="AE972" s="64" t="str">
        <f>IF($B972="","",(COUNTIFS(Rships!$C$2:$C$9990,$A972,Rships!$D$2:$D$9990,4)))</f>
        <v/>
      </c>
      <c r="AF972" s="64" t="str">
        <f>IF($B972="","",(COUNTIFS(Rships!$C$2:$C$9990,$A972,Rships!$D$2:$D$9990,5)))</f>
        <v/>
      </c>
      <c r="AG972" s="64" t="str">
        <f>IF($B972="","",(COUNTIFS(Rships!$C$2:$C$9990,$A972,Rships!$D$2:$D$9990,6)))</f>
        <v/>
      </c>
      <c r="AH972" s="64" t="str">
        <f>IF($B972="","",(COUNTIFS(Rships!$C$2:$C$9990,$A972,Rships!$D$2:$D$9990,7)))</f>
        <v/>
      </c>
    </row>
    <row r="973" spans="1:34">
      <c r="A973" s="1" t="s">
        <v>1222</v>
      </c>
      <c r="C973" s="11" t="s">
        <v>19</v>
      </c>
      <c r="D973" s="11" t="s">
        <v>21</v>
      </c>
      <c r="F973" s="15"/>
      <c r="G973" s="15"/>
      <c r="I973" s="17"/>
      <c r="O973" s="11" t="s">
        <v>27</v>
      </c>
      <c r="Y973" s="64">
        <f t="shared" si="30"/>
        <v>0</v>
      </c>
      <c r="AA973" s="64">
        <f t="shared" si="31"/>
        <v>0</v>
      </c>
      <c r="AB973" s="64" t="str">
        <f>IF($B973="","",(COUNTIFS(Rships!$C$2:$C$9990,$A973,Rships!$D$2:$D$9990,1)))</f>
        <v/>
      </c>
      <c r="AC973" s="64" t="str">
        <f>IF($B973="","",(COUNTIFS(Rships!$C$2:$C$9990,$A973,Rships!$D$2:$D$9990,2)))</f>
        <v/>
      </c>
      <c r="AD973" s="64" t="str">
        <f>IF($B973="","",(COUNTIFS(Rships!$C$2:$C$9990,$A973,Rships!$D$2:$D$9990,3)))</f>
        <v/>
      </c>
      <c r="AE973" s="64" t="str">
        <f>IF($B973="","",(COUNTIFS(Rships!$C$2:$C$9990,$A973,Rships!$D$2:$D$9990,4)))</f>
        <v/>
      </c>
      <c r="AF973" s="64" t="str">
        <f>IF($B973="","",(COUNTIFS(Rships!$C$2:$C$9990,$A973,Rships!$D$2:$D$9990,5)))</f>
        <v/>
      </c>
      <c r="AG973" s="64" t="str">
        <f>IF($B973="","",(COUNTIFS(Rships!$C$2:$C$9990,$A973,Rships!$D$2:$D$9990,6)))</f>
        <v/>
      </c>
      <c r="AH973" s="64" t="str">
        <f>IF($B973="","",(COUNTIFS(Rships!$C$2:$C$9990,$A973,Rships!$D$2:$D$9990,7)))</f>
        <v/>
      </c>
    </row>
    <row r="974" spans="1:34">
      <c r="A974" s="1" t="s">
        <v>1223</v>
      </c>
      <c r="C974" s="11" t="s">
        <v>19</v>
      </c>
      <c r="D974" s="11" t="s">
        <v>21</v>
      </c>
      <c r="F974" s="15"/>
      <c r="G974" s="15"/>
      <c r="I974" s="17"/>
      <c r="O974" s="11" t="s">
        <v>27</v>
      </c>
      <c r="Y974" s="64">
        <f t="shared" si="30"/>
        <v>0</v>
      </c>
      <c r="AA974" s="64">
        <f t="shared" si="31"/>
        <v>0</v>
      </c>
      <c r="AB974" s="64" t="str">
        <f>IF($B974="","",(COUNTIFS(Rships!$C$2:$C$9990,$A974,Rships!$D$2:$D$9990,1)))</f>
        <v/>
      </c>
      <c r="AC974" s="64" t="str">
        <f>IF($B974="","",(COUNTIFS(Rships!$C$2:$C$9990,$A974,Rships!$D$2:$D$9990,2)))</f>
        <v/>
      </c>
      <c r="AD974" s="64" t="str">
        <f>IF($B974="","",(COUNTIFS(Rships!$C$2:$C$9990,$A974,Rships!$D$2:$D$9990,3)))</f>
        <v/>
      </c>
      <c r="AE974" s="64" t="str">
        <f>IF($B974="","",(COUNTIFS(Rships!$C$2:$C$9990,$A974,Rships!$D$2:$D$9990,4)))</f>
        <v/>
      </c>
      <c r="AF974" s="64" t="str">
        <f>IF($B974="","",(COUNTIFS(Rships!$C$2:$C$9990,$A974,Rships!$D$2:$D$9990,5)))</f>
        <v/>
      </c>
      <c r="AG974" s="64" t="str">
        <f>IF($B974="","",(COUNTIFS(Rships!$C$2:$C$9990,$A974,Rships!$D$2:$D$9990,6)))</f>
        <v/>
      </c>
      <c r="AH974" s="64" t="str">
        <f>IF($B974="","",(COUNTIFS(Rships!$C$2:$C$9990,$A974,Rships!$D$2:$D$9990,7)))</f>
        <v/>
      </c>
    </row>
    <row r="975" spans="1:34">
      <c r="A975" s="1" t="s">
        <v>1224</v>
      </c>
      <c r="C975" s="11" t="s">
        <v>19</v>
      </c>
      <c r="D975" s="11" t="s">
        <v>21</v>
      </c>
      <c r="F975" s="15"/>
      <c r="G975" s="15"/>
      <c r="I975" s="17"/>
      <c r="O975" s="11" t="s">
        <v>27</v>
      </c>
      <c r="Y975" s="64">
        <f t="shared" si="30"/>
        <v>0</v>
      </c>
      <c r="AA975" s="64">
        <f t="shared" si="31"/>
        <v>0</v>
      </c>
      <c r="AB975" s="64" t="str">
        <f>IF($B975="","",(COUNTIFS(Rships!$C$2:$C$9990,$A975,Rships!$D$2:$D$9990,1)))</f>
        <v/>
      </c>
      <c r="AC975" s="64" t="str">
        <f>IF($B975="","",(COUNTIFS(Rships!$C$2:$C$9990,$A975,Rships!$D$2:$D$9990,2)))</f>
        <v/>
      </c>
      <c r="AD975" s="64" t="str">
        <f>IF($B975="","",(COUNTIFS(Rships!$C$2:$C$9990,$A975,Rships!$D$2:$D$9990,3)))</f>
        <v/>
      </c>
      <c r="AE975" s="64" t="str">
        <f>IF($B975="","",(COUNTIFS(Rships!$C$2:$C$9990,$A975,Rships!$D$2:$D$9990,4)))</f>
        <v/>
      </c>
      <c r="AF975" s="64" t="str">
        <f>IF($B975="","",(COUNTIFS(Rships!$C$2:$C$9990,$A975,Rships!$D$2:$D$9990,5)))</f>
        <v/>
      </c>
      <c r="AG975" s="64" t="str">
        <f>IF($B975="","",(COUNTIFS(Rships!$C$2:$C$9990,$A975,Rships!$D$2:$D$9990,6)))</f>
        <v/>
      </c>
      <c r="AH975" s="64" t="str">
        <f>IF($B975="","",(COUNTIFS(Rships!$C$2:$C$9990,$A975,Rships!$D$2:$D$9990,7)))</f>
        <v/>
      </c>
    </row>
    <row r="976" spans="1:34">
      <c r="A976" s="1" t="s">
        <v>1225</v>
      </c>
      <c r="C976" s="11" t="s">
        <v>19</v>
      </c>
      <c r="D976" s="11" t="s">
        <v>21</v>
      </c>
      <c r="F976" s="15"/>
      <c r="G976" s="15"/>
      <c r="I976" s="17"/>
      <c r="O976" s="11" t="s">
        <v>27</v>
      </c>
      <c r="Y976" s="64">
        <f t="shared" si="30"/>
        <v>0</v>
      </c>
      <c r="AA976" s="64">
        <f t="shared" si="31"/>
        <v>0</v>
      </c>
      <c r="AB976" s="64" t="str">
        <f>IF($B976="","",(COUNTIFS(Rships!$C$2:$C$9990,$A976,Rships!$D$2:$D$9990,1)))</f>
        <v/>
      </c>
      <c r="AC976" s="64" t="str">
        <f>IF($B976="","",(COUNTIFS(Rships!$C$2:$C$9990,$A976,Rships!$D$2:$D$9990,2)))</f>
        <v/>
      </c>
      <c r="AD976" s="64" t="str">
        <f>IF($B976="","",(COUNTIFS(Rships!$C$2:$C$9990,$A976,Rships!$D$2:$D$9990,3)))</f>
        <v/>
      </c>
      <c r="AE976" s="64" t="str">
        <f>IF($B976="","",(COUNTIFS(Rships!$C$2:$C$9990,$A976,Rships!$D$2:$D$9990,4)))</f>
        <v/>
      </c>
      <c r="AF976" s="64" t="str">
        <f>IF($B976="","",(COUNTIFS(Rships!$C$2:$C$9990,$A976,Rships!$D$2:$D$9990,5)))</f>
        <v/>
      </c>
      <c r="AG976" s="64" t="str">
        <f>IF($B976="","",(COUNTIFS(Rships!$C$2:$C$9990,$A976,Rships!$D$2:$D$9990,6)))</f>
        <v/>
      </c>
      <c r="AH976" s="64" t="str">
        <f>IF($B976="","",(COUNTIFS(Rships!$C$2:$C$9990,$A976,Rships!$D$2:$D$9990,7)))</f>
        <v/>
      </c>
    </row>
    <row r="977" spans="1:34">
      <c r="A977" s="1" t="s">
        <v>1226</v>
      </c>
      <c r="C977" s="11" t="s">
        <v>19</v>
      </c>
      <c r="D977" s="11" t="s">
        <v>21</v>
      </c>
      <c r="F977" s="15"/>
      <c r="G977" s="15"/>
      <c r="I977" s="17"/>
      <c r="O977" s="11" t="s">
        <v>27</v>
      </c>
      <c r="Y977" s="64">
        <f t="shared" si="30"/>
        <v>0</v>
      </c>
      <c r="AA977" s="64">
        <f t="shared" si="31"/>
        <v>0</v>
      </c>
      <c r="AB977" s="64" t="str">
        <f>IF($B977="","",(COUNTIFS(Rships!$C$2:$C$9990,$A977,Rships!$D$2:$D$9990,1)))</f>
        <v/>
      </c>
      <c r="AC977" s="64" t="str">
        <f>IF($B977="","",(COUNTIFS(Rships!$C$2:$C$9990,$A977,Rships!$D$2:$D$9990,2)))</f>
        <v/>
      </c>
      <c r="AD977" s="64" t="str">
        <f>IF($B977="","",(COUNTIFS(Rships!$C$2:$C$9990,$A977,Rships!$D$2:$D$9990,3)))</f>
        <v/>
      </c>
      <c r="AE977" s="64" t="str">
        <f>IF($B977="","",(COUNTIFS(Rships!$C$2:$C$9990,$A977,Rships!$D$2:$D$9990,4)))</f>
        <v/>
      </c>
      <c r="AF977" s="64" t="str">
        <f>IF($B977="","",(COUNTIFS(Rships!$C$2:$C$9990,$A977,Rships!$D$2:$D$9990,5)))</f>
        <v/>
      </c>
      <c r="AG977" s="64" t="str">
        <f>IF($B977="","",(COUNTIFS(Rships!$C$2:$C$9990,$A977,Rships!$D$2:$D$9990,6)))</f>
        <v/>
      </c>
      <c r="AH977" s="64" t="str">
        <f>IF($B977="","",(COUNTIFS(Rships!$C$2:$C$9990,$A977,Rships!$D$2:$D$9990,7)))</f>
        <v/>
      </c>
    </row>
    <row r="978" spans="1:34">
      <c r="A978" s="1" t="s">
        <v>1227</v>
      </c>
      <c r="C978" s="11" t="s">
        <v>19</v>
      </c>
      <c r="D978" s="11" t="s">
        <v>21</v>
      </c>
      <c r="F978" s="15"/>
      <c r="G978" s="15"/>
      <c r="I978" s="17"/>
      <c r="O978" s="11" t="s">
        <v>27</v>
      </c>
      <c r="Y978" s="64">
        <f t="shared" si="30"/>
        <v>0</v>
      </c>
      <c r="AA978" s="64">
        <f t="shared" si="31"/>
        <v>0</v>
      </c>
      <c r="AB978" s="64" t="str">
        <f>IF($B978="","",(COUNTIFS(Rships!$C$2:$C$9990,$A978,Rships!$D$2:$D$9990,1)))</f>
        <v/>
      </c>
      <c r="AC978" s="64" t="str">
        <f>IF($B978="","",(COUNTIFS(Rships!$C$2:$C$9990,$A978,Rships!$D$2:$D$9990,2)))</f>
        <v/>
      </c>
      <c r="AD978" s="64" t="str">
        <f>IF($B978="","",(COUNTIFS(Rships!$C$2:$C$9990,$A978,Rships!$D$2:$D$9990,3)))</f>
        <v/>
      </c>
      <c r="AE978" s="64" t="str">
        <f>IF($B978="","",(COUNTIFS(Rships!$C$2:$C$9990,$A978,Rships!$D$2:$D$9990,4)))</f>
        <v/>
      </c>
      <c r="AF978" s="64" t="str">
        <f>IF($B978="","",(COUNTIFS(Rships!$C$2:$C$9990,$A978,Rships!$D$2:$D$9990,5)))</f>
        <v/>
      </c>
      <c r="AG978" s="64" t="str">
        <f>IF($B978="","",(COUNTIFS(Rships!$C$2:$C$9990,$A978,Rships!$D$2:$D$9990,6)))</f>
        <v/>
      </c>
      <c r="AH978" s="64" t="str">
        <f>IF($B978="","",(COUNTIFS(Rships!$C$2:$C$9990,$A978,Rships!$D$2:$D$9990,7)))</f>
        <v/>
      </c>
    </row>
    <row r="979" spans="1:34">
      <c r="A979" s="1" t="s">
        <v>1228</v>
      </c>
      <c r="C979" s="11" t="s">
        <v>19</v>
      </c>
      <c r="D979" s="11" t="s">
        <v>21</v>
      </c>
      <c r="F979" s="15"/>
      <c r="G979" s="15"/>
      <c r="I979" s="17"/>
      <c r="O979" s="11" t="s">
        <v>27</v>
      </c>
      <c r="Y979" s="64">
        <f t="shared" si="30"/>
        <v>0</v>
      </c>
      <c r="AA979" s="64">
        <f t="shared" si="31"/>
        <v>0</v>
      </c>
      <c r="AB979" s="64" t="str">
        <f>IF($B979="","",(COUNTIFS(Rships!$C$2:$C$9990,$A979,Rships!$D$2:$D$9990,1)))</f>
        <v/>
      </c>
      <c r="AC979" s="64" t="str">
        <f>IF($B979="","",(COUNTIFS(Rships!$C$2:$C$9990,$A979,Rships!$D$2:$D$9990,2)))</f>
        <v/>
      </c>
      <c r="AD979" s="64" t="str">
        <f>IF($B979="","",(COUNTIFS(Rships!$C$2:$C$9990,$A979,Rships!$D$2:$D$9990,3)))</f>
        <v/>
      </c>
      <c r="AE979" s="64" t="str">
        <f>IF($B979="","",(COUNTIFS(Rships!$C$2:$C$9990,$A979,Rships!$D$2:$D$9990,4)))</f>
        <v/>
      </c>
      <c r="AF979" s="64" t="str">
        <f>IF($B979="","",(COUNTIFS(Rships!$C$2:$C$9990,$A979,Rships!$D$2:$D$9990,5)))</f>
        <v/>
      </c>
      <c r="AG979" s="64" t="str">
        <f>IF($B979="","",(COUNTIFS(Rships!$C$2:$C$9990,$A979,Rships!$D$2:$D$9990,6)))</f>
        <v/>
      </c>
      <c r="AH979" s="64" t="str">
        <f>IF($B979="","",(COUNTIFS(Rships!$C$2:$C$9990,$A979,Rships!$D$2:$D$9990,7)))</f>
        <v/>
      </c>
    </row>
    <row r="980" spans="1:34">
      <c r="A980" s="1" t="s">
        <v>1229</v>
      </c>
      <c r="C980" s="11" t="s">
        <v>19</v>
      </c>
      <c r="D980" s="11" t="s">
        <v>21</v>
      </c>
      <c r="F980" s="15"/>
      <c r="G980" s="15"/>
      <c r="I980" s="17"/>
      <c r="O980" s="11" t="s">
        <v>27</v>
      </c>
      <c r="Y980" s="64">
        <f t="shared" si="30"/>
        <v>0</v>
      </c>
      <c r="AA980" s="64">
        <f t="shared" si="31"/>
        <v>0</v>
      </c>
      <c r="AB980" s="64" t="str">
        <f>IF($B980="","",(COUNTIFS(Rships!$C$2:$C$9990,$A980,Rships!$D$2:$D$9990,1)))</f>
        <v/>
      </c>
      <c r="AC980" s="64" t="str">
        <f>IF($B980="","",(COUNTIFS(Rships!$C$2:$C$9990,$A980,Rships!$D$2:$D$9990,2)))</f>
        <v/>
      </c>
      <c r="AD980" s="64" t="str">
        <f>IF($B980="","",(COUNTIFS(Rships!$C$2:$C$9990,$A980,Rships!$D$2:$D$9990,3)))</f>
        <v/>
      </c>
      <c r="AE980" s="64" t="str">
        <f>IF($B980="","",(COUNTIFS(Rships!$C$2:$C$9990,$A980,Rships!$D$2:$D$9990,4)))</f>
        <v/>
      </c>
      <c r="AF980" s="64" t="str">
        <f>IF($B980="","",(COUNTIFS(Rships!$C$2:$C$9990,$A980,Rships!$D$2:$D$9990,5)))</f>
        <v/>
      </c>
      <c r="AG980" s="64" t="str">
        <f>IF($B980="","",(COUNTIFS(Rships!$C$2:$C$9990,$A980,Rships!$D$2:$D$9990,6)))</f>
        <v/>
      </c>
      <c r="AH980" s="64" t="str">
        <f>IF($B980="","",(COUNTIFS(Rships!$C$2:$C$9990,$A980,Rships!$D$2:$D$9990,7)))</f>
        <v/>
      </c>
    </row>
    <row r="981" spans="1:34">
      <c r="A981" s="1" t="s">
        <v>1230</v>
      </c>
      <c r="C981" s="11" t="s">
        <v>19</v>
      </c>
      <c r="D981" s="11" t="s">
        <v>21</v>
      </c>
      <c r="F981" s="15"/>
      <c r="G981" s="15"/>
      <c r="I981" s="17"/>
      <c r="O981" s="11" t="s">
        <v>27</v>
      </c>
      <c r="Y981" s="64">
        <f t="shared" si="30"/>
        <v>0</v>
      </c>
      <c r="AA981" s="64">
        <f t="shared" si="31"/>
        <v>0</v>
      </c>
      <c r="AB981" s="64" t="str">
        <f>IF($B981="","",(COUNTIFS(Rships!$C$2:$C$9990,$A981,Rships!$D$2:$D$9990,1)))</f>
        <v/>
      </c>
      <c r="AC981" s="64" t="str">
        <f>IF($B981="","",(COUNTIFS(Rships!$C$2:$C$9990,$A981,Rships!$D$2:$D$9990,2)))</f>
        <v/>
      </c>
      <c r="AD981" s="64" t="str">
        <f>IF($B981="","",(COUNTIFS(Rships!$C$2:$C$9990,$A981,Rships!$D$2:$D$9990,3)))</f>
        <v/>
      </c>
      <c r="AE981" s="64" t="str">
        <f>IF($B981="","",(COUNTIFS(Rships!$C$2:$C$9990,$A981,Rships!$D$2:$D$9990,4)))</f>
        <v/>
      </c>
      <c r="AF981" s="64" t="str">
        <f>IF($B981="","",(COUNTIFS(Rships!$C$2:$C$9990,$A981,Rships!$D$2:$D$9990,5)))</f>
        <v/>
      </c>
      <c r="AG981" s="64" t="str">
        <f>IF($B981="","",(COUNTIFS(Rships!$C$2:$C$9990,$A981,Rships!$D$2:$D$9990,6)))</f>
        <v/>
      </c>
      <c r="AH981" s="64" t="str">
        <f>IF($B981="","",(COUNTIFS(Rships!$C$2:$C$9990,$A981,Rships!$D$2:$D$9990,7)))</f>
        <v/>
      </c>
    </row>
    <row r="982" spans="1:34">
      <c r="A982" s="1" t="s">
        <v>1231</v>
      </c>
      <c r="C982" s="11" t="s">
        <v>19</v>
      </c>
      <c r="D982" s="11" t="s">
        <v>21</v>
      </c>
      <c r="F982" s="15"/>
      <c r="G982" s="15"/>
      <c r="I982" s="17"/>
      <c r="O982" s="11" t="s">
        <v>27</v>
      </c>
      <c r="Y982" s="64">
        <f t="shared" si="30"/>
        <v>0</v>
      </c>
      <c r="AA982" s="64">
        <f t="shared" si="31"/>
        <v>0</v>
      </c>
      <c r="AB982" s="64" t="str">
        <f>IF($B982="","",(COUNTIFS(Rships!$C$2:$C$9990,$A982,Rships!$D$2:$D$9990,1)))</f>
        <v/>
      </c>
      <c r="AC982" s="64" t="str">
        <f>IF($B982="","",(COUNTIFS(Rships!$C$2:$C$9990,$A982,Rships!$D$2:$D$9990,2)))</f>
        <v/>
      </c>
      <c r="AD982" s="64" t="str">
        <f>IF($B982="","",(COUNTIFS(Rships!$C$2:$C$9990,$A982,Rships!$D$2:$D$9990,3)))</f>
        <v/>
      </c>
      <c r="AE982" s="64" t="str">
        <f>IF($B982="","",(COUNTIFS(Rships!$C$2:$C$9990,$A982,Rships!$D$2:$D$9990,4)))</f>
        <v/>
      </c>
      <c r="AF982" s="64" t="str">
        <f>IF($B982="","",(COUNTIFS(Rships!$C$2:$C$9990,$A982,Rships!$D$2:$D$9990,5)))</f>
        <v/>
      </c>
      <c r="AG982" s="64" t="str">
        <f>IF($B982="","",(COUNTIFS(Rships!$C$2:$C$9990,$A982,Rships!$D$2:$D$9990,6)))</f>
        <v/>
      </c>
      <c r="AH982" s="64" t="str">
        <f>IF($B982="","",(COUNTIFS(Rships!$C$2:$C$9990,$A982,Rships!$D$2:$D$9990,7)))</f>
        <v/>
      </c>
    </row>
    <row r="983" spans="1:34">
      <c r="A983" s="1" t="s">
        <v>1232</v>
      </c>
      <c r="C983" s="11" t="s">
        <v>19</v>
      </c>
      <c r="D983" s="11" t="s">
        <v>21</v>
      </c>
      <c r="F983" s="15"/>
      <c r="G983" s="15"/>
      <c r="I983" s="17"/>
      <c r="O983" s="11" t="s">
        <v>27</v>
      </c>
      <c r="Y983" s="64">
        <f t="shared" si="30"/>
        <v>0</v>
      </c>
      <c r="AA983" s="64">
        <f t="shared" si="31"/>
        <v>0</v>
      </c>
      <c r="AB983" s="64" t="str">
        <f>IF($B983="","",(COUNTIFS(Rships!$C$2:$C$9990,$A983,Rships!$D$2:$D$9990,1)))</f>
        <v/>
      </c>
      <c r="AC983" s="64" t="str">
        <f>IF($B983="","",(COUNTIFS(Rships!$C$2:$C$9990,$A983,Rships!$D$2:$D$9990,2)))</f>
        <v/>
      </c>
      <c r="AD983" s="64" t="str">
        <f>IF($B983="","",(COUNTIFS(Rships!$C$2:$C$9990,$A983,Rships!$D$2:$D$9990,3)))</f>
        <v/>
      </c>
      <c r="AE983" s="64" t="str">
        <f>IF($B983="","",(COUNTIFS(Rships!$C$2:$C$9990,$A983,Rships!$D$2:$D$9990,4)))</f>
        <v/>
      </c>
      <c r="AF983" s="64" t="str">
        <f>IF($B983="","",(COUNTIFS(Rships!$C$2:$C$9990,$A983,Rships!$D$2:$D$9990,5)))</f>
        <v/>
      </c>
      <c r="AG983" s="64" t="str">
        <f>IF($B983="","",(COUNTIFS(Rships!$C$2:$C$9990,$A983,Rships!$D$2:$D$9990,6)))</f>
        <v/>
      </c>
      <c r="AH983" s="64" t="str">
        <f>IF($B983="","",(COUNTIFS(Rships!$C$2:$C$9990,$A983,Rships!$D$2:$D$9990,7)))</f>
        <v/>
      </c>
    </row>
    <row r="984" spans="1:34">
      <c r="A984" s="1" t="s">
        <v>1233</v>
      </c>
      <c r="C984" s="11" t="s">
        <v>19</v>
      </c>
      <c r="D984" s="11" t="s">
        <v>21</v>
      </c>
      <c r="F984" s="15"/>
      <c r="G984" s="15"/>
      <c r="I984" s="17"/>
      <c r="O984" s="11" t="s">
        <v>27</v>
      </c>
      <c r="Y984" s="64">
        <f t="shared" si="30"/>
        <v>0</v>
      </c>
      <c r="AA984" s="64">
        <f t="shared" si="31"/>
        <v>0</v>
      </c>
      <c r="AB984" s="64" t="str">
        <f>IF($B984="","",(COUNTIFS(Rships!$C$2:$C$9990,$A984,Rships!$D$2:$D$9990,1)))</f>
        <v/>
      </c>
      <c r="AC984" s="64" t="str">
        <f>IF($B984="","",(COUNTIFS(Rships!$C$2:$C$9990,$A984,Rships!$D$2:$D$9990,2)))</f>
        <v/>
      </c>
      <c r="AD984" s="64" t="str">
        <f>IF($B984="","",(COUNTIFS(Rships!$C$2:$C$9990,$A984,Rships!$D$2:$D$9990,3)))</f>
        <v/>
      </c>
      <c r="AE984" s="64" t="str">
        <f>IF($B984="","",(COUNTIFS(Rships!$C$2:$C$9990,$A984,Rships!$D$2:$D$9990,4)))</f>
        <v/>
      </c>
      <c r="AF984" s="64" t="str">
        <f>IF($B984="","",(COUNTIFS(Rships!$C$2:$C$9990,$A984,Rships!$D$2:$D$9990,5)))</f>
        <v/>
      </c>
      <c r="AG984" s="64" t="str">
        <f>IF($B984="","",(COUNTIFS(Rships!$C$2:$C$9990,$A984,Rships!$D$2:$D$9990,6)))</f>
        <v/>
      </c>
      <c r="AH984" s="64" t="str">
        <f>IF($B984="","",(COUNTIFS(Rships!$C$2:$C$9990,$A984,Rships!$D$2:$D$9990,7)))</f>
        <v/>
      </c>
    </row>
    <row r="985" spans="1:34">
      <c r="A985" s="1" t="s">
        <v>1234</v>
      </c>
      <c r="C985" s="11" t="s">
        <v>19</v>
      </c>
      <c r="D985" s="11" t="s">
        <v>21</v>
      </c>
      <c r="F985" s="15"/>
      <c r="G985" s="15"/>
      <c r="I985" s="17"/>
      <c r="O985" s="11" t="s">
        <v>27</v>
      </c>
      <c r="Y985" s="64">
        <f t="shared" si="30"/>
        <v>0</v>
      </c>
      <c r="AA985" s="64">
        <f t="shared" si="31"/>
        <v>0</v>
      </c>
      <c r="AB985" s="64" t="str">
        <f>IF($B985="","",(COUNTIFS(Rships!$C$2:$C$9990,$A985,Rships!$D$2:$D$9990,1)))</f>
        <v/>
      </c>
      <c r="AC985" s="64" t="str">
        <f>IF($B985="","",(COUNTIFS(Rships!$C$2:$C$9990,$A985,Rships!$D$2:$D$9990,2)))</f>
        <v/>
      </c>
      <c r="AD985" s="64" t="str">
        <f>IF($B985="","",(COUNTIFS(Rships!$C$2:$C$9990,$A985,Rships!$D$2:$D$9990,3)))</f>
        <v/>
      </c>
      <c r="AE985" s="64" t="str">
        <f>IF($B985="","",(COUNTIFS(Rships!$C$2:$C$9990,$A985,Rships!$D$2:$D$9990,4)))</f>
        <v/>
      </c>
      <c r="AF985" s="64" t="str">
        <f>IF($B985="","",(COUNTIFS(Rships!$C$2:$C$9990,$A985,Rships!$D$2:$D$9990,5)))</f>
        <v/>
      </c>
      <c r="AG985" s="64" t="str">
        <f>IF($B985="","",(COUNTIFS(Rships!$C$2:$C$9990,$A985,Rships!$D$2:$D$9990,6)))</f>
        <v/>
      </c>
      <c r="AH985" s="64" t="str">
        <f>IF($B985="","",(COUNTIFS(Rships!$C$2:$C$9990,$A985,Rships!$D$2:$D$9990,7)))</f>
        <v/>
      </c>
    </row>
    <row r="986" spans="1:34">
      <c r="A986" s="1" t="s">
        <v>1235</v>
      </c>
      <c r="C986" s="11" t="s">
        <v>19</v>
      </c>
      <c r="D986" s="11" t="s">
        <v>21</v>
      </c>
      <c r="F986" s="15"/>
      <c r="G986" s="15"/>
      <c r="I986" s="17"/>
      <c r="O986" s="11" t="s">
        <v>27</v>
      </c>
      <c r="Y986" s="64">
        <f t="shared" si="30"/>
        <v>0</v>
      </c>
      <c r="AA986" s="64">
        <f t="shared" si="31"/>
        <v>0</v>
      </c>
      <c r="AB986" s="64" t="str">
        <f>IF($B986="","",(COUNTIFS(Rships!$C$2:$C$9990,$A986,Rships!$D$2:$D$9990,1)))</f>
        <v/>
      </c>
      <c r="AC986" s="64" t="str">
        <f>IF($B986="","",(COUNTIFS(Rships!$C$2:$C$9990,$A986,Rships!$D$2:$D$9990,2)))</f>
        <v/>
      </c>
      <c r="AD986" s="64" t="str">
        <f>IF($B986="","",(COUNTIFS(Rships!$C$2:$C$9990,$A986,Rships!$D$2:$D$9990,3)))</f>
        <v/>
      </c>
      <c r="AE986" s="64" t="str">
        <f>IF($B986="","",(COUNTIFS(Rships!$C$2:$C$9990,$A986,Rships!$D$2:$D$9990,4)))</f>
        <v/>
      </c>
      <c r="AF986" s="64" t="str">
        <f>IF($B986="","",(COUNTIFS(Rships!$C$2:$C$9990,$A986,Rships!$D$2:$D$9990,5)))</f>
        <v/>
      </c>
      <c r="AG986" s="64" t="str">
        <f>IF($B986="","",(COUNTIFS(Rships!$C$2:$C$9990,$A986,Rships!$D$2:$D$9990,6)))</f>
        <v/>
      </c>
      <c r="AH986" s="64" t="str">
        <f>IF($B986="","",(COUNTIFS(Rships!$C$2:$C$9990,$A986,Rships!$D$2:$D$9990,7)))</f>
        <v/>
      </c>
    </row>
    <row r="987" spans="1:34">
      <c r="A987" s="1" t="s">
        <v>1236</v>
      </c>
      <c r="C987" s="11" t="s">
        <v>19</v>
      </c>
      <c r="D987" s="11" t="s">
        <v>21</v>
      </c>
      <c r="F987" s="15"/>
      <c r="G987" s="15"/>
      <c r="I987" s="17"/>
      <c r="O987" s="11" t="s">
        <v>27</v>
      </c>
      <c r="Y987" s="64">
        <f t="shared" si="30"/>
        <v>0</v>
      </c>
      <c r="AA987" s="64">
        <f t="shared" si="31"/>
        <v>0</v>
      </c>
      <c r="AB987" s="64" t="str">
        <f>IF($B987="","",(COUNTIFS(Rships!$C$2:$C$9990,$A987,Rships!$D$2:$D$9990,1)))</f>
        <v/>
      </c>
      <c r="AC987" s="64" t="str">
        <f>IF($B987="","",(COUNTIFS(Rships!$C$2:$C$9990,$A987,Rships!$D$2:$D$9990,2)))</f>
        <v/>
      </c>
      <c r="AD987" s="64" t="str">
        <f>IF($B987="","",(COUNTIFS(Rships!$C$2:$C$9990,$A987,Rships!$D$2:$D$9990,3)))</f>
        <v/>
      </c>
      <c r="AE987" s="64" t="str">
        <f>IF($B987="","",(COUNTIFS(Rships!$C$2:$C$9990,$A987,Rships!$D$2:$D$9990,4)))</f>
        <v/>
      </c>
      <c r="AF987" s="64" t="str">
        <f>IF($B987="","",(COUNTIFS(Rships!$C$2:$C$9990,$A987,Rships!$D$2:$D$9990,5)))</f>
        <v/>
      </c>
      <c r="AG987" s="64" t="str">
        <f>IF($B987="","",(COUNTIFS(Rships!$C$2:$C$9990,$A987,Rships!$D$2:$D$9990,6)))</f>
        <v/>
      </c>
      <c r="AH987" s="64" t="str">
        <f>IF($B987="","",(COUNTIFS(Rships!$C$2:$C$9990,$A987,Rships!$D$2:$D$9990,7)))</f>
        <v/>
      </c>
    </row>
    <row r="988" spans="1:34">
      <c r="A988" s="1" t="s">
        <v>1237</v>
      </c>
      <c r="C988" s="11" t="s">
        <v>19</v>
      </c>
      <c r="D988" s="11" t="s">
        <v>21</v>
      </c>
      <c r="F988" s="15"/>
      <c r="G988" s="15"/>
      <c r="I988" s="17"/>
      <c r="O988" s="11" t="s">
        <v>27</v>
      </c>
      <c r="Y988" s="64">
        <f t="shared" si="30"/>
        <v>0</v>
      </c>
      <c r="AA988" s="64">
        <f t="shared" si="31"/>
        <v>0</v>
      </c>
      <c r="AB988" s="64" t="str">
        <f>IF($B988="","",(COUNTIFS(Rships!$C$2:$C$9990,$A988,Rships!$D$2:$D$9990,1)))</f>
        <v/>
      </c>
      <c r="AC988" s="64" t="str">
        <f>IF($B988="","",(COUNTIFS(Rships!$C$2:$C$9990,$A988,Rships!$D$2:$D$9990,2)))</f>
        <v/>
      </c>
      <c r="AD988" s="64" t="str">
        <f>IF($B988="","",(COUNTIFS(Rships!$C$2:$C$9990,$A988,Rships!$D$2:$D$9990,3)))</f>
        <v/>
      </c>
      <c r="AE988" s="64" t="str">
        <f>IF($B988="","",(COUNTIFS(Rships!$C$2:$C$9990,$A988,Rships!$D$2:$D$9990,4)))</f>
        <v/>
      </c>
      <c r="AF988" s="64" t="str">
        <f>IF($B988="","",(COUNTIFS(Rships!$C$2:$C$9990,$A988,Rships!$D$2:$D$9990,5)))</f>
        <v/>
      </c>
      <c r="AG988" s="64" t="str">
        <f>IF($B988="","",(COUNTIFS(Rships!$C$2:$C$9990,$A988,Rships!$D$2:$D$9990,6)))</f>
        <v/>
      </c>
      <c r="AH988" s="64" t="str">
        <f>IF($B988="","",(COUNTIFS(Rships!$C$2:$C$9990,$A988,Rships!$D$2:$D$9990,7)))</f>
        <v/>
      </c>
    </row>
    <row r="989" spans="1:34">
      <c r="A989" s="1" t="s">
        <v>1238</v>
      </c>
      <c r="C989" s="11" t="s">
        <v>19</v>
      </c>
      <c r="D989" s="11" t="s">
        <v>21</v>
      </c>
      <c r="F989" s="15"/>
      <c r="G989" s="15"/>
      <c r="I989" s="17"/>
      <c r="O989" s="11" t="s">
        <v>27</v>
      </c>
      <c r="Y989" s="64">
        <f t="shared" si="30"/>
        <v>0</v>
      </c>
      <c r="AA989" s="64">
        <f t="shared" si="31"/>
        <v>0</v>
      </c>
      <c r="AB989" s="64" t="str">
        <f>IF($B989="","",(COUNTIFS(Rships!$C$2:$C$9990,$A989,Rships!$D$2:$D$9990,1)))</f>
        <v/>
      </c>
      <c r="AC989" s="64" t="str">
        <f>IF($B989="","",(COUNTIFS(Rships!$C$2:$C$9990,$A989,Rships!$D$2:$D$9990,2)))</f>
        <v/>
      </c>
      <c r="AD989" s="64" t="str">
        <f>IF($B989="","",(COUNTIFS(Rships!$C$2:$C$9990,$A989,Rships!$D$2:$D$9990,3)))</f>
        <v/>
      </c>
      <c r="AE989" s="64" t="str">
        <f>IF($B989="","",(COUNTIFS(Rships!$C$2:$C$9990,$A989,Rships!$D$2:$D$9990,4)))</f>
        <v/>
      </c>
      <c r="AF989" s="64" t="str">
        <f>IF($B989="","",(COUNTIFS(Rships!$C$2:$C$9990,$A989,Rships!$D$2:$D$9990,5)))</f>
        <v/>
      </c>
      <c r="AG989" s="64" t="str">
        <f>IF($B989="","",(COUNTIFS(Rships!$C$2:$C$9990,$A989,Rships!$D$2:$D$9990,6)))</f>
        <v/>
      </c>
      <c r="AH989" s="64" t="str">
        <f>IF($B989="","",(COUNTIFS(Rships!$C$2:$C$9990,$A989,Rships!$D$2:$D$9990,7)))</f>
        <v/>
      </c>
    </row>
    <row r="990" spans="1:34">
      <c r="A990" s="1" t="s">
        <v>1239</v>
      </c>
      <c r="C990" s="11" t="s">
        <v>19</v>
      </c>
      <c r="D990" s="11" t="s">
        <v>21</v>
      </c>
      <c r="F990" s="15"/>
      <c r="G990" s="15"/>
      <c r="I990" s="17"/>
      <c r="O990" s="11" t="s">
        <v>27</v>
      </c>
      <c r="Y990" s="64">
        <f t="shared" si="30"/>
        <v>0</v>
      </c>
      <c r="AA990" s="64">
        <f t="shared" si="31"/>
        <v>0</v>
      </c>
      <c r="AB990" s="64" t="str">
        <f>IF($B990="","",(COUNTIFS(Rships!$C$2:$C$9990,$A990,Rships!$D$2:$D$9990,1)))</f>
        <v/>
      </c>
      <c r="AC990" s="64" t="str">
        <f>IF($B990="","",(COUNTIFS(Rships!$C$2:$C$9990,$A990,Rships!$D$2:$D$9990,2)))</f>
        <v/>
      </c>
      <c r="AD990" s="64" t="str">
        <f>IF($B990="","",(COUNTIFS(Rships!$C$2:$C$9990,$A990,Rships!$D$2:$D$9990,3)))</f>
        <v/>
      </c>
      <c r="AE990" s="64" t="str">
        <f>IF($B990="","",(COUNTIFS(Rships!$C$2:$C$9990,$A990,Rships!$D$2:$D$9990,4)))</f>
        <v/>
      </c>
      <c r="AF990" s="64" t="str">
        <f>IF($B990="","",(COUNTIFS(Rships!$C$2:$C$9990,$A990,Rships!$D$2:$D$9990,5)))</f>
        <v/>
      </c>
      <c r="AG990" s="64" t="str">
        <f>IF($B990="","",(COUNTIFS(Rships!$C$2:$C$9990,$A990,Rships!$D$2:$D$9990,6)))</f>
        <v/>
      </c>
      <c r="AH990" s="64" t="str">
        <f>IF($B990="","",(COUNTIFS(Rships!$C$2:$C$9990,$A990,Rships!$D$2:$D$9990,7)))</f>
        <v/>
      </c>
    </row>
    <row r="991" spans="1:34">
      <c r="A991" s="1" t="s">
        <v>1240</v>
      </c>
      <c r="C991" s="11" t="s">
        <v>19</v>
      </c>
      <c r="D991" s="11" t="s">
        <v>21</v>
      </c>
      <c r="F991" s="15"/>
      <c r="G991" s="15"/>
      <c r="I991" s="17"/>
      <c r="O991" s="11" t="s">
        <v>27</v>
      </c>
      <c r="Y991" s="64">
        <f t="shared" si="30"/>
        <v>0</v>
      </c>
      <c r="AA991" s="64">
        <f t="shared" si="31"/>
        <v>0</v>
      </c>
      <c r="AB991" s="64" t="str">
        <f>IF($B991="","",(COUNTIFS(Rships!$C$2:$C$9990,$A991,Rships!$D$2:$D$9990,1)))</f>
        <v/>
      </c>
      <c r="AC991" s="64" t="str">
        <f>IF($B991="","",(COUNTIFS(Rships!$C$2:$C$9990,$A991,Rships!$D$2:$D$9990,2)))</f>
        <v/>
      </c>
      <c r="AD991" s="64" t="str">
        <f>IF($B991="","",(COUNTIFS(Rships!$C$2:$C$9990,$A991,Rships!$D$2:$D$9990,3)))</f>
        <v/>
      </c>
      <c r="AE991" s="64" t="str">
        <f>IF($B991="","",(COUNTIFS(Rships!$C$2:$C$9990,$A991,Rships!$D$2:$D$9990,4)))</f>
        <v/>
      </c>
      <c r="AF991" s="64" t="str">
        <f>IF($B991="","",(COUNTIFS(Rships!$C$2:$C$9990,$A991,Rships!$D$2:$D$9990,5)))</f>
        <v/>
      </c>
      <c r="AG991" s="64" t="str">
        <f>IF($B991="","",(COUNTIFS(Rships!$C$2:$C$9990,$A991,Rships!$D$2:$D$9990,6)))</f>
        <v/>
      </c>
      <c r="AH991" s="64" t="str">
        <f>IF($B991="","",(COUNTIFS(Rships!$C$2:$C$9990,$A991,Rships!$D$2:$D$9990,7)))</f>
        <v/>
      </c>
    </row>
    <row r="992" spans="1:34">
      <c r="A992" s="1" t="s">
        <v>1241</v>
      </c>
      <c r="C992" s="11" t="s">
        <v>19</v>
      </c>
      <c r="D992" s="11" t="s">
        <v>21</v>
      </c>
      <c r="F992" s="15"/>
      <c r="G992" s="15"/>
      <c r="I992" s="17"/>
      <c r="O992" s="11" t="s">
        <v>27</v>
      </c>
      <c r="Y992" s="64">
        <f t="shared" si="30"/>
        <v>0</v>
      </c>
      <c r="AA992" s="64">
        <f t="shared" si="31"/>
        <v>0</v>
      </c>
      <c r="AB992" s="64" t="str">
        <f>IF($B992="","",(COUNTIFS(Rships!$C$2:$C$9990,$A992,Rships!$D$2:$D$9990,1)))</f>
        <v/>
      </c>
      <c r="AC992" s="64" t="str">
        <f>IF($B992="","",(COUNTIFS(Rships!$C$2:$C$9990,$A992,Rships!$D$2:$D$9990,2)))</f>
        <v/>
      </c>
      <c r="AD992" s="64" t="str">
        <f>IF($B992="","",(COUNTIFS(Rships!$C$2:$C$9990,$A992,Rships!$D$2:$D$9990,3)))</f>
        <v/>
      </c>
      <c r="AE992" s="64" t="str">
        <f>IF($B992="","",(COUNTIFS(Rships!$C$2:$C$9990,$A992,Rships!$D$2:$D$9990,4)))</f>
        <v/>
      </c>
      <c r="AF992" s="64" t="str">
        <f>IF($B992="","",(COUNTIFS(Rships!$C$2:$C$9990,$A992,Rships!$D$2:$D$9990,5)))</f>
        <v/>
      </c>
      <c r="AG992" s="64" t="str">
        <f>IF($B992="","",(COUNTIFS(Rships!$C$2:$C$9990,$A992,Rships!$D$2:$D$9990,6)))</f>
        <v/>
      </c>
      <c r="AH992" s="64" t="str">
        <f>IF($B992="","",(COUNTIFS(Rships!$C$2:$C$9990,$A992,Rships!$D$2:$D$9990,7)))</f>
        <v/>
      </c>
    </row>
    <row r="993" spans="1:34">
      <c r="A993" s="1" t="s">
        <v>1242</v>
      </c>
      <c r="C993" s="11" t="s">
        <v>19</v>
      </c>
      <c r="D993" s="11" t="s">
        <v>21</v>
      </c>
      <c r="F993" s="15"/>
      <c r="G993" s="15"/>
      <c r="I993" s="17"/>
      <c r="O993" s="11" t="s">
        <v>27</v>
      </c>
      <c r="Y993" s="64">
        <f t="shared" si="30"/>
        <v>0</v>
      </c>
      <c r="AA993" s="64">
        <f t="shared" si="31"/>
        <v>0</v>
      </c>
      <c r="AB993" s="64" t="str">
        <f>IF($B993="","",(COUNTIFS(Rships!$C$2:$C$9990,$A993,Rships!$D$2:$D$9990,1)))</f>
        <v/>
      </c>
      <c r="AC993" s="64" t="str">
        <f>IF($B993="","",(COUNTIFS(Rships!$C$2:$C$9990,$A993,Rships!$D$2:$D$9990,2)))</f>
        <v/>
      </c>
      <c r="AD993" s="64" t="str">
        <f>IF($B993="","",(COUNTIFS(Rships!$C$2:$C$9990,$A993,Rships!$D$2:$D$9990,3)))</f>
        <v/>
      </c>
      <c r="AE993" s="64" t="str">
        <f>IF($B993="","",(COUNTIFS(Rships!$C$2:$C$9990,$A993,Rships!$D$2:$D$9990,4)))</f>
        <v/>
      </c>
      <c r="AF993" s="64" t="str">
        <f>IF($B993="","",(COUNTIFS(Rships!$C$2:$C$9990,$A993,Rships!$D$2:$D$9990,5)))</f>
        <v/>
      </c>
      <c r="AG993" s="64" t="str">
        <f>IF($B993="","",(COUNTIFS(Rships!$C$2:$C$9990,$A993,Rships!$D$2:$D$9990,6)))</f>
        <v/>
      </c>
      <c r="AH993" s="64" t="str">
        <f>IF($B993="","",(COUNTIFS(Rships!$C$2:$C$9990,$A993,Rships!$D$2:$D$9990,7)))</f>
        <v/>
      </c>
    </row>
    <row r="994" spans="1:34">
      <c r="A994" s="1" t="s">
        <v>1243</v>
      </c>
      <c r="C994" s="11" t="s">
        <v>19</v>
      </c>
      <c r="D994" s="11" t="s">
        <v>21</v>
      </c>
      <c r="F994" s="15"/>
      <c r="G994" s="15"/>
      <c r="I994" s="17"/>
      <c r="O994" s="11" t="s">
        <v>27</v>
      </c>
      <c r="Y994" s="64">
        <f t="shared" si="30"/>
        <v>0</v>
      </c>
      <c r="AA994" s="64">
        <f t="shared" si="31"/>
        <v>0</v>
      </c>
      <c r="AB994" s="64" t="str">
        <f>IF($B994="","",(COUNTIFS(Rships!$C$2:$C$9990,$A994,Rships!$D$2:$D$9990,1)))</f>
        <v/>
      </c>
      <c r="AC994" s="64" t="str">
        <f>IF($B994="","",(COUNTIFS(Rships!$C$2:$C$9990,$A994,Rships!$D$2:$D$9990,2)))</f>
        <v/>
      </c>
      <c r="AD994" s="64" t="str">
        <f>IF($B994="","",(COUNTIFS(Rships!$C$2:$C$9990,$A994,Rships!$D$2:$D$9990,3)))</f>
        <v/>
      </c>
      <c r="AE994" s="64" t="str">
        <f>IF($B994="","",(COUNTIFS(Rships!$C$2:$C$9990,$A994,Rships!$D$2:$D$9990,4)))</f>
        <v/>
      </c>
      <c r="AF994" s="64" t="str">
        <f>IF($B994="","",(COUNTIFS(Rships!$C$2:$C$9990,$A994,Rships!$D$2:$D$9990,5)))</f>
        <v/>
      </c>
      <c r="AG994" s="64" t="str">
        <f>IF($B994="","",(COUNTIFS(Rships!$C$2:$C$9990,$A994,Rships!$D$2:$D$9990,6)))</f>
        <v/>
      </c>
      <c r="AH994" s="64" t="str">
        <f>IF($B994="","",(COUNTIFS(Rships!$C$2:$C$9990,$A994,Rships!$D$2:$D$9990,7)))</f>
        <v/>
      </c>
    </row>
    <row r="995" spans="1:34">
      <c r="A995" s="1" t="s">
        <v>1244</v>
      </c>
      <c r="C995" s="11" t="s">
        <v>19</v>
      </c>
      <c r="D995" s="11" t="s">
        <v>21</v>
      </c>
      <c r="F995" s="15"/>
      <c r="G995" s="15"/>
      <c r="I995" s="17"/>
      <c r="O995" s="11" t="s">
        <v>27</v>
      </c>
      <c r="Y995" s="64">
        <f t="shared" si="30"/>
        <v>0</v>
      </c>
      <c r="AA995" s="64">
        <f t="shared" si="31"/>
        <v>0</v>
      </c>
      <c r="AB995" s="64" t="str">
        <f>IF($B995="","",(COUNTIFS(Rships!$C$2:$C$9990,$A995,Rships!$D$2:$D$9990,1)))</f>
        <v/>
      </c>
      <c r="AC995" s="64" t="str">
        <f>IF($B995="","",(COUNTIFS(Rships!$C$2:$C$9990,$A995,Rships!$D$2:$D$9990,2)))</f>
        <v/>
      </c>
      <c r="AD995" s="64" t="str">
        <f>IF($B995="","",(COUNTIFS(Rships!$C$2:$C$9990,$A995,Rships!$D$2:$D$9990,3)))</f>
        <v/>
      </c>
      <c r="AE995" s="64" t="str">
        <f>IF($B995="","",(COUNTIFS(Rships!$C$2:$C$9990,$A995,Rships!$D$2:$D$9990,4)))</f>
        <v/>
      </c>
      <c r="AF995" s="64" t="str">
        <f>IF($B995="","",(COUNTIFS(Rships!$C$2:$C$9990,$A995,Rships!$D$2:$D$9990,5)))</f>
        <v/>
      </c>
      <c r="AG995" s="64" t="str">
        <f>IF($B995="","",(COUNTIFS(Rships!$C$2:$C$9990,$A995,Rships!$D$2:$D$9990,6)))</f>
        <v/>
      </c>
      <c r="AH995" s="64" t="str">
        <f>IF($B995="","",(COUNTIFS(Rships!$C$2:$C$9990,$A995,Rships!$D$2:$D$9990,7)))</f>
        <v/>
      </c>
    </row>
    <row r="996" spans="1:34">
      <c r="A996" s="1" t="s">
        <v>1245</v>
      </c>
      <c r="C996" s="11" t="s">
        <v>19</v>
      </c>
      <c r="D996" s="11" t="s">
        <v>21</v>
      </c>
      <c r="F996" s="15"/>
      <c r="G996" s="15"/>
      <c r="I996" s="17"/>
      <c r="O996" s="11" t="s">
        <v>27</v>
      </c>
      <c r="Y996" s="64">
        <f t="shared" si="30"/>
        <v>0</v>
      </c>
      <c r="AA996" s="64">
        <f t="shared" si="31"/>
        <v>0</v>
      </c>
      <c r="AB996" s="64" t="str">
        <f>IF($B996="","",(COUNTIFS(Rships!$C$2:$C$9990,$A996,Rships!$D$2:$D$9990,1)))</f>
        <v/>
      </c>
      <c r="AC996" s="64" t="str">
        <f>IF($B996="","",(COUNTIFS(Rships!$C$2:$C$9990,$A996,Rships!$D$2:$D$9990,2)))</f>
        <v/>
      </c>
      <c r="AD996" s="64" t="str">
        <f>IF($B996="","",(COUNTIFS(Rships!$C$2:$C$9990,$A996,Rships!$D$2:$D$9990,3)))</f>
        <v/>
      </c>
      <c r="AE996" s="64" t="str">
        <f>IF($B996="","",(COUNTIFS(Rships!$C$2:$C$9990,$A996,Rships!$D$2:$D$9990,4)))</f>
        <v/>
      </c>
      <c r="AF996" s="64" t="str">
        <f>IF($B996="","",(COUNTIFS(Rships!$C$2:$C$9990,$A996,Rships!$D$2:$D$9990,5)))</f>
        <v/>
      </c>
      <c r="AG996" s="64" t="str">
        <f>IF($B996="","",(COUNTIFS(Rships!$C$2:$C$9990,$A996,Rships!$D$2:$D$9990,6)))</f>
        <v/>
      </c>
      <c r="AH996" s="64" t="str">
        <f>IF($B996="","",(COUNTIFS(Rships!$C$2:$C$9990,$A996,Rships!$D$2:$D$9990,7)))</f>
        <v/>
      </c>
    </row>
    <row r="997" spans="1:34">
      <c r="A997" s="1" t="s">
        <v>1246</v>
      </c>
      <c r="C997" s="11" t="s">
        <v>19</v>
      </c>
      <c r="D997" s="11" t="s">
        <v>21</v>
      </c>
      <c r="F997" s="15"/>
      <c r="G997" s="15"/>
      <c r="I997" s="17"/>
      <c r="O997" s="11" t="s">
        <v>27</v>
      </c>
      <c r="Y997" s="64">
        <f t="shared" si="30"/>
        <v>0</v>
      </c>
      <c r="AA997" s="64">
        <f t="shared" si="31"/>
        <v>0</v>
      </c>
      <c r="AB997" s="64" t="str">
        <f>IF($B997="","",(COUNTIFS(Rships!$C$2:$C$9990,$A997,Rships!$D$2:$D$9990,1)))</f>
        <v/>
      </c>
      <c r="AC997" s="64" t="str">
        <f>IF($B997="","",(COUNTIFS(Rships!$C$2:$C$9990,$A997,Rships!$D$2:$D$9990,2)))</f>
        <v/>
      </c>
      <c r="AD997" s="64" t="str">
        <f>IF($B997="","",(COUNTIFS(Rships!$C$2:$C$9990,$A997,Rships!$D$2:$D$9990,3)))</f>
        <v/>
      </c>
      <c r="AE997" s="64" t="str">
        <f>IF($B997="","",(COUNTIFS(Rships!$C$2:$C$9990,$A997,Rships!$D$2:$D$9990,4)))</f>
        <v/>
      </c>
      <c r="AF997" s="64" t="str">
        <f>IF($B997="","",(COUNTIFS(Rships!$C$2:$C$9990,$A997,Rships!$D$2:$D$9990,5)))</f>
        <v/>
      </c>
      <c r="AG997" s="64" t="str">
        <f>IF($B997="","",(COUNTIFS(Rships!$C$2:$C$9990,$A997,Rships!$D$2:$D$9990,6)))</f>
        <v/>
      </c>
      <c r="AH997" s="64" t="str">
        <f>IF($B997="","",(COUNTIFS(Rships!$C$2:$C$9990,$A997,Rships!$D$2:$D$9990,7)))</f>
        <v/>
      </c>
    </row>
    <row r="998" spans="1:34">
      <c r="A998" s="1" t="s">
        <v>1247</v>
      </c>
      <c r="C998" s="11" t="s">
        <v>19</v>
      </c>
      <c r="D998" s="11" t="s">
        <v>21</v>
      </c>
      <c r="F998" s="15"/>
      <c r="G998" s="15"/>
      <c r="I998" s="17"/>
      <c r="O998" s="11" t="s">
        <v>27</v>
      </c>
      <c r="Y998" s="64">
        <f t="shared" si="30"/>
        <v>0</v>
      </c>
      <c r="AA998" s="64">
        <f t="shared" si="31"/>
        <v>0</v>
      </c>
      <c r="AB998" s="64" t="str">
        <f>IF($B998="","",(COUNTIFS(Rships!$C$2:$C$9990,$A998,Rships!$D$2:$D$9990,1)))</f>
        <v/>
      </c>
      <c r="AC998" s="64" t="str">
        <f>IF($B998="","",(COUNTIFS(Rships!$C$2:$C$9990,$A998,Rships!$D$2:$D$9990,2)))</f>
        <v/>
      </c>
      <c r="AD998" s="64" t="str">
        <f>IF($B998="","",(COUNTIFS(Rships!$C$2:$C$9990,$A998,Rships!$D$2:$D$9990,3)))</f>
        <v/>
      </c>
      <c r="AE998" s="64" t="str">
        <f>IF($B998="","",(COUNTIFS(Rships!$C$2:$C$9990,$A998,Rships!$D$2:$D$9990,4)))</f>
        <v/>
      </c>
      <c r="AF998" s="64" t="str">
        <f>IF($B998="","",(COUNTIFS(Rships!$C$2:$C$9990,$A998,Rships!$D$2:$D$9990,5)))</f>
        <v/>
      </c>
      <c r="AG998" s="64" t="str">
        <f>IF($B998="","",(COUNTIFS(Rships!$C$2:$C$9990,$A998,Rships!$D$2:$D$9990,6)))</f>
        <v/>
      </c>
      <c r="AH998" s="64" t="str">
        <f>IF($B998="","",(COUNTIFS(Rships!$C$2:$C$9990,$A998,Rships!$D$2:$D$9990,7)))</f>
        <v/>
      </c>
    </row>
    <row r="999" spans="1:34">
      <c r="A999" s="1" t="s">
        <v>1248</v>
      </c>
      <c r="C999" s="11" t="s">
        <v>19</v>
      </c>
      <c r="D999" s="11" t="s">
        <v>21</v>
      </c>
      <c r="F999" s="15"/>
      <c r="G999" s="15"/>
      <c r="I999" s="17"/>
      <c r="O999" s="11" t="s">
        <v>27</v>
      </c>
      <c r="Y999" s="64">
        <f t="shared" si="30"/>
        <v>0</v>
      </c>
      <c r="AA999" s="64">
        <f t="shared" si="31"/>
        <v>0</v>
      </c>
      <c r="AB999" s="64" t="str">
        <f>IF($B999="","",(COUNTIFS(Rships!$C$2:$C$9990,$A999,Rships!$D$2:$D$9990,1)))</f>
        <v/>
      </c>
      <c r="AC999" s="64" t="str">
        <f>IF($B999="","",(COUNTIFS(Rships!$C$2:$C$9990,$A999,Rships!$D$2:$D$9990,2)))</f>
        <v/>
      </c>
      <c r="AD999" s="64" t="str">
        <f>IF($B999="","",(COUNTIFS(Rships!$C$2:$C$9990,$A999,Rships!$D$2:$D$9990,3)))</f>
        <v/>
      </c>
      <c r="AE999" s="64" t="str">
        <f>IF($B999="","",(COUNTIFS(Rships!$C$2:$C$9990,$A999,Rships!$D$2:$D$9990,4)))</f>
        <v/>
      </c>
      <c r="AF999" s="64" t="str">
        <f>IF($B999="","",(COUNTIFS(Rships!$C$2:$C$9990,$A999,Rships!$D$2:$D$9990,5)))</f>
        <v/>
      </c>
      <c r="AG999" s="64" t="str">
        <f>IF($B999="","",(COUNTIFS(Rships!$C$2:$C$9990,$A999,Rships!$D$2:$D$9990,6)))</f>
        <v/>
      </c>
      <c r="AH999" s="64" t="str">
        <f>IF($B999="","",(COUNTIFS(Rships!$C$2:$C$9990,$A999,Rships!$D$2:$D$9990,7)))</f>
        <v/>
      </c>
    </row>
    <row r="1000" spans="1:34">
      <c r="A1000" s="1" t="s">
        <v>1249</v>
      </c>
      <c r="C1000" s="11" t="s">
        <v>19</v>
      </c>
      <c r="D1000" s="11" t="s">
        <v>21</v>
      </c>
      <c r="F1000" s="15"/>
      <c r="G1000" s="15"/>
      <c r="I1000" s="17"/>
      <c r="O1000" s="11" t="s">
        <v>27</v>
      </c>
      <c r="Y1000" s="64">
        <f t="shared" si="30"/>
        <v>0</v>
      </c>
      <c r="AA1000" s="64">
        <f t="shared" si="31"/>
        <v>0</v>
      </c>
      <c r="AB1000" s="64" t="str">
        <f>IF($B1000="","",(COUNTIFS(Rships!$C$2:$C$9990,$A1000,Rships!$D$2:$D$9990,1)))</f>
        <v/>
      </c>
      <c r="AC1000" s="64" t="str">
        <f>IF($B1000="","",(COUNTIFS(Rships!$C$2:$C$9990,$A1000,Rships!$D$2:$D$9990,2)))</f>
        <v/>
      </c>
      <c r="AD1000" s="64" t="str">
        <f>IF($B1000="","",(COUNTIFS(Rships!$C$2:$C$9990,$A1000,Rships!$D$2:$D$9990,3)))</f>
        <v/>
      </c>
      <c r="AE1000" s="64" t="str">
        <f>IF($B1000="","",(COUNTIFS(Rships!$C$2:$C$9990,$A1000,Rships!$D$2:$D$9990,4)))</f>
        <v/>
      </c>
      <c r="AF1000" s="64" t="str">
        <f>IF($B1000="","",(COUNTIFS(Rships!$C$2:$C$9990,$A1000,Rships!$D$2:$D$9990,5)))</f>
        <v/>
      </c>
      <c r="AG1000" s="64" t="str">
        <f>IF($B1000="","",(COUNTIFS(Rships!$C$2:$C$9990,$A1000,Rships!$D$2:$D$9990,6)))</f>
        <v/>
      </c>
      <c r="AH1000" s="64" t="str">
        <f>IF($B1000="","",(COUNTIFS(Rships!$C$2:$C$9990,$A1000,Rships!$D$2:$D$9990,7)))</f>
        <v/>
      </c>
    </row>
    <row r="1001" spans="1:34">
      <c r="A1001" s="1" t="s">
        <v>1250</v>
      </c>
      <c r="C1001" s="11" t="s">
        <v>19</v>
      </c>
      <c r="D1001" s="11" t="s">
        <v>21</v>
      </c>
      <c r="F1001" s="15"/>
      <c r="G1001" s="15"/>
      <c r="I1001" s="17"/>
      <c r="O1001" s="11" t="s">
        <v>27</v>
      </c>
      <c r="Y1001" s="64">
        <f t="shared" si="30"/>
        <v>0</v>
      </c>
      <c r="AA1001" s="64">
        <f t="shared" si="31"/>
        <v>0</v>
      </c>
      <c r="AB1001" s="64" t="str">
        <f>IF($B1001="","",(COUNTIFS(Rships!$C$2:$C$9990,$A1001,Rships!$D$2:$D$9990,1)))</f>
        <v/>
      </c>
      <c r="AC1001" s="64" t="str">
        <f>IF($B1001="","",(COUNTIFS(Rships!$C$2:$C$9990,$A1001,Rships!$D$2:$D$9990,2)))</f>
        <v/>
      </c>
      <c r="AD1001" s="64" t="str">
        <f>IF($B1001="","",(COUNTIFS(Rships!$C$2:$C$9990,$A1001,Rships!$D$2:$D$9990,3)))</f>
        <v/>
      </c>
      <c r="AE1001" s="64" t="str">
        <f>IF($B1001="","",(COUNTIFS(Rships!$C$2:$C$9990,$A1001,Rships!$D$2:$D$9990,4)))</f>
        <v/>
      </c>
      <c r="AF1001" s="64" t="str">
        <f>IF($B1001="","",(COUNTIFS(Rships!$C$2:$C$9990,$A1001,Rships!$D$2:$D$9990,5)))</f>
        <v/>
      </c>
      <c r="AG1001" s="64" t="str">
        <f>IF($B1001="","",(COUNTIFS(Rships!$C$2:$C$9990,$A1001,Rships!$D$2:$D$9990,6)))</f>
        <v/>
      </c>
      <c r="AH1001" s="64" t="str">
        <f>IF($B1001="","",(COUNTIFS(Rships!$C$2:$C$9990,$A1001,Rships!$D$2:$D$9990,7)))</f>
        <v/>
      </c>
    </row>
    <row r="1003" spans="1:34">
      <c r="E1003" s="16">
        <f>COUNTA($B2:$B1002)</f>
        <v>37</v>
      </c>
      <c r="AA1003" s="64">
        <f>SUM($AA2:$AA1002)</f>
        <v>63</v>
      </c>
    </row>
  </sheetData>
  <dataValidations count="16">
    <dataValidation type="custom" errorStyle="warning" allowBlank="1" showInputMessage="1" showErrorMessage="1" error="Do not change values" sqref="WVI601 IW601 SS601 ACO601 AMK601 AWG601 BGC601 BPY601 BZU601 CJQ601 CTM601 DDI601 DNE601 DXA601 EGW601 EQS601 FAO601 FKK601 FUG601 GEC601 GNY601 GXU601 HHQ601 HRM601 IBI601 ILE601 IVA601 JEW601 JOS601 JYO601 KIK601 KSG601 LCC601 LLY601 LVU601 MFQ601 MPM601 MZI601 NJE601 NTA601 OCW601 OMS601 OWO601 PGK601 PQG601 QAC601 QJY601 QTU601 RDQ601 RNM601 RXI601 SHE601 SRA601 TAW601 TKS601 TUO601 UEK601 UOG601 UYC601 VHY601 VRU601 WBQ601 WLM601 A1:A1048576 WLM696 WBQ696 VRU696 VHY696 UYC696 UOG696 UEK696 TUO696 TKS696 TAW696 SRA696 SHE696 RXI696 RNM696 RDQ696 QTU696 QJY696 QAC696 PQG696 PGK696 OWO696 OMS696 OCW696 NTA696 NJE696 MZI696 MPM696 MFQ696 LVU696 LLY696 LCC696 KSG696 KIK696 JYO696 JOS696 JEW696 IVA696 ILE696 IBI696 HRM696 HHQ696 GXU696 GNY696 GEC696 FUG696 FKK696 FAO696 EQS696 EGW696 DXA696 DNE696 DDI696 CTM696 CJQ696 BZU696 BPY696 BGC696 AWG696 AMK696 ACO696 SS696 IW696 WVI667 WVI597 WLM272 WBQ272 VRU272 VHY272 UYC272 UOG272 UEK272 TUO272 TKS272 TAW272 SRA272 SHE272 RXI272 RNM272 RDQ272 QTU272 QJY272 QAC272 PQG272 PGK272 OWO272 OMS272 OCW272 NTA272 NJE272 MZI272 MPM272 MFQ272 LVU272 LLY272 LCC272 KSG272 KIK272 JYO272 JOS272 JEW272 IVA272 ILE272 IBI272 HRM272 HHQ272 GXU272 GNY272 GEC272 FUG272 FKK272 FAO272 EQS272 EGW272 DXA272 DNE272 DDI272 CTM272 CJQ272 BZU272 BPY272 BGC272 AWG272 AMK272 ACO272 SS272 IW272 WVI209 WLM263 WBQ263 VRU263 VHY263 UYC263 UOG263 UEK263 TUO263 TKS263 TAW263 SRA263 SHE263 RXI263 RNM263 RDQ263 QTU263 QJY263 QAC263 PQG263 PGK263 OWO263 OMS263 OCW263 NTA263 NJE263 MZI263 MPM263 MFQ263 LVU263 LLY263 LCC263 KSG263 KIK263 JYO263 JOS263 JEW263 IVA263 ILE263 IBI263 HRM263 HHQ263 GXU263 GNY263 GEC263 FUG263 FKK263 FAO263 EQS263 EGW263 DXA263 DNE263 DDI263 CTM263 CJQ263 BZU263 BPY263 BGC263 AWG263 AMK263 ACO263 SS263 IW263 WVI263 WLM50 WBQ50 VRU50 VHY50 UYC50 UOG50 UEK50 TUO50 TKS50 TAW50 SRA50 SHE50 RXI50 RNM50 RDQ50 QTU50 QJY50 QAC50 PQG50 PGK50 OWO50 OMS50 OCW50 NTA50 NJE50 MZI50 MPM50 MFQ50 LVU50 LLY50 LCC50 KSG50 KIK50 JYO50 JOS50 JEW50 IVA50 ILE50 IBI50 HRM50 HHQ50 GXU50 GNY50 GEC50 FUG50 FKK50 FAO50 EQS50 EGW50 DXA50 DNE50 DDI50 CTM50 CJQ50 BZU50 BPY50 BGC50 AWG50 AMK50 ACO50 SS50 IW50 WVI557 WLM20 WBQ20 VRU20 VHY20 UYC20 UOG20 UEK20 TUO20 TKS20 TAW20 SRA20 SHE20 RXI20 RNM20 RDQ20 QTU20 QJY20 QAC20 PQG20 PGK20 OWO20 OMS20 OCW20 NTA20 NJE20 MZI20 MPM20 MFQ20 LVU20 LLY20 LCC20 KSG20 KIK20 JYO20 JOS20 JEW20 IVA20 ILE20 IBI20 HRM20 HHQ20 GXU20 GNY20 GEC20 FUG20 FKK20 FAO20 EQS20 EGW20 DXA20 DNE20 DDI20 CTM20 CJQ20 BZU20 BPY20 BGC20 AWG20 AMK20 ACO20 SS20 IW20 WVI20 WLM15 WBQ15 VRU15 VHY15 UYC15 UOG15 UEK15 TUO15 TKS15 TAW15 SRA15 SHE15 RXI15 RNM15 RDQ15 QTU15 QJY15 QAC15 PQG15 PGK15 OWO15 OMS15 OCW15 NTA15 NJE15 MZI15 MPM15 MFQ15 LVU15 LLY15 LCC15 KSG15 KIK15 JYO15 JOS15 JEW15 IVA15 ILE15 IBI15 HRM15 HHQ15 GXU15 GNY15 GEC15 FUG15 FKK15 FAO15 EQS15 EGW15 DXA15 DNE15 DDI15 CTM15 CJQ15 BZU15 BPY15 BGC15 AWG15 AMK15 ACO15 SS15 IW15 WVI15 IW3:IX4 SS3:ST4 ACO3:ACP4 AMK3:AML4 AWG3:AWH4 BGC3:BGD4 BPY3:BPZ4 BZU3:BZV4 CJQ3:CJR4 CTM3:CTN4 DDI3:DDJ4 DNE3:DNF4 DXA3:DXB4 EGW3:EGX4 EQS3:EQT4 FAO3:FAP4 FKK3:FKL4 FUG3:FUH4 GEC3:GED4 GNY3:GNZ4 GXU3:GXV4 HHQ3:HHR4 HRM3:HRN4 IBI3:IBJ4 ILE3:ILF4 IVA3:IVB4 JEW3:JEX4 JOS3:JOT4 JYO3:JYP4 KIK3:KIL4 KSG3:KSH4 LCC3:LCD4 LLY3:LLZ4 LVU3:LVV4 MFQ3:MFR4 MPM3:MPN4 MZI3:MZJ4 NJE3:NJF4 NTA3:NTB4 OCW3:OCX4 OMS3:OMT4 OWO3:OWP4 PGK3:PGL4 PQG3:PQH4 QAC3:QAD4 QJY3:QJZ4 QTU3:QTV4 RDQ3:RDR4 RNM3:RNN4 RXI3:RXJ4 SHE3:SHF4 SRA3:SRB4 TAW3:TAX4 TKS3:TKT4 TUO3:TUP4 UEK3:UEL4 UOG3:UOH4 UYC3:UYD4 VHY3:VHZ4 VRU3:VRV4 WBQ3:WBR4 WLM3:WLN4 WVI12 IW12 SS12 ACO12 AMK12 AWG12 BGC12 BPY12 BZU12 CJQ12 CTM12 DDI12 DNE12 DXA12 EGW12 EQS12 FAO12 FKK12 FUG12 GEC12 GNY12 GXU12 HHQ12 HRM12 IBI12 ILE12 IVA12 JEW12 JOS12 JYO12 KIK12 KSG12 LCC12 LLY12 LVU12 MFQ12 MPM12 MZI12 NJE12 NTA12 OCW12 OMS12 OWO12 PGK12 PQG12 QAC12 QJY12 QTU12 RDQ12 RNM12 RXI12 SHE12 SRA12 TAW12 TKS12 TUO12 UEK12 UOG12 UYC12 VHY12 VRU12 WBQ12 WLM12 WVI540 IW540 SS540 ACO540 AMK540 AWG540 BGC540 BPY540 BZU540 CJQ540 CTM540 DDI540 DNE540 DXA540 EGW540 EQS540 FAO540 FKK540 FUG540 GEC540 GNY540 GXU540 HHQ540 HRM540 IBI540 ILE540 IVA540 JEW540 JOS540 JYO540 KIK540 KSG540 LCC540 LLY540 LVU540 MFQ540 MPM540 MZI540 NJE540 NTA540 OCW540 OMS540 OWO540 PGK540 PQG540 QAC540 QJY540 QTU540 RDQ540 RNM540 RXI540 SHE540 SRA540 TAW540 TKS540 TUO540 UEK540 UOG540 UYC540 VHY540 VRU540 WBQ540 WLM540 WVI3:WVJ4 IW557 SS557 ACO557 AMK557 AWG557 BGC557 BPY557 BZU557 CJQ557 CTM557 DDI557 DNE557 DXA557 EGW557 EQS557 FAO557 FKK557 FUG557 GEC557 GNY557 GXU557 HHQ557 HRM557 IBI557 ILE557 IVA557 JEW557 JOS557 JYO557 KIK557 KSG557 LCC557 LLY557 LVU557 MFQ557 MPM557 MZI557 NJE557 NTA557 OCW557 OMS557 OWO557 PGK557 PQG557 QAC557 QJY557 QTU557 RDQ557 RNM557 RXI557 SHE557 SRA557 TAW557 TKS557 TUO557 UEK557 UOG557 UYC557 VHY557 VRU557 WBQ557 WLM557 WVI50 IW209 SS209 ACO209 AMK209 AWG209 BGC209 BPY209 BZU209 CJQ209 CTM209 DDI209 DNE209 DXA209 EGW209 EQS209 FAO209 FKK209 FUG209 GEC209 GNY209 GXU209 HHQ209 HRM209 IBI209 ILE209 IVA209 JEW209 JOS209 JYO209 KIK209 KSG209 LCC209 LLY209 LVU209 MFQ209 MPM209 MZI209 NJE209 NTA209 OCW209 OMS209 OWO209 PGK209 PQG209 QAC209 QJY209 QTU209 RDQ209 RNM209 RXI209 SHE209 SRA209 TAW209 TKS209 TUO209 UEK209 UOG209 UYC209 VHY209 VRU209 WBQ209 WLM209 WVI283 IW283 SS283 ACO283 AMK283 AWG283 BGC283 BPY283 BZU283 CJQ283 CTM283 DDI283 DNE283 DXA283 EGW283 EQS283 FAO283 FKK283 FUG283 GEC283 GNY283 GXU283 HHQ283 HRM283 IBI283 ILE283 IVA283 JEW283 JOS283 JYO283 KIK283 KSG283 LCC283 LLY283 LVU283 MFQ283 MPM283 MZI283 NJE283 NTA283 OCW283 OMS283 OWO283 PGK283 PQG283 QAC283 QJY283 QTU283 RDQ283 RNM283 RXI283 SHE283 SRA283 TAW283 TKS283 TUO283 UEK283 UOG283 UYC283 VHY283 VRU283 WBQ283 WLM283 WVI312 IW312 SS312 ACO312 AMK312 AWG312 BGC312 BPY312 BZU312 CJQ312 CTM312 DDI312 DNE312 DXA312 EGW312 EQS312 FAO312 FKK312 FUG312 GEC312 GNY312 GXU312 HHQ312 HRM312 IBI312 ILE312 IVA312 JEW312 JOS312 JYO312 KIK312 KSG312 LCC312 LLY312 LVU312 MFQ312 MPM312 MZI312 NJE312 NTA312 OCW312 OMS312 OWO312 PGK312 PQG312 QAC312 QJY312 QTU312 RDQ312 RNM312 RXI312 SHE312 SRA312 TAW312 TKS312 TUO312 UEK312 UOG312 UYC312 VHY312 VRU312 WBQ312 WLM312 WVI318 IW318 SS318 ACO318 AMK318 AWG318 BGC318 BPY318 BZU318 CJQ318 CTM318 DDI318 DNE318 DXA318 EGW318 EQS318 FAO318 FKK318 FUG318 GEC318 GNY318 GXU318 HHQ318 HRM318 IBI318 ILE318 IVA318 JEW318 JOS318 JYO318 KIK318 KSG318 LCC318 LLY318 LVU318 MFQ318 MPM318 MZI318 NJE318 NTA318 OCW318 OMS318 OWO318 PGK318 PQG318 QAC318 QJY318 QTU318 RDQ318 RNM318 RXI318 SHE318 SRA318 TAW318 TKS318 TUO318 UEK318 UOG318 UYC318 VHY318 VRU318 WBQ318 WLM318 WVI272 IW597 SS597 ACO597 AMK597 AWG597 BGC597 BPY597 BZU597 CJQ597 CTM597 DDI597 DNE597 DXA597 EGW597 EQS597 FAO597 FKK597 FUG597 GEC597 GNY597 GXU597 HHQ597 HRM597 IBI597 ILE597 IVA597 JEW597 JOS597 JYO597 KIK597 KSG597 LCC597 LLY597 LVU597 MFQ597 MPM597 MZI597 NJE597 NTA597 OCW597 OMS597 OWO597 PGK597 PQG597 QAC597 QJY597 QTU597 RDQ597 RNM597 RXI597 SHE597 SRA597 TAW597 TKS597 TUO597 UEK597 UOG597 UYC597 VHY597 VRU597 WBQ597 WLM597 IW667 SS667 ACO667 AMK667 AWG667 BGC667 BPY667 BZU667 CJQ667 CTM667 DDI667 DNE667 DXA667 EGW667 EQS667 FAO667 FKK667 FUG667 GEC667 GNY667 GXU667 HHQ667 HRM667 IBI667 ILE667 IVA667 JEW667 JOS667 JYO667 KIK667 KSG667 LCC667 LLY667 LVU667 MFQ667 MPM667 MZI667 NJE667 NTA667 OCW667 OMS667 OWO667 PGK667 PQG667 QAC667 QJY667 QTU667 RDQ667 RNM667 RXI667 SHE667 SRA667 TAW667 TKS667 TUO667 UEK667 UOG667 UYC667 VHY667 VRU667 WBQ667 WLM667 WVI696 B3:B4">
      <formula1>"A2"</formula1>
    </dataValidation>
    <dataValidation type="textLength" operator="lessThan" allowBlank="1" showInputMessage="1" showErrorMessage="1" error="Names are limited to 30 characters" sqref="WLR601:WLS601 WVN601:WVO601 JB601:JC601 SX601:SY601 ACT601:ACU601 AMP601:AMQ601 AWL601:AWM601 BGH601:BGI601 BQD601:BQE601 BZZ601:CAA601 CJV601:CJW601 CTR601:CTS601 DDN601:DDO601 DNJ601:DNK601 DXF601:DXG601 EHB601:EHC601 EQX601:EQY601 FAT601:FAU601 FKP601:FKQ601 FUL601:FUM601 GEH601:GEI601 GOD601:GOE601 GXZ601:GYA601 HHV601:HHW601 HRR601:HRS601 IBN601:IBO601 ILJ601:ILK601 IVF601:IVG601 JFB601:JFC601 JOX601:JOY601 JYT601:JYU601 KIP601:KIQ601 KSL601:KSM601 LCH601:LCI601 LMD601:LME601 LVZ601:LWA601 MFV601:MFW601 MPR601:MPS601 MZN601:MZO601 NJJ601:NJK601 NTF601:NTG601 ODB601:ODC601 OMX601:OMY601 OWT601:OWU601 PGP601:PGQ601 PQL601:PQM601 QAH601:QAI601 QKD601:QKE601 QTZ601:QUA601 RDV601:RDW601 RNR601:RNS601 RXN601:RXO601 SHJ601:SHK601 SRF601:SRG601 TBB601:TBC601 TKX601:TKY601 TUT601:TUU601 UEP601:UEQ601 UOL601:UOM601 UYH601:UYI601 VID601:VIE601 VRZ601:VSA601 WBV601:WBW601 F602:F665 F264:F271 WLR696:WLS696 WBV696:WBW696 VRZ696:VSA696 VID696:VIE696 UYH696:UYI696 UOL696:UOM696 UEP696:UEQ696 TUT696:TUU696 TKX696:TKY696 TBB696:TBC696 SRF696:SRG696 SHJ696:SHK696 RXN696:RXO696 RNR696:RNS696 RDV696:RDW696 QTZ696:QUA696 QKD696:QKE696 QAH696:QAI696 PQL696:PQM696 PGP696:PGQ696 OWT696:OWU696 OMX696:OMY696 ODB696:ODC696 NTF696:NTG696 NJJ696:NJK696 MZN696:MZO696 MPR696:MPS696 MFV696:MFW696 LVZ696:LWA696 LMD696:LME696 LCH696:LCI696 KSL696:KSM696 KIP696:KIQ696 JYT696:JYU696 JOX696:JOY696 JFB696:JFC696 IVF696:IVG696 ILJ696:ILK696 IBN696:IBO696 HRR696:HRS696 HHV696:HHW696 GXZ696:GYA696 GOD696:GOE696 GEH696:GEI696 FUL696:FUM696 FKP696:FKQ696 FAT696:FAU696 EQX696:EQY696 EHB696:EHC696 DXF696:DXG696 DNJ696:DNK696 DDN696:DDO696 CTR696:CTS696 CJV696:CJW696 BZZ696:CAA696 BQD696:BQE696 BGH696:BGI696 AWL696:AWM696 AMP696:AMQ696 ACT696:ACU696 SX696:SY696 JB696:JC696 F668:G1001 F598:F600 WLR597:WLS597 F51:G208 WLR272:WLS272 WBV272:WBW272 VRZ272:VSA272 VID272:VIE272 UYH272:UYI272 UOL272:UOM272 UEP272:UEQ272 TUT272:TUU272 TKX272:TKY272 TBB272:TBC272 SRF272:SRG272 SHJ272:SHK272 RXN272:RXO272 RNR272:RNS272 RDV272:RDW272 QTZ272:QUA272 QKD272:QKE272 QAH272:QAI272 PQL272:PQM272 PGP272:PGQ272 OWT272:OWU272 OMX272:OMY272 ODB272:ODC272 NTF272:NTG272 NJJ272:NJK272 MZN272:MZO272 MPR272:MPS272 MFV272:MFW272 LVZ272:LWA272 LMD272:LME272 LCH272:LCI272 KSL272:KSM272 KIP272:KIQ272 JYT272:JYU272 JOX272:JOY272 JFB272:JFC272 IVF272:IVG272 ILJ272:ILK272 IBN272:IBO272 HRR272:HRS272 HHV272:HHW272 GXZ272:GYA272 GOD272:GOE272 GEH272:GEI272 FUL272:FUM272 FKP272:FKQ272 FAT272:FAU272 EQX272:EQY272 EHB272:EHC272 DXF272:DXG272 DNJ272:DNK272 DDN272:DDO272 CTR272:CTS272 CJV272:CJW272 BZZ272:CAA272 BQD272:BQE272 BGH272:BGI272 AWL272:AWM272 AMP272:AMQ272 ACT272:ACU272 SX272:SY272 JB272:JC272 WVN272:WVO272 F210:G262 WLR263:WLS263 WBV263:WBW263 VRZ263:VSA263 VID263:VIE263 UYH263:UYI263 UOL263:UOM263 UEP263:UEQ263 TUT263:TUU263 TKX263:TKY263 TBB263:TBC263 SRF263:SRG263 SHJ263:SHK263 RXN263:RXO263 RNR263:RNS263 RDV263:RDW263 QTZ263:QUA263 QKD263:QKE263 QAH263:QAI263 PQL263:PQM263 PGP263:PGQ263 OWT263:OWU263 OMX263:OMY263 ODB263:ODC263 NTF263:NTG263 NJJ263:NJK263 MZN263:MZO263 MPR263:MPS263 MFV263:MFW263 LVZ263:LWA263 LMD263:LME263 LCH263:LCI263 KSL263:KSM263 KIP263:KIQ263 JYT263:JYU263 JOX263:JOY263 JFB263:JFC263 IVF263:IVG263 ILJ263:ILK263 IBN263:IBO263 HRR263:HRS263 HHV263:HHW263 GXZ263:GYA263 GOD263:GOE263 GEH263:GEI263 FUL263:FUM263 FKP263:FKQ263 FAT263:FAU263 EQX263:EQY263 EHB263:EHC263 DXF263:DXG263 DNJ263:DNK263 DDN263:DDO263 CTR263:CTS263 CJV263:CJW263 BZZ263:CAA263 BQD263:BQE263 BGH263:BGI263 AWL263:AWM263 AMP263:AMQ263 ACT263:ACU263 SX263:SY263 JB263:JC263 WVN263:WVO263 WBV50:WBW50 VRZ50:VSA50 VID50:VIE50 UYH50:UYI50 UOL50:UOM50 UEP50:UEQ50 TUT50:TUU50 TKX50:TKY50 TBB50:TBC50 SRF50:SRG50 SHJ50:SHK50 RXN50:RXO50 RNR50:RNS50 RDV50:RDW50 QTZ50:QUA50 QKD50:QKE50 QAH50:QAI50 PQL50:PQM50 PGP50:PGQ50 OWT50:OWU50 OMX50:OMY50 ODB50:ODC50 NTF50:NTG50 NJJ50:NJK50 MZN50:MZO50 MPR50:MPS50 MFV50:MFW50 LVZ50:LWA50 LMD50:LME50 LCH50:LCI50 KSL50:KSM50 KIP50:KIQ50 JYT50:JYU50 JOX50:JOY50 JFB50:JFC50 IVF50:IVG50 ILJ50:ILK50 IBN50:IBO50 HRR50:HRS50 HHV50:HHW50 GXZ50:GYA50 GOD50:GOE50 GEH50:GEI50 FUL50:FUM50 FKP50:FKQ50 FAT50:FAU50 EQX50:EQY50 EHB50:EHC50 DXF50:DXG50 DNJ50:DNK50 DDN50:DDO50 CTR50:CTS50 CJV50:CJW50 BZZ50:CAA50 BQD50:BQE50 BGH50:BGI50 AWL50:AWM50 AMP50:AMQ50 ACT50:ACU50 SX50:SY50 JB50:JC50 F21:F49 G2:G49 WVN557:WVO557 WVN50:WVO50 WBV20:WBW20 VRZ20:VSA20 VID20:VIE20 UYH20:UYI20 UOL20:UOM20 UEP20:UEQ20 TUT20:TUU20 TKX20:TKY20 TBB20:TBC20 SRF20:SRG20 SHJ20:SHK20 RXN20:RXO20 RNR20:RNS20 RDV20:RDW20 QTZ20:QUA20 QKD20:QKE20 QAH20:QAI20 PQL20:PQM20 PGP20:PGQ20 OWT20:OWU20 OMX20:OMY20 ODB20:ODC20 NTF20:NTG20 NJJ20:NJK20 MZN20:MZO20 MPR20:MPS20 MFV20:MFW20 LVZ20:LWA20 LMD20:LME20 LCH20:LCI20 KSL20:KSM20 KIP20:KIQ20 JYT20:JYU20 JOX20:JOY20 JFB20:JFC20 IVF20:IVG20 ILJ20:ILK20 IBN20:IBO20 HRR20:HRS20 HHV20:HHW20 GXZ20:GYA20 GOD20:GOE20 GEH20:GEI20 FUL20:FUM20 FKP20:FKQ20 FAT20:FAU20 EQX20:EQY20 EHB20:EHC20 DXF20:DXG20 DNJ20:DNK20 DDN20:DDO20 CTR20:CTS20 CJV20:CJW20 BZZ20:CAA20 BQD20:BQE20 BGH20:BGI20 AWL20:AWM20 AMP20:AMQ20 ACT20:ACU20 SX20:SY20 JB20:JC20 F16:F19 WLR20:WLS20 WVN20:WVO20 F2:F14 WLR15:WLS15 WBV15:WBW15 VRZ15:VSA15 VID15:VIE15 UYH15:UYI15 UOL15:UOM15 UEP15:UEQ15 TUT15:TUU15 TKX15:TKY15 TBB15:TBC15 SRF15:SRG15 SHJ15:SHK15 RXN15:RXO15 RNR15:RNS15 RDV15:RDW15 QTZ15:QUA15 QKD15:QKE15 QAH15:QAI15 PQL15:PQM15 PGP15:PGQ15 OWT15:OWU15 OMX15:OMY15 ODB15:ODC15 NTF15:NTG15 NJJ15:NJK15 MZN15:MZO15 MPR15:MPS15 MFV15:MFW15 LVZ15:LWA15 LMD15:LME15 LCH15:LCI15 KSL15:KSM15 KIP15:KIQ15 JYT15:JYU15 JOX15:JOY15 JFB15:JFC15 IVF15:IVG15 ILJ15:ILK15 IBN15:IBO15 HRR15:HRS15 HHV15:HHW15 GXZ15:GYA15 GOD15:GOE15 GEH15:GEI15 FUL15:FUM15 FKP15:FKQ15 FAT15:FAU15 EQX15:EQY15 EHB15:EHC15 DXF15:DXG15 DNJ15:DNK15 DDN15:DDO15 CTR15:CTS15 CJV15:CJW15 BZZ15:CAA15 BQD15:BQE15 BGH15:BGI15 AWL15:AWM15 AMP15:AMQ15 ACT15:ACU15 SX15:SY15 JB15:JC15 WVN15:WVO15 SX3:SY4 ACT3:ACU4 AMP3:AMQ4 AWL3:AWM4 BGH3:BGI4 BQD3:BQE4 BZZ3:CAA4 CJV3:CJW4 CTR3:CTS4 DDN3:DDO4 DNJ3:DNK4 DXF3:DXG4 EHB3:EHC4 EQX3:EQY4 FAT3:FAU4 FKP3:FKQ4 FUL3:FUM4 GEH3:GEI4 GOD3:GOE4 GXZ3:GYA4 HHV3:HHW4 HRR3:HRS4 IBN3:IBO4 ILJ3:ILK4 IVF3:IVG4 JFB3:JFC4 JOX3:JOY4 JYT3:JYU4 KIP3:KIQ4 KSL3:KSM4 LCH3:LCI4 LMD3:LME4 LVZ3:LWA4 MFV3:MFW4 MPR3:MPS4 MZN3:MZO4 NJJ3:NJK4 NTF3:NTG4 ODB3:ODC4 OMX3:OMY4 OWT3:OWU4 PGP3:PGQ4 PQL3:PQM4 QAH3:QAI4 QKD3:QKE4 QTZ3:QUA4 RDV3:RDW4 RNR3:RNS4 RXN3:RXO4 SHJ3:SHK4 SRF3:SRG4 TBB3:TBC4 TKX3:TKY4 TUT3:TUU4 UEP3:UEQ4 UOL3:UOM4 UYH3:UYI4 VID3:VIE4 VRZ3:VSA4 WBV3:WBW4 WLR3:WLS4 WVN12:WVO12 JB12:JC12 SX12:SY12 ACT12:ACU12 AMP12:AMQ12 AWL12:AWM12 BGH12:BGI12 BQD12:BQE12 BZZ12:CAA12 CJV12:CJW12 CTR12:CTS12 DDN12:DDO12 DNJ12:DNK12 DXF12:DXG12 EHB12:EHC12 EQX12:EQY12 FAT12:FAU12 FKP12:FKQ12 FUL12:FUM12 GEH12:GEI12 GOD12:GOE12 GXZ12:GYA12 HHV12:HHW12 HRR12:HRS12 IBN12:IBO12 ILJ12:ILK12 IVF12:IVG12 JFB12:JFC12 JOX12:JOY12 JYT12:JYU12 KIP12:KIQ12 KSL12:KSM12 LCH12:LCI12 LMD12:LME12 LVZ12:LWA12 MFV12:MFW12 MPR12:MPS12 MZN12:MZO12 NJJ12:NJK12 NTF12:NTG12 ODB12:ODC12 OMX12:OMY12 OWT12:OWU12 PGP12:PGQ12 PQL12:PQM12 QAH12:QAI12 QKD12:QKE12 QTZ12:QUA12 RDV12:RDW12 RNR12:RNS12 RXN12:RXO12 SHJ12:SHK12 SRF12:SRG12 TBB12:TBC12 TKX12:TKY12 TUT12:TUU12 UEP12:UEQ12 UOL12:UOM12 UYH12:UYI12 VID12:VIE12 VRZ12:VSA12 WBV12:WBW12 WLR12:WLS12 WVN540:WVO540 JB540:JC540 SX540:SY540 ACT540:ACU540 AMP540:AMQ540 AWL540:AWM540 BGH540:BGI540 BQD540:BQE540 BZZ540:CAA540 CJV540:CJW540 CTR540:CTS540 DDN540:DDO540 DNJ540:DNK540 DXF540:DXG540 EHB540:EHC540 EQX540:EQY540 FAT540:FAU540 FKP540:FKQ540 FUL540:FUM540 GEH540:GEI540 GOD540:GOE540 GXZ540:GYA540 HHV540:HHW540 HRR540:HRS540 IBN540:IBO540 ILJ540:ILK540 IVF540:IVG540 JFB540:JFC540 JOX540:JOY540 JYT540:JYU540 KIP540:KIQ540 KSL540:KSM540 LCH540:LCI540 LMD540:LME540 LVZ540:LWA540 MFV540:MFW540 MPR540:MPS540 MZN540:MZO540 NJJ540:NJK540 NTF540:NTG540 ODB540:ODC540 OMX540:OMY540 OWT540:OWU540 PGP540:PGQ540 PQL540:PQM540 QAH540:QAI540 QKD540:QKE540 QTZ540:QUA540 RDV540:RDW540 RNR540:RNS540 RXN540:RXO540 SHJ540:SHK540 SRF540:SRG540 TBB540:TBC540 TKX540:TKY540 TUT540:TUU540 UEP540:UEQ540 UOL540:UOM540 UYH540:UYI540 VID540:VIE540 VRZ540:VSA540 WBV540:WBW540 WLR540:WLS540 JB3:JC4 JB557:JC557 SX557:SY557 ACT557:ACU557 AMP557:AMQ557 AWL557:AWM557 BGH557:BGI557 BQD557:BQE557 BZZ557:CAA557 CJV557:CJW557 CTR557:CTS557 DDN557:DDO557 DNJ557:DNK557 DXF557:DXG557 EHB557:EHC557 EQX557:EQY557 FAT557:FAU557 FKP557:FKQ557 FUL557:FUM557 GEH557:GEI557 GOD557:GOE557 GXZ557:GYA557 HHV557:HHW557 HRR557:HRS557 IBN557:IBO557 ILJ557:ILK557 IVF557:IVG557 JFB557:JFC557 JOX557:JOY557 JYT557:JYU557 KIP557:KIQ557 KSL557:KSM557 LCH557:LCI557 LMD557:LME557 LVZ557:LWA557 MFV557:MFW557 MPR557:MPS557 MZN557:MZO557 NJJ557:NJK557 NTF557:NTG557 ODB557:ODC557 OMX557:OMY557 OWT557:OWU557 PGP557:PGQ557 PQL557:PQM557 QAH557:QAI557 QKD557:QKE557 QTZ557:QUA557 RDV557:RDW557 RNR557:RNS557 RXN557:RXO557 SHJ557:SHK557 SRF557:SRG557 TBB557:TBC557 TKX557:TKY557 TUT557:TUU557 UEP557:UEQ557 UOL557:UOM557 UYH557:UYI557 VID557:VIE557 VRZ557:VSA557 WBV557:WBW557 WLR557:WLS557 WVN209:WVO209 JB209:JC209 SX209:SY209 ACT209:ACU209 AMP209:AMQ209 AWL209:AWM209 BGH209:BGI209 BQD209:BQE209 BZZ209:CAA209 CJV209:CJW209 CTR209:CTS209 DDN209:DDO209 DNJ209:DNK209 DXF209:DXG209 EHB209:EHC209 EQX209:EQY209 FAT209:FAU209 FKP209:FKQ209 FUL209:FUM209 GEH209:GEI209 GOD209:GOE209 GXZ209:GYA209 HHV209:HHW209 HRR209:HRS209 IBN209:IBO209 ILJ209:ILK209 IVF209:IVG209 JFB209:JFC209 JOX209:JOY209 JYT209:JYU209 KIP209:KIQ209 KSL209:KSM209 LCH209:LCI209 LMD209:LME209 LVZ209:LWA209 MFV209:MFW209 MPR209:MPS209 MZN209:MZO209 NJJ209:NJK209 NTF209:NTG209 ODB209:ODC209 OMX209:OMY209 OWT209:OWU209 PGP209:PGQ209 PQL209:PQM209 QAH209:QAI209 QKD209:QKE209 QTZ209:QUA209 RDV209:RDW209 RNR209:RNS209 RXN209:RXO209 SHJ209:SHK209 SRF209:SRG209 TBB209:TBC209 TKX209:TKY209 TUT209:TUU209 UEP209:UEQ209 UOL209:UOM209 UYH209:UYI209 VID209:VIE209 VRZ209:VSA209 WBV209:WBW209 WLR209:WLS209 WLR50:WLS50 WVN283:WVO283 WLR283:WLS283 F273:F282 JB283:JC283 SX283:SY283 ACT283:ACU283 AMP283:AMQ283 AWL283:AWM283 BGH283:BGI283 BQD283:BQE283 BZZ283:CAA283 CJV283:CJW283 CTR283:CTS283 DDN283:DDO283 DNJ283:DNK283 DXF283:DXG283 EHB283:EHC283 EQX283:EQY283 FAT283:FAU283 FKP283:FKQ283 FUL283:FUM283 GEH283:GEI283 GOD283:GOE283 GXZ283:GYA283 HHV283:HHW283 HRR283:HRS283 IBN283:IBO283 ILJ283:ILK283 IVF283:IVG283 JFB283:JFC283 JOX283:JOY283 JYT283:JYU283 KIP283:KIQ283 KSL283:KSM283 LCH283:LCI283 LMD283:LME283 LVZ283:LWA283 MFV283:MFW283 MPR283:MPS283 MZN283:MZO283 NJJ283:NJK283 NTF283:NTG283 ODB283:ODC283 OMX283:OMY283 OWT283:OWU283 PGP283:PGQ283 PQL283:PQM283 QAH283:QAI283 QKD283:QKE283 QTZ283:QUA283 RDV283:RDW283 RNR283:RNS283 RXN283:RXO283 SHJ283:SHK283 SRF283:SRG283 TBB283:TBC283 TKX283:TKY283 TUT283:TUU283 UEP283:UEQ283 UOL283:UOM283 UYH283:UYI283 VID283:VIE283 VRZ283:VSA283 WBV283:WBW283 WVN312:WVO312 WLR312:WLS312 F284:F311 JB312:JC312 SX312:SY312 ACT312:ACU312 AMP312:AMQ312 AWL312:AWM312 BGH312:BGI312 BQD312:BQE312 BZZ312:CAA312 CJV312:CJW312 CTR312:CTS312 DDN312:DDO312 DNJ312:DNK312 DXF312:DXG312 EHB312:EHC312 EQX312:EQY312 FAT312:FAU312 FKP312:FKQ312 FUL312:FUM312 GEH312:GEI312 GOD312:GOE312 GXZ312:GYA312 HHV312:HHW312 HRR312:HRS312 IBN312:IBO312 ILJ312:ILK312 IVF312:IVG312 JFB312:JFC312 JOX312:JOY312 JYT312:JYU312 KIP312:KIQ312 KSL312:KSM312 LCH312:LCI312 LMD312:LME312 LVZ312:LWA312 MFV312:MFW312 MPR312:MPS312 MZN312:MZO312 NJJ312:NJK312 NTF312:NTG312 ODB312:ODC312 OMX312:OMY312 OWT312:OWU312 PGP312:PGQ312 PQL312:PQM312 QAH312:QAI312 QKD312:QKE312 QTZ312:QUA312 RDV312:RDW312 RNR312:RNS312 RXN312:RXO312 SHJ312:SHK312 SRF312:SRG312 TBB312:TBC312 TKX312:TKY312 TUT312:TUU312 UEP312:UEQ312 UOL312:UOM312 UYH312:UYI312 VID312:VIE312 VRZ312:VSA312 WBV312:WBW312 WVN318:WVO318 WLR318:WLS318 F313:F317 JB318:JC318 SX318:SY318 ACT318:ACU318 AMP318:AMQ318 AWL318:AWM318 BGH318:BGI318 BQD318:BQE318 BZZ318:CAA318 CJV318:CJW318 CTR318:CTS318 DDN318:DDO318 DNJ318:DNK318 DXF318:DXG318 EHB318:EHC318 EQX318:EQY318 FAT318:FAU318 FKP318:FKQ318 FUL318:FUM318 GEH318:GEI318 GOD318:GOE318 GXZ318:GYA318 HHV318:HHW318 HRR318:HRS318 IBN318:IBO318 ILJ318:ILK318 IVF318:IVG318 JFB318:JFC318 JOX318:JOY318 JYT318:JYU318 KIP318:KIQ318 KSL318:KSM318 LCH318:LCI318 LMD318:LME318 LVZ318:LWA318 MFV318:MFW318 MPR318:MPS318 MZN318:MZO318 NJJ318:NJK318 NTF318:NTG318 ODB318:ODC318 OMX318:OMY318 OWT318:OWU318 PGP318:PGQ318 PQL318:PQM318 QAH318:QAI318 QKD318:QKE318 QTZ318:QUA318 RDV318:RDW318 RNR318:RNS318 RXN318:RXO318 SHJ318:SHK318 SRF318:SRG318 TBB318:TBC318 TKX318:TKY318 TUT318:TUU318 UEP318:UEQ318 UOL318:UOM318 UYH318:UYI318 VID318:VIE318 VRZ318:VSA318 WBV318:WBW318 WVN597:WVO597 WVN696:WVO696 F319:F596 JB597:JC597 SX597:SY597 ACT597:ACU597 AMP597:AMQ597 AWL597:AWM597 BGH597:BGI597 BQD597:BQE597 BZZ597:CAA597 CJV597:CJW597 CTR597:CTS597 DDN597:DDO597 DNJ597:DNK597 DXF597:DXG597 EHB597:EHC597 EQX597:EQY597 FAT597:FAU597 FKP597:FKQ597 FUL597:FUM597 GEH597:GEI597 GOD597:GOE597 GXZ597:GYA597 HHV597:HHW597 HRR597:HRS597 IBN597:IBO597 ILJ597:ILK597 IVF597:IVG597 JFB597:JFC597 JOX597:JOY597 JYT597:JYU597 KIP597:KIQ597 KSL597:KSM597 LCH597:LCI597 LMD597:LME597 LVZ597:LWA597 MFV597:MFW597 MPR597:MPS597 MZN597:MZO597 NJJ597:NJK597 NTF597:NTG597 ODB597:ODC597 OMX597:OMY597 OWT597:OWU597 PGP597:PGQ597 PQL597:PQM597 QAH597:QAI597 QKD597:QKE597 QTZ597:QUA597 RDV597:RDW597 RNR597:RNS597 RXN597:RXO597 SHJ597:SHK597 SRF597:SRG597 TBB597:TBC597 TKX597:TKY597 TUT597:TUU597 UEP597:UEQ597 UOL597:UOM597 UYH597:UYI597 VID597:VIE597 VRZ597:VSA597 WBV597:WBW597 G264:G665 WVN667:WVO667 F666:G666 JB667:JC667 SX667:SY667 ACT667:ACU667 AMP667:AMQ667 AWL667:AWM667 BGH667:BGI667 BQD667:BQE667 BZZ667:CAA667 CJV667:CJW667 CTR667:CTS667 DDN667:DDO667 DNJ667:DNK667 DXF667:DXG667 EHB667:EHC667 EQX667:EQY667 FAT667:FAU667 FKP667:FKQ667 FUL667:FUM667 GEH667:GEI667 GOD667:GOE667 GXZ667:GYA667 HHV667:HHW667 HRR667:HRS667 IBN667:IBO667 ILJ667:ILK667 IVF667:IVG667 JFB667:JFC667 JOX667:JOY667 JYT667:JYU667 KIP667:KIQ667 KSL667:KSM667 LCH667:LCI667 LMD667:LME667 LVZ667:LWA667 MFV667:MFW667 MPR667:MPS667 MZN667:MZO667 NJJ667:NJK667 NTF667:NTG667 ODB667:ODC667 OMX667:OMY667 OWT667:OWU667 PGP667:PGQ667 PQL667:PQM667 QAH667:QAI667 QKD667:QKE667 QTZ667:QUA667 RDV667:RDW667 RNR667:RNS667 RXN667:RXO667 SHJ667:SHK667 SRF667:SRG667 TBB667:TBC667 TKX667:TKY667 TUT667:TUU667 UEP667:UEQ667 UOL667:UOM667 UYH667:UYI667 VID667:VIE667 VRZ667:VSA667 WBV667:WBW667 WLR667:WLS667 WVN3:WVO4">
      <formula1>30</formula1>
    </dataValidation>
    <dataValidation type="textLength" operator="lessThan" allowBlank="1" showInputMessage="1" showErrorMessage="1" error="Valid SA ID Numbers are to be only 13 characters" sqref="WVP601 JD601 SZ601 ACV601 AMR601 AWN601 BGJ601 BQF601 CAB601 CJX601 CTT601 DDP601 DNL601 DXH601 EHD601 EQZ601 FAV601 FKR601 FUN601 GEJ601 GOF601 GYB601 HHX601 HRT601 IBP601 ILL601 IVH601 JFD601 JOZ601 JYV601 KIR601 KSN601 LCJ601 LMF601 LWB601 MFX601 MPT601 MZP601 NJL601 NTH601 ODD601 OMZ601 OWV601 PGR601 PQN601 QAJ601 QKF601 QUB601 RDX601 RNT601 RXP601 SHL601 SRH601 TBD601 TKZ601 TUV601 UER601 UON601 UYJ601 VIF601 VSB601 WBX601 WLT601 H2:H1048576 WLT696 WBX696 VSB696 VIF696 UYJ696 UON696 UER696 TUV696 TKZ696 TBD696 SRH696 SHL696 RXP696 RNT696 RDX696 QUB696 QKF696 QAJ696 PQN696 PGR696 OWV696 OMZ696 ODD696 NTH696 NJL696 MZP696 MPT696 MFX696 LWB696 LMF696 LCJ696 KSN696 KIR696 JYV696 JOZ696 JFD696 IVH696 ILL696 IBP696 HRT696 HHX696 GYB696 GOF696 GEJ696 FUN696 FKR696 FAV696 EQZ696 EHD696 DXH696 DNL696 DDP696 CTT696 CJX696 CAB696 BQF696 BGJ696 AWN696 AMR696 ACV696 SZ696 JD696 WVP667 WVP597 WLT272 WBX272 VSB272 VIF272 UYJ272 UON272 UER272 TUV272 TKZ272 TBD272 SRH272 SHL272 RXP272 RNT272 RDX272 QUB272 QKF272 QAJ272 PQN272 PGR272 OWV272 OMZ272 ODD272 NTH272 NJL272 MZP272 MPT272 MFX272 LWB272 LMF272 LCJ272 KSN272 KIR272 JYV272 JOZ272 JFD272 IVH272 ILL272 IBP272 HRT272 HHX272 GYB272 GOF272 GEJ272 FUN272 FKR272 FAV272 EQZ272 EHD272 DXH272 DNL272 DDP272 CTT272 CJX272 CAB272 BQF272 BGJ272 AWN272 AMR272 ACV272 SZ272 JD272 WVP209 WLT263 WBX263 VSB263 VIF263 UYJ263 UON263 UER263 TUV263 TKZ263 TBD263 SRH263 SHL263 RXP263 RNT263 RDX263 QUB263 QKF263 QAJ263 PQN263 PGR263 OWV263 OMZ263 ODD263 NTH263 NJL263 MZP263 MPT263 MFX263 LWB263 LMF263 LCJ263 KSN263 KIR263 JYV263 JOZ263 JFD263 IVH263 ILL263 IBP263 HRT263 HHX263 GYB263 GOF263 GEJ263 FUN263 FKR263 FAV263 EQZ263 EHD263 DXH263 DNL263 DDP263 CTT263 CJX263 CAB263 BQF263 BGJ263 AWN263 AMR263 ACV263 SZ263 JD263 WVP263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JD50 WVP557 WLT20 WBX20 VSB20 VIF20 UYJ20 UON20 UER20 TUV20 TKZ20 TBD20 SRH20 SHL20 RXP20 RNT20 RDX20 QUB20 QKF20 QAJ20 PQN20 PGR20 OWV20 OMZ20 ODD20 NTH20 NJL20 MZP20 MPT20 MFX20 LWB20 LMF20 LCJ20 KSN20 KIR20 JYV20 JOZ20 JFD20 IVH20 ILL20 IBP20 HRT20 HHX20 GYB20 GOF20 GEJ20 FUN20 FKR20 FAV20 EQZ20 EHD20 DXH20 DNL20 DDP20 CTT20 CJX20 CAB20 BQF20 BGJ20 AWN20 AMR20 ACV20 SZ20 JD20 WVP20 WLT15 WBX15 VSB15 VIF15 UYJ15 UON15 UER15 TUV15 TKZ15 TBD15 SRH15 SHL15 RXP15 RNT15 RDX15 QUB15 QKF15 QAJ15 PQN15 PGR15 OWV15 OMZ15 ODD15 NTH15 NJL15 MZP15 MPT15 MFX15 LWB15 LMF15 LCJ15 KSN15 KIR15 JYV15 JOZ15 JFD15 IVH15 ILL15 IBP15 HRT15 HHX15 GYB15 GOF15 GEJ15 FUN15 FKR15 FAV15 EQZ15 EHD15 DXH15 DNL15 DDP15 CTT15 CJX15 CAB15 BQF15 BGJ15 AWN15 AMR15 ACV15 SZ15 JD15 WVP15 SZ3:SZ4 ACV3:ACV4 AMR3:AMR4 AWN3:AWN4 BGJ3:BGJ4 BQF3:BQF4 CAB3:CAB4 CJX3:CJX4 CTT3:CTT4 DDP3:DDP4 DNL3:DNL4 DXH3:DXH4 EHD3:EHD4 EQZ3:EQZ4 FAV3:FAV4 FKR3:FKR4 FUN3:FUN4 GEJ3:GEJ4 GOF3:GOF4 GYB3:GYB4 HHX3:HHX4 HRT3:HRT4 IBP3:IBP4 ILL3:ILL4 IVH3:IVH4 JFD3:JFD4 JOZ3:JOZ4 JYV3:JYV4 KIR3:KIR4 KSN3:KSN4 LCJ3:LCJ4 LMF3:LMF4 LWB3:LWB4 MFX3:MFX4 MPT3:MPT4 MZP3:MZP4 NJL3:NJL4 NTH3:NTH4 ODD3:ODD4 OMZ3:OMZ4 OWV3:OWV4 PGR3:PGR4 PQN3:PQN4 QAJ3:QAJ4 QKF3:QKF4 QUB3:QUB4 RDX3:RDX4 RNT3:RNT4 RXP3:RXP4 SHL3:SHL4 SRH3:SRH4 TBD3:TBD4 TKZ3:TKZ4 TUV3:TUV4 UER3:UER4 UON3:UON4 UYJ3:UYJ4 VIF3:VIF4 VSB3:VSB4 WBX3:WBX4 WLT3:WLT4 WVP12 JD12 SZ12 ACV12 AMR12 AWN12 BGJ12 BQF12 CAB12 CJX12 CTT12 DDP12 DNL12 DXH12 EHD12 EQZ12 FAV12 FKR12 FUN12 GEJ12 GOF12 GYB12 HHX12 HRT12 IBP12 ILL12 IVH12 JFD12 JOZ12 JYV12 KIR12 KSN12 LCJ12 LMF12 LWB12 MFX12 MPT12 MZP12 NJL12 NTH12 ODD12 OMZ12 OWV12 PGR12 PQN12 QAJ12 QKF12 QUB12 RDX12 RNT12 RXP12 SHL12 SRH12 TBD12 TKZ12 TUV12 UER12 UON12 UYJ12 VIF12 VSB12 WBX12 WLT12 WVP540 JD540 SZ540 ACV540 AMR540 AWN540 BGJ540 BQF540 CAB540 CJX540 CTT540 DDP540 DNL540 DXH540 EHD540 EQZ540 FAV540 FKR540 FUN540 GEJ540 GOF540 GYB540 HHX540 HRT540 IBP540 ILL540 IVH540 JFD540 JOZ540 JYV540 KIR540 KSN540 LCJ540 LMF540 LWB540 MFX540 MPT540 MZP540 NJL540 NTH540 ODD540 OMZ540 OWV540 PGR540 PQN540 QAJ540 QKF540 QUB540 RDX540 RNT540 RXP540 SHL540 SRH540 TBD540 TKZ540 TUV540 UER540 UON540 UYJ540 VIF540 VSB540 WBX540 WLT540 JD3:JD4 JD557 SZ557 ACV557 AMR557 AWN557 BGJ557 BQF557 CAB557 CJX557 CTT557 DDP557 DNL557 DXH557 EHD557 EQZ557 FAV557 FKR557 FUN557 GEJ557 GOF557 GYB557 HHX557 HRT557 IBP557 ILL557 IVH557 JFD557 JOZ557 JYV557 KIR557 KSN557 LCJ557 LMF557 LWB557 MFX557 MPT557 MZP557 NJL557 NTH557 ODD557 OMZ557 OWV557 PGR557 PQN557 QAJ557 QKF557 QUB557 RDX557 RNT557 RXP557 SHL557 SRH557 TBD557 TKZ557 TUV557 UER557 UON557 UYJ557 VIF557 VSB557 WBX557 WLT557 WVP50 JD209 SZ209 ACV209 AMR209 AWN209 BGJ209 BQF209 CAB209 CJX209 CTT209 DDP209 DNL209 DXH209 EHD209 EQZ209 FAV209 FKR209 FUN209 GEJ209 GOF209 GYB209 HHX209 HRT209 IBP209 ILL209 IVH209 JFD209 JOZ209 JYV209 KIR209 KSN209 LCJ209 LMF209 LWB209 MFX209 MPT209 MZP209 NJL209 NTH209 ODD209 OMZ209 OWV209 PGR209 PQN209 QAJ209 QKF209 QUB209 RDX209 RNT209 RXP209 SHL209 SRH209 TBD209 TKZ209 TUV209 UER209 UON209 UYJ209 VIF209 VSB209 WBX209 WLT209 WVP283 JD283 SZ283 ACV283 AMR283 AWN283 BGJ283 BQF283 CAB283 CJX283 CTT283 DDP283 DNL283 DXH283 EHD283 EQZ283 FAV283 FKR283 FUN283 GEJ283 GOF283 GYB283 HHX283 HRT283 IBP283 ILL283 IVH283 JFD283 JOZ283 JYV283 KIR283 KSN283 LCJ283 LMF283 LWB283 MFX283 MPT283 MZP283 NJL283 NTH283 ODD283 OMZ283 OWV283 PGR283 PQN283 QAJ283 QKF283 QUB283 RDX283 RNT283 RXP283 SHL283 SRH283 TBD283 TKZ283 TUV283 UER283 UON283 UYJ283 VIF283 VSB283 WBX283 WLT283 WVP312 JD312 SZ312 ACV312 AMR312 AWN312 BGJ312 BQF312 CAB312 CJX312 CTT312 DDP312 DNL312 DXH312 EHD312 EQZ312 FAV312 FKR312 FUN312 GEJ312 GOF312 GYB312 HHX312 HRT312 IBP312 ILL312 IVH312 JFD312 JOZ312 JYV312 KIR312 KSN312 LCJ312 LMF312 LWB312 MFX312 MPT312 MZP312 NJL312 NTH312 ODD312 OMZ312 OWV312 PGR312 PQN312 QAJ312 QKF312 QUB312 RDX312 RNT312 RXP312 SHL312 SRH312 TBD312 TKZ312 TUV312 UER312 UON312 UYJ312 VIF312 VSB312 WBX312 WLT312 WVP318 JD318 SZ318 ACV318 AMR318 AWN318 BGJ318 BQF318 CAB318 CJX318 CTT318 DDP318 DNL318 DXH318 EHD318 EQZ318 FAV318 FKR318 FUN318 GEJ318 GOF318 GYB318 HHX318 HRT318 IBP318 ILL318 IVH318 JFD318 JOZ318 JYV318 KIR318 KSN318 LCJ318 LMF318 LWB318 MFX318 MPT318 MZP318 NJL318 NTH318 ODD318 OMZ318 OWV318 PGR318 PQN318 QAJ318 QKF318 QUB318 RDX318 RNT318 RXP318 SHL318 SRH318 TBD318 TKZ318 TUV318 UER318 UON318 UYJ318 VIF318 VSB318 WBX318 WLT318 WVP272 JD597 SZ597 ACV597 AMR597 AWN597 BGJ597 BQF597 CAB597 CJX597 CTT597 DDP597 DNL597 DXH597 EHD597 EQZ597 FAV597 FKR597 FUN597 GEJ597 GOF597 GYB597 HHX597 HRT597 IBP597 ILL597 IVH597 JFD597 JOZ597 JYV597 KIR597 KSN597 LCJ597 LMF597 LWB597 MFX597 MPT597 MZP597 NJL597 NTH597 ODD597 OMZ597 OWV597 PGR597 PQN597 QAJ597 QKF597 QUB597 RDX597 RNT597 RXP597 SHL597 SRH597 TBD597 TKZ597 TUV597 UER597 UON597 UYJ597 VIF597 VSB597 WBX597 WLT597 JD667 SZ667 ACV667 AMR667 AWN667 BGJ667 BQF667 CAB667 CJX667 CTT667 DDP667 DNL667 DXH667 EHD667 EQZ667 FAV667 FKR667 FUN667 GEJ667 GOF667 GYB667 HHX667 HRT667 IBP667 ILL667 IVH667 JFD667 JOZ667 JYV667 KIR667 KSN667 LCJ667 LMF667 LWB667 MFX667 MPT667 MZP667 NJL667 NTH667 ODD667 OMZ667 OWV667 PGR667 PQN667 QAJ667 QKF667 QUB667 RDX667 RNT667 RXP667 SHL667 SRH667 TBD667 TKZ667 TUV667 UER667 UON667 UYJ667 VIF667 VSB667 WBX667 WLT667 WVP696 WVP3:WVP4">
      <formula1>14</formula1>
    </dataValidation>
    <dataValidation type="textLength" operator="lessThan" allowBlank="1" showInputMessage="1" showErrorMessage="1" error="Please enter a valid South African telephone or cellphone number." promptTitle="e.g. 082 123 4567" sqref="WVQ601 JE601 TA601 ACW601 AMS601 AWO601 BGK601 BQG601 CAC601 CJY601 CTU601 DDQ601 DNM601 DXI601 EHE601 ERA601 FAW601 FKS601 FUO601 GEK601 GOG601 GYC601 HHY601 HRU601 IBQ601 ILM601 IVI601 JFE601 JPA601 JYW601 KIS601 KSO601 LCK601 LMG601 LWC601 MFY601 MPU601 MZQ601 NJM601 NTI601 ODE601 ONA601 OWW601 PGS601 PQO601 QAK601 QKG601 QUC601 RDY601 RNU601 RXQ601 SHM601 SRI601 TBE601 TLA601 TUW601 UES601 UOO601 UYK601 VIG601 VSC601 WBY601 WLU601 I2:I1048576 WLU696 WBY696 VSC696 VIG696 UYK696 UOO696 UES696 TUW696 TLA696 TBE696 SRI696 SHM696 RXQ696 RNU696 RDY696 QUC696 QKG696 QAK696 PQO696 PGS696 OWW696 ONA696 ODE696 NTI696 NJM696 MZQ696 MPU696 MFY696 LWC696 LMG696 LCK696 KSO696 KIS696 JYW696 JPA696 JFE696 IVI696 ILM696 IBQ696 HRU696 HHY696 GYC696 GOG696 GEK696 FUO696 FKS696 FAW696 ERA696 EHE696 DXI696 DNM696 DDQ696 CTU696 CJY696 CAC696 BQG696 BGK696 AWO696 AMS696 ACW696 TA696 JE696 WVQ667 WVQ597 WLU272 WBY272 VSC272 VIG272 UYK272 UOO272 UES272 TUW272 TLA272 TBE272 SRI272 SHM272 RXQ272 RNU272 RDY272 QUC272 QKG272 QAK272 PQO272 PGS272 OWW272 ONA272 ODE272 NTI272 NJM272 MZQ272 MPU272 MFY272 LWC272 LMG272 LCK272 KSO272 KIS272 JYW272 JPA272 JFE272 IVI272 ILM272 IBQ272 HRU272 HHY272 GYC272 GOG272 GEK272 FUO272 FKS272 FAW272 ERA272 EHE272 DXI272 DNM272 DDQ272 CTU272 CJY272 CAC272 BQG272 BGK272 AWO272 AMS272 ACW272 TA272 JE272 WVQ209 WLU263 WBY263 VSC263 VIG263 UYK263 UOO263 UES263 TUW263 TLA263 TBE263 SRI263 SHM263 RXQ263 RNU263 RDY263 QUC263 QKG263 QAK263 PQO263 PGS263 OWW263 ONA263 ODE263 NTI263 NJM263 MZQ263 MPU263 MFY263 LWC263 LMG263 LCK263 KSO263 KIS263 JYW263 JPA263 JFE263 IVI263 ILM263 IBQ263 HRU263 HHY263 GYC263 GOG263 GEK263 FUO263 FKS263 FAW263 ERA263 EHE263 DXI263 DNM263 DDQ263 CTU263 CJY263 CAC263 BQG263 BGK263 AWO263 AMS263 ACW263 TA263 JE263 WVQ263 WLU50 WBY50 VSC50 VIG50 UYK50 UOO50 UES50 TUW50 TLA50 TBE50 SRI50 SHM50 RXQ50 RNU50 RDY50 QUC50 QKG50 QAK50 PQO50 PGS50 OWW50 ONA50 ODE50 NTI50 NJM50 MZQ50 MPU50 MFY50 LWC50 LMG50 LCK50 KSO50 KIS50 JYW50 JPA50 JFE50 IVI50 ILM50 IBQ50 HRU50 HHY50 GYC50 GOG50 GEK50 FUO50 FKS50 FAW50 ERA50 EHE50 DXI50 DNM50 DDQ50 CTU50 CJY50 CAC50 BQG50 BGK50 AWO50 AMS50 ACW50 TA50 JE50 WVQ557 WLU20 WBY20 VSC20 VIG20 UYK20 UOO20 UES20 TUW20 TLA20 TBE20 SRI20 SHM20 RXQ20 RNU20 RDY20 QUC20 QKG20 QAK20 PQO20 PGS20 OWW20 ONA20 ODE20 NTI20 NJM20 MZQ20 MPU20 MFY20 LWC20 LMG20 LCK20 KSO20 KIS20 JYW20 JPA20 JFE20 IVI20 ILM20 IBQ20 HRU20 HHY20 GYC20 GOG20 GEK20 FUO20 FKS20 FAW20 ERA20 EHE20 DXI20 DNM20 DDQ20 CTU20 CJY20 CAC20 BQG20 BGK20 AWO20 AMS20 ACW20 TA20 JE20 WVQ20 WLU15 WBY15 VSC15 VIG15 UYK15 UOO15 UES15 TUW15 TLA15 TBE15 SRI15 SHM15 RXQ15 RNU15 RDY15 QUC15 QKG15 QAK15 PQO15 PGS15 OWW15 ONA15 ODE15 NTI15 NJM15 MZQ15 MPU15 MFY15 LWC15 LMG15 LCK15 KSO15 KIS15 JYW15 JPA15 JFE15 IVI15 ILM15 IBQ15 HRU15 HHY15 GYC15 GOG15 GEK15 FUO15 FKS15 FAW15 ERA15 EHE15 DXI15 DNM15 DDQ15 CTU15 CJY15 CAC15 BQG15 BGK15 AWO15 AMS15 ACW15 TA15 JE15 WVQ15 TA3:TA4 ACW3:ACW4 AMS3:AMS4 AWO3:AWO4 BGK3:BGK4 BQG3:BQG4 CAC3:CAC4 CJY3:CJY4 CTU3:CTU4 DDQ3:DDQ4 DNM3:DNM4 DXI3:DXI4 EHE3:EHE4 ERA3:ERA4 FAW3:FAW4 FKS3:FKS4 FUO3:FUO4 GEK3:GEK4 GOG3:GOG4 GYC3:GYC4 HHY3:HHY4 HRU3:HRU4 IBQ3:IBQ4 ILM3:ILM4 IVI3:IVI4 JFE3:JFE4 JPA3:JPA4 JYW3:JYW4 KIS3:KIS4 KSO3:KSO4 LCK3:LCK4 LMG3:LMG4 LWC3:LWC4 MFY3:MFY4 MPU3:MPU4 MZQ3:MZQ4 NJM3:NJM4 NTI3:NTI4 ODE3:ODE4 ONA3:ONA4 OWW3:OWW4 PGS3:PGS4 PQO3:PQO4 QAK3:QAK4 QKG3:QKG4 QUC3:QUC4 RDY3:RDY4 RNU3:RNU4 RXQ3:RXQ4 SHM3:SHM4 SRI3:SRI4 TBE3:TBE4 TLA3:TLA4 TUW3:TUW4 UES3:UES4 UOO3:UOO4 UYK3:UYK4 VIG3:VIG4 VSC3:VSC4 WBY3:WBY4 WLU3:WLU4 WVQ12 JE12 TA12 ACW12 AMS12 AWO12 BGK12 BQG12 CAC12 CJY12 CTU12 DDQ12 DNM12 DXI12 EHE12 ERA12 FAW12 FKS12 FUO12 GEK12 GOG12 GYC12 HHY12 HRU12 IBQ12 ILM12 IVI12 JFE12 JPA12 JYW12 KIS12 KSO12 LCK12 LMG12 LWC12 MFY12 MPU12 MZQ12 NJM12 NTI12 ODE12 ONA12 OWW12 PGS12 PQO12 QAK12 QKG12 QUC12 RDY12 RNU12 RXQ12 SHM12 SRI12 TBE12 TLA12 TUW12 UES12 UOO12 UYK12 VIG12 VSC12 WBY12 WLU12 WVQ540 JE540 TA540 ACW540 AMS540 AWO540 BGK540 BQG540 CAC540 CJY540 CTU540 DDQ540 DNM540 DXI540 EHE540 ERA540 FAW540 FKS540 FUO540 GEK540 GOG540 GYC540 HHY540 HRU540 IBQ540 ILM540 IVI540 JFE540 JPA540 JYW540 KIS540 KSO540 LCK540 LMG540 LWC540 MFY540 MPU540 MZQ540 NJM540 NTI540 ODE540 ONA540 OWW540 PGS540 PQO540 QAK540 QKG540 QUC540 RDY540 RNU540 RXQ540 SHM540 SRI540 TBE540 TLA540 TUW540 UES540 UOO540 UYK540 VIG540 VSC540 WBY540 WLU540 JE3:JE4 JE557 TA557 ACW557 AMS557 AWO557 BGK557 BQG557 CAC557 CJY557 CTU557 DDQ557 DNM557 DXI557 EHE557 ERA557 FAW557 FKS557 FUO557 GEK557 GOG557 GYC557 HHY557 HRU557 IBQ557 ILM557 IVI557 JFE557 JPA557 JYW557 KIS557 KSO557 LCK557 LMG557 LWC557 MFY557 MPU557 MZQ557 NJM557 NTI557 ODE557 ONA557 OWW557 PGS557 PQO557 QAK557 QKG557 QUC557 RDY557 RNU557 RXQ557 SHM557 SRI557 TBE557 TLA557 TUW557 UES557 UOO557 UYK557 VIG557 VSC557 WBY557 WLU557 WVQ50 JE209 TA209 ACW209 AMS209 AWO209 BGK209 BQG209 CAC209 CJY209 CTU209 DDQ209 DNM209 DXI209 EHE209 ERA209 FAW209 FKS209 FUO209 GEK209 GOG209 GYC209 HHY209 HRU209 IBQ209 ILM209 IVI209 JFE209 JPA209 JYW209 KIS209 KSO209 LCK209 LMG209 LWC209 MFY209 MPU209 MZQ209 NJM209 NTI209 ODE209 ONA209 OWW209 PGS209 PQO209 QAK209 QKG209 QUC209 RDY209 RNU209 RXQ209 SHM209 SRI209 TBE209 TLA209 TUW209 UES209 UOO209 UYK209 VIG209 VSC209 WBY209 WLU209 WVQ283 JE283 TA283 ACW283 AMS283 AWO283 BGK283 BQG283 CAC283 CJY283 CTU283 DDQ283 DNM283 DXI283 EHE283 ERA283 FAW283 FKS283 FUO283 GEK283 GOG283 GYC283 HHY283 HRU283 IBQ283 ILM283 IVI283 JFE283 JPA283 JYW283 KIS283 KSO283 LCK283 LMG283 LWC283 MFY283 MPU283 MZQ283 NJM283 NTI283 ODE283 ONA283 OWW283 PGS283 PQO283 QAK283 QKG283 QUC283 RDY283 RNU283 RXQ283 SHM283 SRI283 TBE283 TLA283 TUW283 UES283 UOO283 UYK283 VIG283 VSC283 WBY283 WLU283 WVQ312 JE312 TA312 ACW312 AMS312 AWO312 BGK312 BQG312 CAC312 CJY312 CTU312 DDQ312 DNM312 DXI312 EHE312 ERA312 FAW312 FKS312 FUO312 GEK312 GOG312 GYC312 HHY312 HRU312 IBQ312 ILM312 IVI312 JFE312 JPA312 JYW312 KIS312 KSO312 LCK312 LMG312 LWC312 MFY312 MPU312 MZQ312 NJM312 NTI312 ODE312 ONA312 OWW312 PGS312 PQO312 QAK312 QKG312 QUC312 RDY312 RNU312 RXQ312 SHM312 SRI312 TBE312 TLA312 TUW312 UES312 UOO312 UYK312 VIG312 VSC312 WBY312 WLU312 WVQ318 JE318 TA318 ACW318 AMS318 AWO318 BGK318 BQG318 CAC318 CJY318 CTU318 DDQ318 DNM318 DXI318 EHE318 ERA318 FAW318 FKS318 FUO318 GEK318 GOG318 GYC318 HHY318 HRU318 IBQ318 ILM318 IVI318 JFE318 JPA318 JYW318 KIS318 KSO318 LCK318 LMG318 LWC318 MFY318 MPU318 MZQ318 NJM318 NTI318 ODE318 ONA318 OWW318 PGS318 PQO318 QAK318 QKG318 QUC318 RDY318 RNU318 RXQ318 SHM318 SRI318 TBE318 TLA318 TUW318 UES318 UOO318 UYK318 VIG318 VSC318 WBY318 WLU318 WVQ272 JE597 TA597 ACW597 AMS597 AWO597 BGK597 BQG597 CAC597 CJY597 CTU597 DDQ597 DNM597 DXI597 EHE597 ERA597 FAW597 FKS597 FUO597 GEK597 GOG597 GYC597 HHY597 HRU597 IBQ597 ILM597 IVI597 JFE597 JPA597 JYW597 KIS597 KSO597 LCK597 LMG597 LWC597 MFY597 MPU597 MZQ597 NJM597 NTI597 ODE597 ONA597 OWW597 PGS597 PQO597 QAK597 QKG597 QUC597 RDY597 RNU597 RXQ597 SHM597 SRI597 TBE597 TLA597 TUW597 UES597 UOO597 UYK597 VIG597 VSC597 WBY597 WLU597 JE667 TA667 ACW667 AMS667 AWO667 BGK667 BQG667 CAC667 CJY667 CTU667 DDQ667 DNM667 DXI667 EHE667 ERA667 FAW667 FKS667 FUO667 GEK667 GOG667 GYC667 HHY667 HRU667 IBQ667 ILM667 IVI667 JFE667 JPA667 JYW667 KIS667 KSO667 LCK667 LMG667 LWC667 MFY667 MPU667 MZQ667 NJM667 NTI667 ODE667 ONA667 OWW667 PGS667 PQO667 QAK667 QKG667 QUC667 RDY667 RNU667 RXQ667 SHM667 SRI667 TBE667 TLA667 TUW667 UES667 UOO667 UYK667 VIG667 VSC667 WBY667 WLU667 WVQ696 WVQ3:WVQ4">
      <formula1>10</formula1>
    </dataValidation>
    <dataValidation type="textLength" operator="lessThan" allowBlank="1" showInputMessage="1" showErrorMessage="1" error="Please enter a valid South African postal code" sqref="WVT601 JJ601 TF601 ADB601 AMX601 AWT601 BGP601 BQL601 CAH601 CKD601 CTZ601 DDV601 DNR601 DXN601 EHJ601 ERF601 FBB601 FKX601 FUT601 GEP601 GOL601 GYH601 HID601 HRZ601 IBV601 ILR601 IVN601 JFJ601 JPF601 JZB601 KIX601 KST601 LCP601 LML601 LWH601 MGD601 MPZ601 MZV601 NJR601 NTN601 ODJ601 ONF601 OXB601 PGX601 PQT601 QAP601 QKL601 QUH601 RED601 RNZ601 RXV601 SHR601 SRN601 TBJ601 TLF601 TVB601 UEX601 UOT601 UYP601 VIL601 VSH601 WCD601 WLZ601 WVV601 JH601 TD601 ACZ601 AMV601 AWR601 BGN601 BQJ601 CAF601 CKB601 CTX601 DDT601 DNP601 DXL601 EHH601 ERD601 FAZ601 FKV601 FUR601 GEN601 GOJ601 GYF601 HIB601 HRX601 IBT601 ILP601 IVL601 JFH601 JPD601 JYZ601 KIV601 KSR601 LCN601 LMJ601 LWF601 MGB601 MPX601 MZT601 NJP601 NTL601 ODH601 OND601 OWZ601 PGV601 PQR601 QAN601 QKJ601 QUF601 REB601 RNX601 RXT601 SHP601 SRL601 TBH601 TLD601 TUZ601 UEV601 UOR601 UYN601 VIJ601 VSF601 WCB601 WLX601 L2:L1048576 WVT3:WVT4 WLX696 WCB696 VSF696 VIJ696 UYN696 UOR696 UEV696 TUZ696 TLD696 TBH696 SRL696 SHP696 RXT696 RNX696 REB696 QUF696 QKJ696 QAN696 PQR696 PGV696 OWZ696 OND696 ODH696 NTL696 NJP696 MZT696 MPX696 MGB696 LWF696 LMJ696 LCN696 KSR696 KIV696 JYZ696 JPD696 JFH696 IVL696 ILP696 IBT696 HRX696 HIB696 GYF696 GOJ696 GEN696 FUR696 FKV696 FAZ696 ERD696 EHH696 DXL696 DNP696 DDT696 CTX696 CKB696 CAF696 BQJ696 BGN696 AWR696 AMV696 ACZ696 TD696 JH696 WVV696 WLZ696 WCD696 VSH696 VIL696 UYP696 UOT696 UEX696 TVB696 TLF696 TBJ696 SRN696 SHR696 RXV696 RNZ696 RED696 QUH696 QKL696 QAP696 PQT696 PGX696 OXB696 ONF696 ODJ696 NTN696 NJR696 MZV696 MPZ696 MGD696 LWH696 LML696 LCP696 KST696 KIX696 JZB696 JPF696 JFJ696 IVN696 ILR696 IBV696 HRZ696 HID696 GYH696 GOL696 GEP696 FUT696 FKX696 FBB696 ERF696 EHJ696 DXN696 DNR696 DDV696 CTZ696 CKD696 CAH696 BQL696 BGP696 AWT696 AMX696 ADB696 TF696 JJ696 WLX667 WLX597 VSF272 VIJ272 UYN272 UOR272 UEV272 TUZ272 TLD272 TBH272 SRL272 SHP272 RXT272 RNX272 REB272 QUF272 QKJ272 QAN272 PQR272 PGV272 OWZ272 OND272 ODH272 NTL272 NJP272 MZT272 MPX272 MGB272 LWF272 LMJ272 LCN272 KSR272 KIV272 JYZ272 JPD272 JFH272 IVL272 ILP272 IBT272 HRX272 HIB272 GYF272 GOJ272 GEN272 FUR272 FKV272 FAZ272 ERD272 EHH272 DXL272 DNP272 DDT272 CTX272 CKB272 CAF272 BQJ272 BGN272 AWR272 AMV272 ACZ272 TD272 JH272 WVV272 WLZ272 WCD272 VSH272 VIL272 UYP272 UOT272 UEX272 TVB272 TLF272 TBJ272 SRN272 SHR272 RXV272 RNZ272 RED272 QUH272 QKL272 QAP272 PQT272 PGX272 OXB272 ONF272 ODJ272 NTN272 NJR272 MZV272 MPZ272 MGD272 LWH272 LML272 LCP272 KST272 KIX272 JZB272 JPF272 JFJ272 IVN272 ILR272 IBV272 HRZ272 HID272 GYH272 GOL272 GEP272 FUT272 FKX272 FBB272 ERF272 EHJ272 DXN272 DNR272 DDV272 CTZ272 CKD272 CAH272 BQL272 BGP272 AWT272 AMX272 ADB272 TF272 JJ272 WVT209 WVT272 WLX263 WCB263 VSF263 VIJ263 UYN263 UOR263 UEV263 TUZ263 TLD263 TBH263 SRL263 SHP263 RXT263 RNX263 REB263 QUF263 QKJ263 QAN263 PQR263 PGV263 OWZ263 OND263 ODH263 NTL263 NJP263 MZT263 MPX263 MGB263 LWF263 LMJ263 LCN263 KSR263 KIV263 JYZ263 JPD263 JFH263 IVL263 ILP263 IBT263 HRX263 HIB263 GYF263 GOJ263 GEN263 FUR263 FKV263 FAZ263 ERD263 EHH263 DXL263 DNP263 DDT263 CTX263 CKB263 CAF263 BQJ263 BGN263 AWR263 AMV263 ACZ263 TD263 JH263 WVV263 WLZ263 WCD263 VSH263 VIL263 UYP263 UOT263 UEX263 TVB263 TLF263 TBJ263 SRN263 SHR263 RXV263 RNZ263 RED263 QUH263 QKL263 QAP263 PQT263 PGX263 OXB263 ONF263 ODJ263 NTN263 NJR263 MZV263 MPZ263 MGD263 LWH263 LML263 LCP263 KST263 KIX263 JZB263 JPF263 JFJ263 IVN263 ILR263 IBV263 HRZ263 HID263 GYH263 GOL263 GEP263 FUT263 FKX263 FBB263 ERF263 EHJ263 DXN263 DNR263 DDV263 CTZ263 CKD263 CAH263 BQL263 BGP263 AWT263 AMX263 ADB263 TF263 JJ263 WVT263 WLX50 WCB50 VSF50 VIJ50 UYN50 UOR50 UEV50 TUZ50 TLD50 TBH50 SRL50 SHP50 RXT50 RNX50 REB50 QUF50 QKJ50 QAN50 PQR50 PGV50 OWZ50 OND50 ODH50 NTL50 NJP50 MZT50 MPX50 MGB50 LWF50 LMJ50 LCN50 KSR50 KIV50 JYZ50 JPD50 JFH50 IVL50 ILP50 IBT50 HRX50 HIB50 GYF50 GOJ50 GEN50 FUR50 FKV50 FAZ50 ERD50 EHH50 DXL50 DNP50 DDT50 CTX50 CKB50 CAF50 BQJ50 BGN50 AWR50 AMV50 ACZ50 TD50 JH50 WVV50 WLZ50 WCD50 VSH50 VIL50 UYP50 UOT50 UEX50 TVB50 TLF50 TBJ50 SRN50 SHR50 RXV50 RNZ50 RED50 QUH50 QKL50 QAP50 PQT50 PGX50 OXB50 ONF50 ODJ50 NTN50 NJR50 MZV50 MPZ50 MGD50 LWH50 LML50 LCP50 KST50 KIX50 JZB50 JPF50 JFJ50 IVN50 ILR50 IBV50 HRZ50 HID50 GYH50 GOL50 GEP50 FUT50 FKX50 FBB50 ERF50 EHJ50 DXN50 DNR50 DDV50 CTZ50 CKD50 CAH50 BQL50 BGP50 AWT50 AMX50 ADB50 TF50 JJ50 WVT557 WLX20 WCB20 VSF20 VIJ20 UYN20 UOR20 UEV20 TUZ20 TLD20 TBH20 SRL20 SHP20 RXT20 RNX20 REB20 QUF20 QKJ20 QAN20 PQR20 PGV20 OWZ20 OND20 ODH20 NTL20 NJP20 MZT20 MPX20 MGB20 LWF20 LMJ20 LCN20 KSR20 KIV20 JYZ20 JPD20 JFH20 IVL20 ILP20 IBT20 HRX20 HIB20 GYF20 GOJ20 GEN20 FUR20 FKV20 FAZ20 ERD20 EHH20 DXL20 DNP20 DDT20 CTX20 CKB20 CAF20 BQJ20 BGN20 AWR20 AMV20 ACZ20 TD20 JH20 WVV20 WLZ20 WCD20 VSH20 VIL20 UYP20 UOT20 UEX20 TVB20 TLF20 TBJ20 SRN20 SHR20 RXV20 RNZ20 RED20 QUH20 QKL20 QAP20 PQT20 PGX20 OXB20 ONF20 ODJ20 NTN20 NJR20 MZV20 MPZ20 MGD20 LWH20 LML20 LCP20 KST20 KIX20 JZB20 JPF20 JFJ20 IVN20 ILR20 IBV20 HRZ20 HID20 GYH20 GOL20 GEP20 FUT20 FKX20 FBB20 ERF20 EHJ20 DXN20 DNR20 DDV20 CTZ20 CKD20 CAH20 BQL20 BGP20 AWT20 AMX20 ADB20 TF20 JJ20 WVT20 WLX15 WCB15 VSF15 VIJ15 UYN15 UOR15 UEV15 TUZ15 TLD15 TBH15 SRL15 SHP15 RXT15 RNX15 REB15 QUF15 QKJ15 QAN15 PQR15 PGV15 OWZ15 OND15 ODH15 NTL15 NJP15 MZT15 MPX15 MGB15 LWF15 LMJ15 LCN15 KSR15 KIV15 JYZ15 JPD15 JFH15 IVL15 ILP15 IBT15 HRX15 HIB15 GYF15 GOJ15 GEN15 FUR15 FKV15 FAZ15 ERD15 EHH15 DXL15 DNP15 DDT15 CTX15 CKB15 CAF15 BQJ15 BGN15 AWR15 AMV15 ACZ15 TD15 JH15 WVV15 WLZ15 WCD15 VSH15 VIL15 UYP15 UOT15 UEX15 TVB15 TLF15 TBJ15 SRN15 SHR15 RXV15 RNZ15 RED15 QUH15 QKL15 QAP15 PQT15 PGX15 OXB15 ONF15 ODJ15 NTN15 NJR15 MZV15 MPZ15 MGD15 LWH15 LML15 LCP15 KST15 KIX15 JZB15 JPF15 JFJ15 IVN15 ILR15 IBV15 HRZ15 HID15 GYH15 GOL15 GEP15 FUT15 FKX15 FBB15 ERF15 EHJ15 DXN15 DNR15 DDV15 CTZ15 CKD15 CAH15 BQL15 BGP15 AWT15 AMX15 ADB15 TF15 JJ15 WVT15 TF3:TF4 ADB3:ADB4 AMX3:AMX4 AWT3:AWT4 BGP3:BGP4 BQL3:BQL4 CAH3:CAH4 CKD3:CKD4 CTZ3:CTZ4 DDV3:DDV4 DNR3:DNR4 DXN3:DXN4 EHJ3:EHJ4 ERF3:ERF4 FBB3:FBB4 FKX3:FKX4 FUT3:FUT4 GEP3:GEP4 GOL3:GOL4 GYH3:GYH4 HID3:HID4 HRZ3:HRZ4 IBV3:IBV4 ILR3:ILR4 IVN3:IVN4 JFJ3:JFJ4 JPF3:JPF4 JZB3:JZB4 KIX3:KIX4 KST3:KST4 LCP3:LCP4 LML3:LML4 LWH3:LWH4 MGD3:MGD4 MPZ3:MPZ4 MZV3:MZV4 NJR3:NJR4 NTN3:NTN4 ODJ3:ODJ4 ONF3:ONF4 OXB3:OXB4 PGX3:PGX4 PQT3:PQT4 QAP3:QAP4 QKL3:QKL4 QUH3:QUH4 RED3:RED4 RNZ3:RNZ4 RXV3:RXV4 SHR3:SHR4 SRN3:SRN4 TBJ3:TBJ4 TLF3:TLF4 TVB3:TVB4 UEX3:UEX4 UOT3:UOT4 UYP3:UYP4 VIL3:VIL4 VSH3:VSH4 WCD3:WCD4 WLZ3:WLZ4 WVV3:WVV4 JH3:JH4 TD3:TD4 ACZ3:ACZ4 AMV3:AMV4 AWR3:AWR4 BGN3:BGN4 BQJ3:BQJ4 CAF3:CAF4 CKB3:CKB4 CTX3:CTX4 DDT3:DDT4 DNP3:DNP4 DXL3:DXL4 EHH3:EHH4 ERD3:ERD4 FAZ3:FAZ4 FKV3:FKV4 FUR3:FUR4 GEN3:GEN4 GOJ3:GOJ4 GYF3:GYF4 HIB3:HIB4 HRX3:HRX4 IBT3:IBT4 ILP3:ILP4 IVL3:IVL4 JFH3:JFH4 JPD3:JPD4 JYZ3:JYZ4 KIV3:KIV4 KSR3:KSR4 LCN3:LCN4 LMJ3:LMJ4 LWF3:LWF4 MGB3:MGB4 MPX3:MPX4 MZT3:MZT4 NJP3:NJP4 NTL3:NTL4 ODH3:ODH4 OND3:OND4 OWZ3:OWZ4 PGV3:PGV4 PQR3:PQR4 QAN3:QAN4 QKJ3:QKJ4 QUF3:QUF4 REB3:REB4 RNX3:RNX4 RXT3:RXT4 SHP3:SHP4 SRL3:SRL4 TBH3:TBH4 TLD3:TLD4 TUZ3:TUZ4 UEV3:UEV4 UOR3:UOR4 UYN3:UYN4 VIJ3:VIJ4 VSF3:VSF4 WCB3:WCB4 WLX3:WLX4 WVT12 JJ12 TF12 ADB12 AMX12 AWT12 BGP12 BQL12 CAH12 CKD12 CTZ12 DDV12 DNR12 DXN12 EHJ12 ERF12 FBB12 FKX12 FUT12 GEP12 GOL12 GYH12 HID12 HRZ12 IBV12 ILR12 IVN12 JFJ12 JPF12 JZB12 KIX12 KST12 LCP12 LML12 LWH12 MGD12 MPZ12 MZV12 NJR12 NTN12 ODJ12 ONF12 OXB12 PGX12 PQT12 QAP12 QKL12 QUH12 RED12 RNZ12 RXV12 SHR12 SRN12 TBJ12 TLF12 TVB12 UEX12 UOT12 UYP12 VIL12 VSH12 WCD12 WLZ12 WVV12 JH12 TD12 ACZ12 AMV12 AWR12 BGN12 BQJ12 CAF12 CKB12 CTX12 DDT12 DNP12 DXL12 EHH12 ERD12 FAZ12 FKV12 FUR12 GEN12 GOJ12 GYF12 HIB12 HRX12 IBT12 ILP12 IVL12 JFH12 JPD12 JYZ12 KIV12 KSR12 LCN12 LMJ12 LWF12 MGB12 MPX12 MZT12 NJP12 NTL12 ODH12 OND12 OWZ12 PGV12 PQR12 QAN12 QKJ12 QUF12 REB12 RNX12 RXT12 SHP12 SRL12 TBH12 TLD12 TUZ12 UEV12 UOR12 UYN12 VIJ12 VSF12 WCB12 WLX12 WVT540 JJ540 TF540 ADB540 AMX540 AWT540 BGP540 BQL540 CAH540 CKD540 CTZ540 DDV540 DNR540 DXN540 EHJ540 ERF540 FBB540 FKX540 FUT540 GEP540 GOL540 GYH540 HID540 HRZ540 IBV540 ILR540 IVN540 JFJ540 JPF540 JZB540 KIX540 KST540 LCP540 LML540 LWH540 MGD540 MPZ540 MZV540 NJR540 NTN540 ODJ540 ONF540 OXB540 PGX540 PQT540 QAP540 QKL540 QUH540 RED540 RNZ540 RXV540 SHR540 SRN540 TBJ540 TLF540 TVB540 UEX540 UOT540 UYP540 VIL540 VSH540 WCD540 WLZ540 WVV540 JH540 TD540 ACZ540 AMV540 AWR540 BGN540 BQJ540 CAF540 CKB540 CTX540 DDT540 DNP540 DXL540 EHH540 ERD540 FAZ540 FKV540 FUR540 GEN540 GOJ540 GYF540 HIB540 HRX540 IBT540 ILP540 IVL540 JFH540 JPD540 JYZ540 KIV540 KSR540 LCN540 LMJ540 LWF540 MGB540 MPX540 MZT540 NJP540 NTL540 ODH540 OND540 OWZ540 PGV540 PQR540 QAN540 QKJ540 QUF540 REB540 RNX540 RXT540 SHP540 SRL540 TBH540 TLD540 TUZ540 UEV540 UOR540 UYN540 VIJ540 VSF540 WCB540 WLX540 JJ3:JJ4 JJ557 TF557 ADB557 AMX557 AWT557 BGP557 BQL557 CAH557 CKD557 CTZ557 DDV557 DNR557 DXN557 EHJ557 ERF557 FBB557 FKX557 FUT557 GEP557 GOL557 GYH557 HID557 HRZ557 IBV557 ILR557 IVN557 JFJ557 JPF557 JZB557 KIX557 KST557 LCP557 LML557 LWH557 MGD557 MPZ557 MZV557 NJR557 NTN557 ODJ557 ONF557 OXB557 PGX557 PQT557 QAP557 QKL557 QUH557 RED557 RNZ557 RXV557 SHR557 SRN557 TBJ557 TLF557 TVB557 UEX557 UOT557 UYP557 VIL557 VSH557 WCD557 WLZ557 WVV557 JH557 TD557 ACZ557 AMV557 AWR557 BGN557 BQJ557 CAF557 CKB557 CTX557 DDT557 DNP557 DXL557 EHH557 ERD557 FAZ557 FKV557 FUR557 GEN557 GOJ557 GYF557 HIB557 HRX557 IBT557 ILP557 IVL557 JFH557 JPD557 JYZ557 KIV557 KSR557 LCN557 LMJ557 LWF557 MGB557 MPX557 MZT557 NJP557 NTL557 ODH557 OND557 OWZ557 PGV557 PQR557 QAN557 QKJ557 QUF557 REB557 RNX557 RXT557 SHP557 SRL557 TBH557 TLD557 TUZ557 UEV557 UOR557 UYN557 VIJ557 VSF557 WCB557 WLX557 WVT50 JJ209 TF209 ADB209 AMX209 AWT209 BGP209 BQL209 CAH209 CKD209 CTZ209 DDV209 DNR209 DXN209 EHJ209 ERF209 FBB209 FKX209 FUT209 GEP209 GOL209 GYH209 HID209 HRZ209 IBV209 ILR209 IVN209 JFJ209 JPF209 JZB209 KIX209 KST209 LCP209 LML209 LWH209 MGD209 MPZ209 MZV209 NJR209 NTN209 ODJ209 ONF209 OXB209 PGX209 PQT209 QAP209 QKL209 QUH209 RED209 RNZ209 RXV209 SHR209 SRN209 TBJ209 TLF209 TVB209 UEX209 UOT209 UYP209 VIL209 VSH209 WCD209 WLZ209 WVV209 JH209 TD209 ACZ209 AMV209 AWR209 BGN209 BQJ209 CAF209 CKB209 CTX209 DDT209 DNP209 DXL209 EHH209 ERD209 FAZ209 FKV209 FUR209 GEN209 GOJ209 GYF209 HIB209 HRX209 IBT209 ILP209 IVL209 JFH209 JPD209 JYZ209 KIV209 KSR209 LCN209 LMJ209 LWF209 MGB209 MPX209 MZT209 NJP209 NTL209 ODH209 OND209 OWZ209 PGV209 PQR209 QAN209 QKJ209 QUF209 REB209 RNX209 RXT209 SHP209 SRL209 TBH209 TLD209 TUZ209 UEV209 UOR209 UYN209 VIJ209 VSF209 WCB209 WLX209 WVT283 JJ283 TF283 ADB283 AMX283 AWT283 BGP283 BQL283 CAH283 CKD283 CTZ283 DDV283 DNR283 DXN283 EHJ283 ERF283 FBB283 FKX283 FUT283 GEP283 GOL283 GYH283 HID283 HRZ283 IBV283 ILR283 IVN283 JFJ283 JPF283 JZB283 KIX283 KST283 LCP283 LML283 LWH283 MGD283 MPZ283 MZV283 NJR283 NTN283 ODJ283 ONF283 OXB283 PGX283 PQT283 QAP283 QKL283 QUH283 RED283 RNZ283 RXV283 SHR283 SRN283 TBJ283 TLF283 TVB283 UEX283 UOT283 UYP283 VIL283 VSH283 WCD283 WLZ283 WVV283 JH283 TD283 ACZ283 AMV283 AWR283 BGN283 BQJ283 CAF283 CKB283 CTX283 DDT283 DNP283 DXL283 EHH283 ERD283 FAZ283 FKV283 FUR283 GEN283 GOJ283 GYF283 HIB283 HRX283 IBT283 ILP283 IVL283 JFH283 JPD283 JYZ283 KIV283 KSR283 LCN283 LMJ283 LWF283 MGB283 MPX283 MZT283 NJP283 NTL283 ODH283 OND283 OWZ283 PGV283 PQR283 QAN283 QKJ283 QUF283 REB283 RNX283 RXT283 SHP283 SRL283 TBH283 TLD283 TUZ283 UEV283 UOR283 UYN283 VIJ283 VSF283 WCB283 WLX283 WVT312 JJ312 TF312 ADB312 AMX312 AWT312 BGP312 BQL312 CAH312 CKD312 CTZ312 DDV312 DNR312 DXN312 EHJ312 ERF312 FBB312 FKX312 FUT312 GEP312 GOL312 GYH312 HID312 HRZ312 IBV312 ILR312 IVN312 JFJ312 JPF312 JZB312 KIX312 KST312 LCP312 LML312 LWH312 MGD312 MPZ312 MZV312 NJR312 NTN312 ODJ312 ONF312 OXB312 PGX312 PQT312 QAP312 QKL312 QUH312 RED312 RNZ312 RXV312 SHR312 SRN312 TBJ312 TLF312 TVB312 UEX312 UOT312 UYP312 VIL312 VSH312 WCD312 WLZ312 WVV312 JH312 TD312 ACZ312 AMV312 AWR312 BGN312 BQJ312 CAF312 CKB312 CTX312 DDT312 DNP312 DXL312 EHH312 ERD312 FAZ312 FKV312 FUR312 GEN312 GOJ312 GYF312 HIB312 HRX312 IBT312 ILP312 IVL312 JFH312 JPD312 JYZ312 KIV312 KSR312 LCN312 LMJ312 LWF312 MGB312 MPX312 MZT312 NJP312 NTL312 ODH312 OND312 OWZ312 PGV312 PQR312 QAN312 QKJ312 QUF312 REB312 RNX312 RXT312 SHP312 SRL312 TBH312 TLD312 TUZ312 UEV312 UOR312 UYN312 VIJ312 VSF312 WCB312 WLX312 WLX272 WVT318 JJ318 TF318 ADB318 AMX318 AWT318 BGP318 BQL318 CAH318 CKD318 CTZ318 DDV318 DNR318 DXN318 EHJ318 ERF318 FBB318 FKX318 FUT318 GEP318 GOL318 GYH318 HID318 HRZ318 IBV318 ILR318 IVN318 JFJ318 JPF318 JZB318 KIX318 KST318 LCP318 LML318 LWH318 MGD318 MPZ318 MZV318 NJR318 NTN318 ODJ318 ONF318 OXB318 PGX318 PQT318 QAP318 QKL318 QUH318 RED318 RNZ318 RXV318 SHR318 SRN318 TBJ318 TLF318 TVB318 UEX318 UOT318 UYP318 VIL318 VSH318 WCD318 WLZ318 WVV318 JH318 TD318 ACZ318 AMV318 AWR318 BGN318 BQJ318 CAF318 CKB318 CTX318 DDT318 DNP318 DXL318 EHH318 ERD318 FAZ318 FKV318 FUR318 GEN318 GOJ318 GYF318 HIB318 HRX318 IBT318 ILP318 IVL318 JFH318 JPD318 JYZ318 KIV318 KSR318 LCN318 LMJ318 LWF318 MGB318 MPX318 MZT318 NJP318 NTL318 ODH318 OND318 OWZ318 PGV318 PQR318 QAN318 QKJ318 QUF318 REB318 RNX318 RXT318 SHP318 SRL318 TBH318 TLD318 TUZ318 UEV318 UOR318 UYN318 VIJ318 VSF318 WCB318 WLX318 WCB272 WVT597 JJ597 TF597 ADB597 AMX597 AWT597 BGP597 BQL597 CAH597 CKD597 CTZ597 DDV597 DNR597 DXN597 EHJ597 ERF597 FBB597 FKX597 FUT597 GEP597 GOL597 GYH597 HID597 HRZ597 IBV597 ILR597 IVN597 JFJ597 JPF597 JZB597 KIX597 KST597 LCP597 LML597 LWH597 MGD597 MPZ597 MZV597 NJR597 NTN597 ODJ597 ONF597 OXB597 PGX597 PQT597 QAP597 QKL597 QUH597 RED597 RNZ597 RXV597 SHR597 SRN597 TBJ597 TLF597 TVB597 UEX597 UOT597 UYP597 VIL597 VSH597 WCD597 WLZ597 WVV597 JH597 TD597 ACZ597 AMV597 AWR597 BGN597 BQJ597 CAF597 CKB597 CTX597 DDT597 DNP597 DXL597 EHH597 ERD597 FAZ597 FKV597 FUR597 GEN597 GOJ597 GYF597 HIB597 HRX597 IBT597 ILP597 IVL597 JFH597 JPD597 JYZ597 KIV597 KSR597 LCN597 LMJ597 LWF597 MGB597 MPX597 MZT597 NJP597 NTL597 ODH597 OND597 OWZ597 PGV597 PQR597 QAN597 QKJ597 QUF597 REB597 RNX597 RXT597 SHP597 SRL597 TBH597 TLD597 TUZ597 UEV597 UOR597 UYN597 VIJ597 VSF597 WCB597 WVT667 JJ667 TF667 ADB667 AMX667 AWT667 BGP667 BQL667 CAH667 CKD667 CTZ667 DDV667 DNR667 DXN667 EHJ667 ERF667 FBB667 FKX667 FUT667 GEP667 GOL667 GYH667 HID667 HRZ667 IBV667 ILR667 IVN667 JFJ667 JPF667 JZB667 KIX667 KST667 LCP667 LML667 LWH667 MGD667 MPZ667 MZV667 NJR667 NTN667 ODJ667 ONF667 OXB667 PGX667 PQT667 QAP667 QKL667 QUH667 RED667 RNZ667 RXV667 SHR667 SRN667 TBJ667 TLF667 TVB667 UEX667 UOT667 UYP667 VIL667 VSH667 WCD667 WLZ667 WVV667 JH667 TD667 ACZ667 AMV667 AWR667 BGN667 BQJ667 CAF667 CKB667 CTX667 DDT667 DNP667 DXL667 EHH667 ERD667 FAZ667 FKV667 FUR667 GEN667 GOJ667 GYF667 HIB667 HRX667 IBT667 ILP667 IVL667 JFH667 JPD667 JYZ667 KIV667 KSR667 LCN667 LMJ667 LWF667 MGB667 MPX667 MZT667 NJP667 NTL667 ODH667 OND667 OWZ667 PGV667 PQR667 QAN667 QKJ667 QUF667 REB667 RNX667 RXT667 SHP667 SRL667 TBH667 TLD667 TUZ667 UEV667 UOR667 UYN667 VIJ667 VSF667 WCB667 WVT696 N2:N1048576">
      <formula1>5</formula1>
    </dataValidation>
    <dataValidation type="textLength" operator="equal" allowBlank="1" showInputMessage="1" showErrorMessage="1" error="Please make sure you are referring to the correct Contract Number" sqref="WVJ601 IX601 ST601 ACP601 AML601 AWH601 BGD601 BPZ601 BZV601 CJR601 CTN601 DDJ601 DNF601 DXB601 EGX601 EQT601 FAP601 FKL601 FUH601 GED601 GNZ601 GXV601 HHR601 HRN601 IBJ601 ILF601 IVB601 JEX601 JOT601 JYP601 KIL601 KSH601 LCD601 LLZ601 LVV601 MFR601 MPN601 MZJ601 NJF601 NTB601 OCX601 OMT601 OWP601 PGL601 PQH601 QAD601 QJZ601 QTV601 RDR601 RNN601 RXJ601 SHF601 SRB601 TAX601 TKT601 TUP601 UEL601 UOH601 UYD601 VHZ601 VRV601 WBR601 WLN601 B5:B1048576 WLN696 WBR696 VRV696 VHZ696 UYD696 UOH696 UEL696 TUP696 TKT696 TAX696 SRB696 SHF696 RXJ696 RNN696 RDR696 QTV696 QJZ696 QAD696 PQH696 PGL696 OWP696 OMT696 OCX696 NTB696 NJF696 MZJ696 MPN696 MFR696 LVV696 LLZ696 LCD696 KSH696 KIL696 JYP696 JOT696 JEX696 IVB696 ILF696 IBJ696 HRN696 HHR696 GXV696 GNZ696 GED696 FUH696 FKL696 FAP696 EQT696 EGX696 DXB696 DNF696 DDJ696 CTN696 CJR696 BZV696 BPZ696 BGD696 AWH696 AML696 ACP696 ST696 IX696 WVJ667 WVJ597 WLN272 WBR272 VRV272 VHZ272 UYD272 UOH272 UEL272 TUP272 TKT272 TAX272 SRB272 SHF272 RXJ272 RNN272 RDR272 QTV272 QJZ272 QAD272 PQH272 PGL272 OWP272 OMT272 OCX272 NTB272 NJF272 MZJ272 MPN272 MFR272 LVV272 LLZ272 LCD272 KSH272 KIL272 JYP272 JOT272 JEX272 IVB272 ILF272 IBJ272 HRN272 HHR272 GXV272 GNZ272 GED272 FUH272 FKL272 FAP272 EQT272 EGX272 DXB272 DNF272 DDJ272 CTN272 CJR272 BZV272 BPZ272 BGD272 AWH272 AML272 ACP272 ST272 IX272 WVJ209 WLN263 WBR263 VRV263 VHZ263 UYD263 UOH263 UEL263 TUP263 TKT263 TAX263 SRB263 SHF263 RXJ263 RNN263 RDR263 QTV263 QJZ263 QAD263 PQH263 PGL263 OWP263 OMT263 OCX263 NTB263 NJF263 MZJ263 MPN263 MFR263 LVV263 LLZ263 LCD263 KSH263 KIL263 JYP263 JOT263 JEX263 IVB263 ILF263 IBJ263 HRN263 HHR263 GXV263 GNZ263 GED263 FUH263 FKL263 FAP263 EQT263 EGX263 DXB263 DNF263 DDJ263 CTN263 CJR263 BZV263 BPZ263 BGD263 AWH263 AML263 ACP263 ST263 IX263 WVJ263 WLN50 WBR50 VRV50 VHZ50 UYD50 UOH50 UEL50 TUP50 TKT50 TAX50 SRB50 SHF50 RXJ50 RNN50 RDR50 QTV50 QJZ50 QAD50 PQH50 PGL50 OWP50 OMT50 OCX50 NTB50 NJF50 MZJ50 MPN50 MFR50 LVV50 LLZ50 LCD50 KSH50 KIL50 JYP50 JOT50 JEX50 IVB50 ILF50 IBJ50 HRN50 HHR50 GXV50 GNZ50 GED50 FUH50 FKL50 FAP50 EQT50 EGX50 DXB50 DNF50 DDJ50 CTN50 CJR50 BZV50 BPZ50 BGD50 AWH50 AML50 ACP50 ST50 IX50 WVJ50 WLN20 WBR20 VRV20 VHZ20 UYD20 UOH20 UEL20 TUP20 TKT20 TAX20 SRB20 SHF20 RXJ20 RNN20 RDR20 QTV20 QJZ20 QAD20 PQH20 PGL20 OWP20 OMT20 OCX20 NTB20 NJF20 MZJ20 MPN20 MFR20 LVV20 LLZ20 LCD20 KSH20 KIL20 JYP20 JOT20 JEX20 IVB20 ILF20 IBJ20 HRN20 HHR20 GXV20 GNZ20 GED20 FUH20 FKL20 FAP20 EQT20 EGX20 DXB20 DNF20 DDJ20 CTN20 CJR20 BZV20 BPZ20 BGD20 AWH20 AML20 ACP20 ST20 IX20 WVJ20 WLN15 WBR15 VRV15 VHZ15 UYD15 UOH15 UEL15 TUP15 TKT15 TAX15 SRB15 SHF15 RXJ15 RNN15 RDR15 QTV15 QJZ15 QAD15 PQH15 PGL15 OWP15 OMT15 OCX15 NTB15 NJF15 MZJ15 MPN15 MFR15 LVV15 LLZ15 LCD15 KSH15 KIL15 JYP15 JOT15 JEX15 IVB15 ILF15 IBJ15 HRN15 HHR15 GXV15 GNZ15 GED15 FUH15 FKL15 FAP15 EQT15 EGX15 DXB15 DNF15 DDJ15 CTN15 CJR15 BZV15 BPZ15 BGD15 AWH15 AML15 ACP15 ST15 IX15 WVJ15 IX12 ST12 ACP12 AML12 AWH12 BGD12 BPZ12 BZV12 CJR12 CTN12 DDJ12 DNF12 DXB12 EGX12 EQT12 FAP12 FKL12 FUH12 GED12 GNZ12 GXV12 HHR12 HRN12 IBJ12 ILF12 IVB12 JEX12 JOT12 JYP12 KIL12 KSH12 LCD12 LLZ12 LVV12 MFR12 MPN12 MZJ12 NJF12 NTB12 OCX12 OMT12 OWP12 PGL12 PQH12 QAD12 QJZ12 QTV12 RDR12 RNN12 RXJ12 SHF12 SRB12 TAX12 TKT12 TUP12 UEL12 UOH12 UYD12 VHZ12 VRV12 WBR12 WLN12 WVJ540 IX540 ST540 ACP540 AML540 AWH540 BGD540 BPZ540 BZV540 CJR540 CTN540 DDJ540 DNF540 DXB540 EGX540 EQT540 FAP540 FKL540 FUH540 GED540 GNZ540 GXV540 HHR540 HRN540 IBJ540 ILF540 IVB540 JEX540 JOT540 JYP540 KIL540 KSH540 LCD540 LLZ540 LVV540 MFR540 MPN540 MZJ540 NJF540 NTB540 OCX540 OMT540 OWP540 PGL540 PQH540 QAD540 QJZ540 QTV540 RDR540 RNN540 RXJ540 SHF540 SRB540 TAX540 TKT540 TUP540 UEL540 UOH540 UYD540 VHZ540 VRV540 WBR540 WLN540 WVJ12 IX557 ST557 ACP557 AML557 AWH557 BGD557 BPZ557 BZV557 CJR557 CTN557 DDJ557 DNF557 DXB557 EGX557 EQT557 FAP557 FKL557 FUH557 GED557 GNZ557 GXV557 HHR557 HRN557 IBJ557 ILF557 IVB557 JEX557 JOT557 JYP557 KIL557 KSH557 LCD557 LLZ557 LVV557 MFR557 MPN557 MZJ557 NJF557 NTB557 OCX557 OMT557 OWP557 PGL557 PQH557 QAD557 QJZ557 QTV557 RDR557 RNN557 RXJ557 SHF557 SRB557 TAX557 TKT557 TUP557 UEL557 UOH557 UYD557 VHZ557 VRV557 WBR557 WLN557 WVJ557 IX209 ST209 ACP209 AML209 AWH209 BGD209 BPZ209 BZV209 CJR209 CTN209 DDJ209 DNF209 DXB209 EGX209 EQT209 FAP209 FKL209 FUH209 GED209 GNZ209 GXV209 HHR209 HRN209 IBJ209 ILF209 IVB209 JEX209 JOT209 JYP209 KIL209 KSH209 LCD209 LLZ209 LVV209 MFR209 MPN209 MZJ209 NJF209 NTB209 OCX209 OMT209 OWP209 PGL209 PQH209 QAD209 QJZ209 QTV209 RDR209 RNN209 RXJ209 SHF209 SRB209 TAX209 TKT209 TUP209 UEL209 UOH209 UYD209 VHZ209 VRV209 WBR209 WLN209 WVJ283 IX283 ST283 ACP283 AML283 AWH283 BGD283 BPZ283 BZV283 CJR283 CTN283 DDJ283 DNF283 DXB283 EGX283 EQT283 FAP283 FKL283 FUH283 GED283 GNZ283 GXV283 HHR283 HRN283 IBJ283 ILF283 IVB283 JEX283 JOT283 JYP283 KIL283 KSH283 LCD283 LLZ283 LVV283 MFR283 MPN283 MZJ283 NJF283 NTB283 OCX283 OMT283 OWP283 PGL283 PQH283 QAD283 QJZ283 QTV283 RDR283 RNN283 RXJ283 SHF283 SRB283 TAX283 TKT283 TUP283 UEL283 UOH283 UYD283 VHZ283 VRV283 WBR283 WLN283 WVJ312 IX312 ST312 ACP312 AML312 AWH312 BGD312 BPZ312 BZV312 CJR312 CTN312 DDJ312 DNF312 DXB312 EGX312 EQT312 FAP312 FKL312 FUH312 GED312 GNZ312 GXV312 HHR312 HRN312 IBJ312 ILF312 IVB312 JEX312 JOT312 JYP312 KIL312 KSH312 LCD312 LLZ312 LVV312 MFR312 MPN312 MZJ312 NJF312 NTB312 OCX312 OMT312 OWP312 PGL312 PQH312 QAD312 QJZ312 QTV312 RDR312 RNN312 RXJ312 SHF312 SRB312 TAX312 TKT312 TUP312 UEL312 UOH312 UYD312 VHZ312 VRV312 WBR312 WLN312 WVJ318 IX318 ST318 ACP318 AML318 AWH318 BGD318 BPZ318 BZV318 CJR318 CTN318 DDJ318 DNF318 DXB318 EGX318 EQT318 FAP318 FKL318 FUH318 GED318 GNZ318 GXV318 HHR318 HRN318 IBJ318 ILF318 IVB318 JEX318 JOT318 JYP318 KIL318 KSH318 LCD318 LLZ318 LVV318 MFR318 MPN318 MZJ318 NJF318 NTB318 OCX318 OMT318 OWP318 PGL318 PQH318 QAD318 QJZ318 QTV318 RDR318 RNN318 RXJ318 SHF318 SRB318 TAX318 TKT318 TUP318 UEL318 UOH318 UYD318 VHZ318 VRV318 WBR318 WLN318 WVJ272 IX597 ST597 ACP597 AML597 AWH597 BGD597 BPZ597 BZV597 CJR597 CTN597 DDJ597 DNF597 DXB597 EGX597 EQT597 FAP597 FKL597 FUH597 GED597 GNZ597 GXV597 HHR597 HRN597 IBJ597 ILF597 IVB597 JEX597 JOT597 JYP597 KIL597 KSH597 LCD597 LLZ597 LVV597 MFR597 MPN597 MZJ597 NJF597 NTB597 OCX597 OMT597 OWP597 PGL597 PQH597 QAD597 QJZ597 QTV597 RDR597 RNN597 RXJ597 SHF597 SRB597 TAX597 TKT597 TUP597 UEL597 UOH597 UYD597 VHZ597 VRV597 WBR597 WLN597 IX667 ST667 ACP667 AML667 AWH667 BGD667 BPZ667 BZV667 CJR667 CTN667 DDJ667 DNF667 DXB667 EGX667 EQT667 FAP667 FKL667 FUH667 GED667 GNZ667 GXV667 HHR667 HRN667 IBJ667 ILF667 IVB667 JEX667 JOT667 JYP667 KIL667 KSH667 LCD667 LLZ667 LVV667 MFR667 MPN667 MZJ667 NJF667 NTB667 OCX667 OMT667 OWP667 PGL667 PQH667 QAD667 QJZ667 QTV667 RDR667 RNN667 RXJ667 SHF667 SRB667 TAX667 TKT667 TUP667 UEL667 UOH667 UYD667 VHZ667 VRV667 WBR667 WLN667 WVJ696 B2">
      <formula1>8</formula1>
    </dataValidation>
    <dataValidation type="list" allowBlank="1" showInputMessage="1" showErrorMessage="1" sqref="V601 JR601 TN601 ADJ601 ANF601 AXB601 BGX601 BQT601 CAP601 CKL601 CUH601 DED601 DNZ601 DXV601 EHR601 ERN601 FBJ601 FLF601 FVB601 GEX601 GOT601 GYP601 HIL601 HSH601 ICD601 ILZ601 IVV601 JFR601 JPN601 JZJ601 KJF601 KTB601 LCX601 LMT601 LWP601 MGL601 MQH601 NAD601 NJZ601 NTV601 ODR601 ONN601 OXJ601 PHF601 PRB601 QAX601 QKT601 QUP601 REL601 ROH601 RYD601 SHZ601 SRV601 TBR601 TLN601 TVJ601 UFF601 UPB601 UYX601 VIT601 VSP601 WCL601 WMH601 WWD601 WWD696 WMH696 WCL696 VSP696 VIT696 UYX696 UPB696 UFF696 TVJ696 TLN696 TBR696 SRV696 SHZ696 RYD696 ROH696 REL696 QUP696 QKT696 QAX696 PRB696 PHF696 OXJ696 ONN696 ODR696 NTV696 NJZ696 NAD696 MQH696 MGL696 LWP696 LMT696 LCX696 KTB696 KJF696 JZJ696 JPN696 JFR696 IVV696 ILZ696 ICD696 HSH696 HIL696 GYP696 GOT696 GEX696 FVB696 FLF696 FBJ696 ERN696 EHR696 DXV696 DNZ696 DED696 CUH696 CKL696 CAP696 BQT696 BGX696 AXB696 ANF696 ADJ696 TN696 JR696 V696 WWD272 WMH272 WCL272 VSP272 VIT272 UYX272 UPB272 UFF272 TVJ272 TLN272 TBR272 SRV272 SHZ272 RYD272 ROH272 REL272 QUP272 QKT272 QAX272 PRB272 PHF272 OXJ272 ONN272 ODR272 NTV272 NJZ272 NAD272 MQH272 MGL272 LWP272 LMT272 LCX272 KTB272 KJF272 JZJ272 JPN272 JFR272 IVV272 ILZ272 ICD272 HSH272 HIL272 GYP272 GOT272 GEX272 FVB272 FLF272 FBJ272 ERN272 EHR272 DXV272 DNZ272 DED272 CUH272 CKL272 CAP272 BQT272 BGX272 AXB272 ANF272 ADJ272 TN272 JR272 V272 WWD263 WMH263 WCL263 VSP263 VIT263 UYX263 UPB263 UFF263 TVJ263 TLN263 TBR263 SRV263 SHZ263 RYD263 ROH263 REL263 QUP263 QKT263 QAX263 PRB263 PHF263 OXJ263 ONN263 ODR263 NTV263 NJZ263 NAD263 MQH263 MGL263 LWP263 LMT263 LCX263 KTB263 KJF263 JZJ263 JPN263 JFR263 IVV263 ILZ263 ICD263 HSH263 HIL263 GYP263 GOT263 GEX263 FVB263 FLF263 FBJ263 ERN263 EHR263 DXV263 DNZ263 DED263 CUH263 CKL263 CAP263 BQT263 BGX263 AXB263 ANF263 ADJ263 TN263 JR263 V263 WWD50 WMH50 WCL50 VSP50 VIT50 UYX50 UPB50 UFF50 TVJ50 TLN50 TBR50 SRV50 SHZ50 RYD50 ROH50 REL50 QUP50 QKT50 QAX50 PRB50 PHF50 OXJ50 ONN50 ODR50 NTV50 NJZ50 NAD50 MQH50 MGL50 LWP50 LMT50 LCX50 KTB50 KJF50 JZJ50 JPN50 JFR50 IVV50 ILZ50 ICD50 HSH50 HIL50 GYP50 GOT50 GEX50 FVB50 FLF50 FBJ50 ERN50 EHR50 DXV50 DNZ50 DED50 CUH50 CKL50 CAP50 BQT50 BGX50 AXB50 ANF50 ADJ50 TN50 JR50 V50 WWD20 WMH20 WCL20 VSP20 VIT20 UYX20 UPB20 UFF20 TVJ20 TLN20 TBR20 SRV20 SHZ20 RYD20 ROH20 REL20 QUP20 QKT20 QAX20 PRB20 PHF20 OXJ20 ONN20 ODR20 NTV20 NJZ20 NAD20 MQH20 MGL20 LWP20 LMT20 LCX20 KTB20 KJF20 JZJ20 JPN20 JFR20 IVV20 ILZ20 ICD20 HSH20 HIL20 GYP20 GOT20 GEX20 FVB20 FLF20 FBJ20 ERN20 EHR20 DXV20 DNZ20 DED20 CUH20 CKL20 CAP20 BQT20 BGX20 AXB20 ANF20 ADJ20 TN20 JR20 V20 WWD15 WMH15 WCL15 VSP15 VIT15 UYX15 UPB15 UFF15 TVJ15 TLN15 TBR15 SRV15 SHZ15 RYD15 ROH15 REL15 QUP15 QKT15 QAX15 PRB15 PHF15 OXJ15 ONN15 ODR15 NTV15 NJZ15 NAD15 MQH15 MGL15 LWP15 LMT15 LCX15 KTB15 KJF15 JZJ15 JPN15 JFR15 IVV15 ILZ15 ICD15 HSH15 HIL15 GYP15 GOT15 GEX15 FVB15 FLF15 FBJ15 ERN15 EHR15 DXV15 DNZ15 DED15 CUH15 CKL15 CAP15 BQT15 BGX15 AXB15 ANF15 ADJ15 TN15 JR15 V15 JR3:JR4 TN3:TN4 ADJ3:ADJ4 ANF3:ANF4 AXB3:AXB4 BGX3:BGX4 BQT3:BQT4 CAP3:CAP4 CKL3:CKL4 CUH3:CUH4 DED3:DED4 DNZ3:DNZ4 DXV3:DXV4 EHR3:EHR4 ERN3:ERN4 FBJ3:FBJ4 FLF3:FLF4 FVB3:FVB4 GEX3:GEX4 GOT3:GOT4 GYP3:GYP4 HIL3:HIL4 HSH3:HSH4 ICD3:ICD4 ILZ3:ILZ4 IVV3:IVV4 JFR3:JFR4 JPN3:JPN4 JZJ3:JZJ4 KJF3:KJF4 KTB3:KTB4 LCX3:LCX4 LMT3:LMT4 LWP3:LWP4 MGL3:MGL4 MQH3:MQH4 NAD3:NAD4 NJZ3:NJZ4 NTV3:NTV4 ODR3:ODR4 ONN3:ONN4 OXJ3:OXJ4 PHF3:PHF4 PRB3:PRB4 QAX3:QAX4 QKT3:QKT4 QUP3:QUP4 REL3:REL4 ROH3:ROH4 RYD3:RYD4 SHZ3:SHZ4 SRV3:SRV4 TBR3:TBR4 TLN3:TLN4 TVJ3:TVJ4 UFF3:UFF4 UPB3:UPB4 UYX3:UYX4 VIT3:VIT4 VSP3:VSP4 WCL3:WCL4 WMH3:WMH4 WWD3:WWD4 V12 JR12 TN12 ADJ12 ANF12 AXB12 BGX12 BQT12 CAP12 CKL12 CUH12 DED12 DNZ12 DXV12 EHR12 ERN12 FBJ12 FLF12 FVB12 GEX12 GOT12 GYP12 HIL12 HSH12 ICD12 ILZ12 IVV12 JFR12 JPN12 JZJ12 KJF12 KTB12 LCX12 LMT12 LWP12 MGL12 MQH12 NAD12 NJZ12 NTV12 ODR12 ONN12 OXJ12 PHF12 PRB12 QAX12 QKT12 QUP12 REL12 ROH12 RYD12 SHZ12 SRV12 TBR12 TLN12 TVJ12 UFF12 UPB12 UYX12 VIT12 VSP12 WCL12 WMH12 WWD12 V540 JR540 TN540 ADJ540 ANF540 AXB540 BGX540 BQT540 CAP540 CKL540 CUH540 DED540 DNZ540 DXV540 EHR540 ERN540 FBJ540 FLF540 FVB540 GEX540 GOT540 GYP540 HIL540 HSH540 ICD540 ILZ540 IVV540 JFR540 JPN540 JZJ540 KJF540 KTB540 LCX540 LMT540 LWP540 MGL540 MQH540 NAD540 NJZ540 NTV540 ODR540 ONN540 OXJ540 PHF540 PRB540 QAX540 QKT540 QUP540 REL540 ROH540 RYD540 SHZ540 SRV540 TBR540 TLN540 TVJ540 UFF540 UPB540 UYX540 VIT540 VSP540 WCL540 WMH540 WWD540 V557 JR557 TN557 ADJ557 ANF557 AXB557 BGX557 BQT557 CAP557 CKL557 CUH557 DED557 DNZ557 DXV557 EHR557 ERN557 FBJ557 FLF557 FVB557 GEX557 GOT557 GYP557 HIL557 HSH557 ICD557 ILZ557 IVV557 JFR557 JPN557 JZJ557 KJF557 KTB557 LCX557 LMT557 LWP557 MGL557 MQH557 NAD557 NJZ557 NTV557 ODR557 ONN557 OXJ557 PHF557 PRB557 QAX557 QKT557 QUP557 REL557 ROH557 RYD557 SHZ557 SRV557 TBR557 TLN557 TVJ557 UFF557 UPB557 UYX557 VIT557 VSP557 WCL557 WMH557 WWD557 V209 JR209 TN209 ADJ209 ANF209 AXB209 BGX209 BQT209 CAP209 CKL209 CUH209 DED209 DNZ209 DXV209 EHR209 ERN209 FBJ209 FLF209 FVB209 GEX209 GOT209 GYP209 HIL209 HSH209 ICD209 ILZ209 IVV209 JFR209 JPN209 JZJ209 KJF209 KTB209 LCX209 LMT209 LWP209 MGL209 MQH209 NAD209 NJZ209 NTV209 ODR209 ONN209 OXJ209 PHF209 PRB209 QAX209 QKT209 QUP209 REL209 ROH209 RYD209 SHZ209 SRV209 TBR209 TLN209 TVJ209 UFF209 UPB209 UYX209 VIT209 VSP209 WCL209 WMH209 WWD209 V283 JR283 TN283 ADJ283 ANF283 AXB283 BGX283 BQT283 CAP283 CKL283 CUH283 DED283 DNZ283 DXV283 EHR283 ERN283 FBJ283 FLF283 FVB283 GEX283 GOT283 GYP283 HIL283 HSH283 ICD283 ILZ283 IVV283 JFR283 JPN283 JZJ283 KJF283 KTB283 LCX283 LMT283 LWP283 MGL283 MQH283 NAD283 NJZ283 NTV283 ODR283 ONN283 OXJ283 PHF283 PRB283 QAX283 QKT283 QUP283 REL283 ROH283 RYD283 SHZ283 SRV283 TBR283 TLN283 TVJ283 UFF283 UPB283 UYX283 VIT283 VSP283 WCL283 WMH283 WWD283 V312 JR312 TN312 ADJ312 ANF312 AXB312 BGX312 BQT312 CAP312 CKL312 CUH312 DED312 DNZ312 DXV312 EHR312 ERN312 FBJ312 FLF312 FVB312 GEX312 GOT312 GYP312 HIL312 HSH312 ICD312 ILZ312 IVV312 JFR312 JPN312 JZJ312 KJF312 KTB312 LCX312 LMT312 LWP312 MGL312 MQH312 NAD312 NJZ312 NTV312 ODR312 ONN312 OXJ312 PHF312 PRB312 QAX312 QKT312 QUP312 REL312 ROH312 RYD312 SHZ312 SRV312 TBR312 TLN312 TVJ312 UFF312 UPB312 UYX312 VIT312 VSP312 WCL312 WMH312 WWD312 V318 JR318 TN318 ADJ318 ANF318 AXB318 BGX318 BQT318 CAP318 CKL318 CUH318 DED318 DNZ318 DXV318 EHR318 ERN318 FBJ318 FLF318 FVB318 GEX318 GOT318 GYP318 HIL318 HSH318 ICD318 ILZ318 IVV318 JFR318 JPN318 JZJ318 KJF318 KTB318 LCX318 LMT318 LWP318 MGL318 MQH318 NAD318 NJZ318 NTV318 ODR318 ONN318 OXJ318 PHF318 PRB318 QAX318 QKT318 QUP318 REL318 ROH318 RYD318 SHZ318 SRV318 TBR318 TLN318 TVJ318 UFF318 UPB318 UYX318 VIT318 VSP318 WCL318 WMH318 WWD318 V597 JR597 TN597 ADJ597 ANF597 AXB597 BGX597 BQT597 CAP597 CKL597 CUH597 DED597 DNZ597 DXV597 EHR597 ERN597 FBJ597 FLF597 FVB597 GEX597 GOT597 GYP597 HIL597 HSH597 ICD597 ILZ597 IVV597 JFR597 JPN597 JZJ597 KJF597 KTB597 LCX597 LMT597 LWP597 MGL597 MQH597 NAD597 NJZ597 NTV597 ODR597 ONN597 OXJ597 PHF597 PRB597 QAX597 QKT597 QUP597 REL597 ROH597 RYD597 SHZ597 SRV597 TBR597 TLN597 TVJ597 UFF597 UPB597 UYX597 VIT597 VSP597 WCL597 WMH597 WWD597 V667 JR667 TN667 ADJ667 ANF667 AXB667 BGX667 BQT667 CAP667 CKL667 CUH667 DED667 DNZ667 DXV667 EHR667 ERN667 FBJ667 FLF667 FVB667 GEX667 GOT667 GYP667 HIL667 HSH667 ICD667 ILZ667 IVV667 JFR667 JPN667 JZJ667 KJF667 KTB667 LCX667 LMT667 LWP667 MGL667 MQH667 NAD667 NJZ667 NTV667 ODR667 ONN667 OXJ667 PHF667 PRB667 QAX667 QKT667 QUP667 REL667 ROH667 RYD667 SHZ667 SRV667 TBR667 TLN667 TVJ667 UFF667 UPB667 UYX667 VIT667 VSP667 WCL667 WMH667 WWD667 V3:V4">
      <formula1>[1]Dropdowns!$E$1:$E$5</formula1>
    </dataValidation>
    <dataValidation type="list" allowBlank="1" showInputMessage="1" showErrorMessage="1" sqref="O601 JK601 TG601 ADC601 AMY601 AWU601 BGQ601 BQM601 CAI601 CKE601 CUA601 DDW601 DNS601 DXO601 EHK601 ERG601 FBC601 FKY601 FUU601 GEQ601 GOM601 GYI601 HIE601 HSA601 IBW601 ILS601 IVO601 JFK601 JPG601 JZC601 KIY601 KSU601 LCQ601 LMM601 LWI601 MGE601 MQA601 MZW601 NJS601 NTO601 ODK601 ONG601 OXC601 PGY601 PQU601 QAQ601 QKM601 QUI601 REE601 ROA601 RXW601 SHS601 SRO601 TBK601 TLG601 TVC601 UEY601 UOU601 UYQ601 VIM601 VSI601 WCE601 WMA601 WVW601 WVW696 WMA696 WCE696 VSI696 VIM696 UYQ696 UOU696 UEY696 TVC696 TLG696 TBK696 SRO696 SHS696 RXW696 ROA696 REE696 QUI696 QKM696 QAQ696 PQU696 PGY696 OXC696 ONG696 ODK696 NTO696 NJS696 MZW696 MQA696 MGE696 LWI696 LMM696 LCQ696 KSU696 KIY696 JZC696 JPG696 JFK696 IVO696 ILS696 IBW696 HSA696 HIE696 GYI696 GOM696 GEQ696 FUU696 FKY696 FBC696 ERG696 EHK696 DXO696 DNS696 DDW696 CUA696 CKE696 CAI696 BQM696 BGQ696 AWU696 AMY696 ADC696 TG696 JK696 O696 WVW272 WMA272 WCE272 VSI272 VIM272 UYQ272 UOU272 UEY272 TVC272 TLG272 TBK272 SRO272 SHS272 RXW272 ROA272 REE272 QUI272 QKM272 QAQ272 PQU272 PGY272 OXC272 ONG272 ODK272 NTO272 NJS272 MZW272 MQA272 MGE272 LWI272 LMM272 LCQ272 KSU272 KIY272 JZC272 JPG272 JFK272 IVO272 ILS272 IBW272 HSA272 HIE272 GYI272 GOM272 GEQ272 FUU272 FKY272 FBC272 ERG272 EHK272 DXO272 DNS272 DDW272 CUA272 CKE272 CAI272 BQM272 BGQ272 AWU272 AMY272 ADC272 TG272 JK272 O272 WVW263 WMA263 WCE263 VSI263 VIM263 UYQ263 UOU263 UEY263 TVC263 TLG263 TBK263 SRO263 SHS263 RXW263 ROA263 REE263 QUI263 QKM263 QAQ263 PQU263 PGY263 OXC263 ONG263 ODK263 NTO263 NJS263 MZW263 MQA263 MGE263 LWI263 LMM263 LCQ263 KSU263 KIY263 JZC263 JPG263 JFK263 IVO263 ILS263 IBW263 HSA263 HIE263 GYI263 GOM263 GEQ263 FUU263 FKY263 FBC263 ERG263 EHK263 DXO263 DNS263 DDW263 CUA263 CKE263 CAI263 BQM263 BGQ263 AWU263 AMY263 ADC263 TG263 JK263 O263 WVW50 WMA50 WCE50 VSI50 VIM50 UYQ50 UOU50 UEY50 TVC50 TLG50 TBK50 SRO50 SHS50 RXW50 ROA50 REE50 QUI50 QKM50 QAQ50 PQU50 PGY50 OXC50 ONG50 ODK50 NTO50 NJS50 MZW50 MQA50 MGE50 LWI50 LMM50 LCQ50 KSU50 KIY50 JZC50 JPG50 JFK50 IVO50 ILS50 IBW50 HSA50 HIE50 GYI50 GOM50 GEQ50 FUU50 FKY50 FBC50 ERG50 EHK50 DXO50 DNS50 DDW50 CUA50 CKE50 CAI50 BQM50 BGQ50 AWU50 AMY50 ADC50 TG50 JK50 O50 WVW20 WMA20 WCE20 VSI20 VIM20 UYQ20 UOU20 UEY20 TVC20 TLG20 TBK20 SRO20 SHS20 RXW20 ROA20 REE20 QUI20 QKM20 QAQ20 PQU20 PGY20 OXC20 ONG20 ODK20 NTO20 NJS20 MZW20 MQA20 MGE20 LWI20 LMM20 LCQ20 KSU20 KIY20 JZC20 JPG20 JFK20 IVO20 ILS20 IBW20 HSA20 HIE20 GYI20 GOM20 GEQ20 FUU20 FKY20 FBC20 ERG20 EHK20 DXO20 DNS20 DDW20 CUA20 CKE20 CAI20 BQM20 BGQ20 AWU20 AMY20 ADC20 TG20 JK20 O20 WVW15 WMA15 WCE15 VSI15 VIM15 UYQ15 UOU15 UEY15 TVC15 TLG15 TBK15 SRO15 SHS15 RXW15 ROA15 REE15 QUI15 QKM15 QAQ15 PQU15 PGY15 OXC15 ONG15 ODK15 NTO15 NJS15 MZW15 MQA15 MGE15 LWI15 LMM15 LCQ15 KSU15 KIY15 JZC15 JPG15 JFK15 IVO15 ILS15 IBW15 HSA15 HIE15 GYI15 GOM15 GEQ15 FUU15 FKY15 FBC15 ERG15 EHK15 DXO15 DNS15 DDW15 CUA15 CKE15 CAI15 BQM15 BGQ15 AWU15 AMY15 ADC15 TG15 JK15 O15 JK3:JK4 TG3:TG4 ADC3:ADC4 AMY3:AMY4 AWU3:AWU4 BGQ3:BGQ4 BQM3:BQM4 CAI3:CAI4 CKE3:CKE4 CUA3:CUA4 DDW3:DDW4 DNS3:DNS4 DXO3:DXO4 EHK3:EHK4 ERG3:ERG4 FBC3:FBC4 FKY3:FKY4 FUU3:FUU4 GEQ3:GEQ4 GOM3:GOM4 GYI3:GYI4 HIE3:HIE4 HSA3:HSA4 IBW3:IBW4 ILS3:ILS4 IVO3:IVO4 JFK3:JFK4 JPG3:JPG4 JZC3:JZC4 KIY3:KIY4 KSU3:KSU4 LCQ3:LCQ4 LMM3:LMM4 LWI3:LWI4 MGE3:MGE4 MQA3:MQA4 MZW3:MZW4 NJS3:NJS4 NTO3:NTO4 ODK3:ODK4 ONG3:ONG4 OXC3:OXC4 PGY3:PGY4 PQU3:PQU4 QAQ3:QAQ4 QKM3:QKM4 QUI3:QUI4 REE3:REE4 ROA3:ROA4 RXW3:RXW4 SHS3:SHS4 SRO3:SRO4 TBK3:TBK4 TLG3:TLG4 TVC3:TVC4 UEY3:UEY4 UOU3:UOU4 UYQ3:UYQ4 VIM3:VIM4 VSI3:VSI4 WCE3:WCE4 WMA3:WMA4 WVW3:WVW4 O12 JK12 TG12 ADC12 AMY12 AWU12 BGQ12 BQM12 CAI12 CKE12 CUA12 DDW12 DNS12 DXO12 EHK12 ERG12 FBC12 FKY12 FUU12 GEQ12 GOM12 GYI12 HIE12 HSA12 IBW12 ILS12 IVO12 JFK12 JPG12 JZC12 KIY12 KSU12 LCQ12 LMM12 LWI12 MGE12 MQA12 MZW12 NJS12 NTO12 ODK12 ONG12 OXC12 PGY12 PQU12 QAQ12 QKM12 QUI12 REE12 ROA12 RXW12 SHS12 SRO12 TBK12 TLG12 TVC12 UEY12 UOU12 UYQ12 VIM12 VSI12 WCE12 WMA12 WVW12 O540 JK540 TG540 ADC540 AMY540 AWU540 BGQ540 BQM540 CAI540 CKE540 CUA540 DDW540 DNS540 DXO540 EHK540 ERG540 FBC540 FKY540 FUU540 GEQ540 GOM540 GYI540 HIE540 HSA540 IBW540 ILS540 IVO540 JFK540 JPG540 JZC540 KIY540 KSU540 LCQ540 LMM540 LWI540 MGE540 MQA540 MZW540 NJS540 NTO540 ODK540 ONG540 OXC540 PGY540 PQU540 QAQ540 QKM540 QUI540 REE540 ROA540 RXW540 SHS540 SRO540 TBK540 TLG540 TVC540 UEY540 UOU540 UYQ540 VIM540 VSI540 WCE540 WMA540 WVW540 O557 JK557 TG557 ADC557 AMY557 AWU557 BGQ557 BQM557 CAI557 CKE557 CUA557 DDW557 DNS557 DXO557 EHK557 ERG557 FBC557 FKY557 FUU557 GEQ557 GOM557 GYI557 HIE557 HSA557 IBW557 ILS557 IVO557 JFK557 JPG557 JZC557 KIY557 KSU557 LCQ557 LMM557 LWI557 MGE557 MQA557 MZW557 NJS557 NTO557 ODK557 ONG557 OXC557 PGY557 PQU557 QAQ557 QKM557 QUI557 REE557 ROA557 RXW557 SHS557 SRO557 TBK557 TLG557 TVC557 UEY557 UOU557 UYQ557 VIM557 VSI557 WCE557 WMA557 WVW557 O209 JK209 TG209 ADC209 AMY209 AWU209 BGQ209 BQM209 CAI209 CKE209 CUA209 DDW209 DNS209 DXO209 EHK209 ERG209 FBC209 FKY209 FUU209 GEQ209 GOM209 GYI209 HIE209 HSA209 IBW209 ILS209 IVO209 JFK209 JPG209 JZC209 KIY209 KSU209 LCQ209 LMM209 LWI209 MGE209 MQA209 MZW209 NJS209 NTO209 ODK209 ONG209 OXC209 PGY209 PQU209 QAQ209 QKM209 QUI209 REE209 ROA209 RXW209 SHS209 SRO209 TBK209 TLG209 TVC209 UEY209 UOU209 UYQ209 VIM209 VSI209 WCE209 WMA209 WVW209 O283 JK283 TG283 ADC283 AMY283 AWU283 BGQ283 BQM283 CAI283 CKE283 CUA283 DDW283 DNS283 DXO283 EHK283 ERG283 FBC283 FKY283 FUU283 GEQ283 GOM283 GYI283 HIE283 HSA283 IBW283 ILS283 IVO283 JFK283 JPG283 JZC283 KIY283 KSU283 LCQ283 LMM283 LWI283 MGE283 MQA283 MZW283 NJS283 NTO283 ODK283 ONG283 OXC283 PGY283 PQU283 QAQ283 QKM283 QUI283 REE283 ROA283 RXW283 SHS283 SRO283 TBK283 TLG283 TVC283 UEY283 UOU283 UYQ283 VIM283 VSI283 WCE283 WMA283 WVW283 O312 JK312 TG312 ADC312 AMY312 AWU312 BGQ312 BQM312 CAI312 CKE312 CUA312 DDW312 DNS312 DXO312 EHK312 ERG312 FBC312 FKY312 FUU312 GEQ312 GOM312 GYI312 HIE312 HSA312 IBW312 ILS312 IVO312 JFK312 JPG312 JZC312 KIY312 KSU312 LCQ312 LMM312 LWI312 MGE312 MQA312 MZW312 NJS312 NTO312 ODK312 ONG312 OXC312 PGY312 PQU312 QAQ312 QKM312 QUI312 REE312 ROA312 RXW312 SHS312 SRO312 TBK312 TLG312 TVC312 UEY312 UOU312 UYQ312 VIM312 VSI312 WCE312 WMA312 WVW312 O318 JK318 TG318 ADC318 AMY318 AWU318 BGQ318 BQM318 CAI318 CKE318 CUA318 DDW318 DNS318 DXO318 EHK318 ERG318 FBC318 FKY318 FUU318 GEQ318 GOM318 GYI318 HIE318 HSA318 IBW318 ILS318 IVO318 JFK318 JPG318 JZC318 KIY318 KSU318 LCQ318 LMM318 LWI318 MGE318 MQA318 MZW318 NJS318 NTO318 ODK318 ONG318 OXC318 PGY318 PQU318 QAQ318 QKM318 QUI318 REE318 ROA318 RXW318 SHS318 SRO318 TBK318 TLG318 TVC318 UEY318 UOU318 UYQ318 VIM318 VSI318 WCE318 WMA318 WVW318 O597 JK597 TG597 ADC597 AMY597 AWU597 BGQ597 BQM597 CAI597 CKE597 CUA597 DDW597 DNS597 DXO597 EHK597 ERG597 FBC597 FKY597 FUU597 GEQ597 GOM597 GYI597 HIE597 HSA597 IBW597 ILS597 IVO597 JFK597 JPG597 JZC597 KIY597 KSU597 LCQ597 LMM597 LWI597 MGE597 MQA597 MZW597 NJS597 NTO597 ODK597 ONG597 OXC597 PGY597 PQU597 QAQ597 QKM597 QUI597 REE597 ROA597 RXW597 SHS597 SRO597 TBK597 TLG597 TVC597 UEY597 UOU597 UYQ597 VIM597 VSI597 WCE597 WMA597 WVW597 O667 JK667 TG667 ADC667 AMY667 AWU667 BGQ667 BQM667 CAI667 CKE667 CUA667 DDW667 DNS667 DXO667 EHK667 ERG667 FBC667 FKY667 FUU667 GEQ667 GOM667 GYI667 HIE667 HSA667 IBW667 ILS667 IVO667 JFK667 JPG667 JZC667 KIY667 KSU667 LCQ667 LMM667 LWI667 MGE667 MQA667 MZW667 NJS667 NTO667 ODK667 ONG667 OXC667 PGY667 PQU667 QAQ667 QKM667 QUI667 REE667 ROA667 RXW667 SHS667 SRO667 TBK667 TLG667 TVC667 UEY667 UOU667 UYQ667 VIM667 VSI667 WCE667 WMA667 WVW667 O3:O4">
      <formula1>[1]Dropdowns!$C$1:$C$2</formula1>
    </dataValidation>
    <dataValidation type="list" allowBlank="1" showInputMessage="1" showErrorMessage="1" sqref="D601 IZ601 SV601 ACR601 AMN601 AWJ601 BGF601 BQB601 BZX601 CJT601 CTP601 DDL601 DNH601 DXD601 EGZ601 EQV601 FAR601 FKN601 FUJ601 GEF601 GOB601 GXX601 HHT601 HRP601 IBL601 ILH601 IVD601 JEZ601 JOV601 JYR601 KIN601 KSJ601 LCF601 LMB601 LVX601 MFT601 MPP601 MZL601 NJH601 NTD601 OCZ601 OMV601 OWR601 PGN601 PQJ601 QAF601 QKB601 QTX601 RDT601 RNP601 RXL601 SHH601 SRD601 TAZ601 TKV601 TUR601 UEN601 UOJ601 UYF601 VIB601 VRX601 WBT601 WLP601 WVL601 WVL696 WLP696 WBT696 VRX696 VIB696 UYF696 UOJ696 UEN696 TUR696 TKV696 TAZ696 SRD696 SHH696 RXL696 RNP696 RDT696 QTX696 QKB696 QAF696 PQJ696 PGN696 OWR696 OMV696 OCZ696 NTD696 NJH696 MZL696 MPP696 MFT696 LVX696 LMB696 LCF696 KSJ696 KIN696 JYR696 JOV696 JEZ696 IVD696 ILH696 IBL696 HRP696 HHT696 GXX696 GOB696 GEF696 FUJ696 FKN696 FAR696 EQV696 EGZ696 DXD696 DNH696 DDL696 CTP696 CJT696 BZX696 BQB696 BGF696 AWJ696 AMN696 ACR696 SV696 IZ696 D696 WVL272 WLP272 WBT272 VRX272 VIB272 UYF272 UOJ272 UEN272 TUR272 TKV272 TAZ272 SRD272 SHH272 RXL272 RNP272 RDT272 QTX272 QKB272 QAF272 PQJ272 PGN272 OWR272 OMV272 OCZ272 NTD272 NJH272 MZL272 MPP272 MFT272 LVX272 LMB272 LCF272 KSJ272 KIN272 JYR272 JOV272 JEZ272 IVD272 ILH272 IBL272 HRP272 HHT272 GXX272 GOB272 GEF272 FUJ272 FKN272 FAR272 EQV272 EGZ272 DXD272 DNH272 DDL272 CTP272 CJT272 BZX272 BQB272 BGF272 AWJ272 AMN272 ACR272 SV272 IZ272 D272 WVL263 WLP263 WBT263 VRX263 VIB263 UYF263 UOJ263 UEN263 TUR263 TKV263 TAZ263 SRD263 SHH263 RXL263 RNP263 RDT263 QTX263 QKB263 QAF263 PQJ263 PGN263 OWR263 OMV263 OCZ263 NTD263 NJH263 MZL263 MPP263 MFT263 LVX263 LMB263 LCF263 KSJ263 KIN263 JYR263 JOV263 JEZ263 IVD263 ILH263 IBL263 HRP263 HHT263 GXX263 GOB263 GEF263 FUJ263 FKN263 FAR263 EQV263 EGZ263 DXD263 DNH263 DDL263 CTP263 CJT263 BZX263 BQB263 BGF263 AWJ263 AMN263 ACR263 SV263 IZ263 D263 WVL50 WLP50 WBT50 VRX50 VIB50 UYF50 UOJ50 UEN50 TUR50 TKV50 TAZ50 SRD50 SHH50 RXL50 RNP50 RDT50 QTX50 QKB50 QAF50 PQJ50 PGN50 OWR50 OMV50 OCZ50 NTD50 NJH50 MZL50 MPP50 MFT50 LVX50 LMB50 LCF50 KSJ50 KIN50 JYR50 JOV50 JEZ50 IVD50 ILH50 IBL50 HRP50 HHT50 GXX50 GOB50 GEF50 FUJ50 FKN50 FAR50 EQV50 EGZ50 DXD50 DNH50 DDL50 CTP50 CJT50 BZX50 BQB50 BGF50 AWJ50 AMN50 ACR50 SV50 IZ50 D50 WVL20 WLP20 WBT20 VRX20 VIB20 UYF20 UOJ20 UEN20 TUR20 TKV20 TAZ20 SRD20 SHH20 RXL20 RNP20 RDT20 QTX20 QKB20 QAF20 PQJ20 PGN20 OWR20 OMV20 OCZ20 NTD20 NJH20 MZL20 MPP20 MFT20 LVX20 LMB20 LCF20 KSJ20 KIN20 JYR20 JOV20 JEZ20 IVD20 ILH20 IBL20 HRP20 HHT20 GXX20 GOB20 GEF20 FUJ20 FKN20 FAR20 EQV20 EGZ20 DXD20 DNH20 DDL20 CTP20 CJT20 BZX20 BQB20 BGF20 AWJ20 AMN20 ACR20 SV20 IZ20 D20 WVL15 WLP15 WBT15 VRX15 VIB15 UYF15 UOJ15 UEN15 TUR15 TKV15 TAZ15 SRD15 SHH15 RXL15 RNP15 RDT15 QTX15 QKB15 QAF15 PQJ15 PGN15 OWR15 OMV15 OCZ15 NTD15 NJH15 MZL15 MPP15 MFT15 LVX15 LMB15 LCF15 KSJ15 KIN15 JYR15 JOV15 JEZ15 IVD15 ILH15 IBL15 HRP15 HHT15 GXX15 GOB15 GEF15 FUJ15 FKN15 FAR15 EQV15 EGZ15 DXD15 DNH15 DDL15 CTP15 CJT15 BZX15 BQB15 BGF15 AWJ15 AMN15 ACR15 SV15 IZ15 D15 IZ3:IZ4 SV3:SV4 ACR3:ACR4 AMN3:AMN4 AWJ3:AWJ4 BGF3:BGF4 BQB3:BQB4 BZX3:BZX4 CJT3:CJT4 CTP3:CTP4 DDL3:DDL4 DNH3:DNH4 DXD3:DXD4 EGZ3:EGZ4 EQV3:EQV4 FAR3:FAR4 FKN3:FKN4 FUJ3:FUJ4 GEF3:GEF4 GOB3:GOB4 GXX3:GXX4 HHT3:HHT4 HRP3:HRP4 IBL3:IBL4 ILH3:ILH4 IVD3:IVD4 JEZ3:JEZ4 JOV3:JOV4 JYR3:JYR4 KIN3:KIN4 KSJ3:KSJ4 LCF3:LCF4 LMB3:LMB4 LVX3:LVX4 MFT3:MFT4 MPP3:MPP4 MZL3:MZL4 NJH3:NJH4 NTD3:NTD4 OCZ3:OCZ4 OMV3:OMV4 OWR3:OWR4 PGN3:PGN4 PQJ3:PQJ4 QAF3:QAF4 QKB3:QKB4 QTX3:QTX4 RDT3:RDT4 RNP3:RNP4 RXL3:RXL4 SHH3:SHH4 SRD3:SRD4 TAZ3:TAZ4 TKV3:TKV4 TUR3:TUR4 UEN3:UEN4 UOJ3:UOJ4 UYF3:UYF4 VIB3:VIB4 VRX3:VRX4 WBT3:WBT4 WLP3:WLP4 WVL3:WVL4 D12 IZ12 SV12 ACR12 AMN12 AWJ12 BGF12 BQB12 BZX12 CJT12 CTP12 DDL12 DNH12 DXD12 EGZ12 EQV12 FAR12 FKN12 FUJ12 GEF12 GOB12 GXX12 HHT12 HRP12 IBL12 ILH12 IVD12 JEZ12 JOV12 JYR12 KIN12 KSJ12 LCF12 LMB12 LVX12 MFT12 MPP12 MZL12 NJH12 NTD12 OCZ12 OMV12 OWR12 PGN12 PQJ12 QAF12 QKB12 QTX12 RDT12 RNP12 RXL12 SHH12 SRD12 TAZ12 TKV12 TUR12 UEN12 UOJ12 UYF12 VIB12 VRX12 WBT12 WLP12 WVL12 D540 IZ540 SV540 ACR540 AMN540 AWJ540 BGF540 BQB540 BZX540 CJT540 CTP540 DDL540 DNH540 DXD540 EGZ540 EQV540 FAR540 FKN540 FUJ540 GEF540 GOB540 GXX540 HHT540 HRP540 IBL540 ILH540 IVD540 JEZ540 JOV540 JYR540 KIN540 KSJ540 LCF540 LMB540 LVX540 MFT540 MPP540 MZL540 NJH540 NTD540 OCZ540 OMV540 OWR540 PGN540 PQJ540 QAF540 QKB540 QTX540 RDT540 RNP540 RXL540 SHH540 SRD540 TAZ540 TKV540 TUR540 UEN540 UOJ540 UYF540 VIB540 VRX540 WBT540 WLP540 WVL540 D557 IZ557 SV557 ACR557 AMN557 AWJ557 BGF557 BQB557 BZX557 CJT557 CTP557 DDL557 DNH557 DXD557 EGZ557 EQV557 FAR557 FKN557 FUJ557 GEF557 GOB557 GXX557 HHT557 HRP557 IBL557 ILH557 IVD557 JEZ557 JOV557 JYR557 KIN557 KSJ557 LCF557 LMB557 LVX557 MFT557 MPP557 MZL557 NJH557 NTD557 OCZ557 OMV557 OWR557 PGN557 PQJ557 QAF557 QKB557 QTX557 RDT557 RNP557 RXL557 SHH557 SRD557 TAZ557 TKV557 TUR557 UEN557 UOJ557 UYF557 VIB557 VRX557 WBT557 WLP557 WVL557 D209 IZ209 SV209 ACR209 AMN209 AWJ209 BGF209 BQB209 BZX209 CJT209 CTP209 DDL209 DNH209 DXD209 EGZ209 EQV209 FAR209 FKN209 FUJ209 GEF209 GOB209 GXX209 HHT209 HRP209 IBL209 ILH209 IVD209 JEZ209 JOV209 JYR209 KIN209 KSJ209 LCF209 LMB209 LVX209 MFT209 MPP209 MZL209 NJH209 NTD209 OCZ209 OMV209 OWR209 PGN209 PQJ209 QAF209 QKB209 QTX209 RDT209 RNP209 RXL209 SHH209 SRD209 TAZ209 TKV209 TUR209 UEN209 UOJ209 UYF209 VIB209 VRX209 WBT209 WLP209 WVL209 D283 IZ283 SV283 ACR283 AMN283 AWJ283 BGF283 BQB283 BZX283 CJT283 CTP283 DDL283 DNH283 DXD283 EGZ283 EQV283 FAR283 FKN283 FUJ283 GEF283 GOB283 GXX283 HHT283 HRP283 IBL283 ILH283 IVD283 JEZ283 JOV283 JYR283 KIN283 KSJ283 LCF283 LMB283 LVX283 MFT283 MPP283 MZL283 NJH283 NTD283 OCZ283 OMV283 OWR283 PGN283 PQJ283 QAF283 QKB283 QTX283 RDT283 RNP283 RXL283 SHH283 SRD283 TAZ283 TKV283 TUR283 UEN283 UOJ283 UYF283 VIB283 VRX283 WBT283 WLP283 WVL283 D312 IZ312 SV312 ACR312 AMN312 AWJ312 BGF312 BQB312 BZX312 CJT312 CTP312 DDL312 DNH312 DXD312 EGZ312 EQV312 FAR312 FKN312 FUJ312 GEF312 GOB312 GXX312 HHT312 HRP312 IBL312 ILH312 IVD312 JEZ312 JOV312 JYR312 KIN312 KSJ312 LCF312 LMB312 LVX312 MFT312 MPP312 MZL312 NJH312 NTD312 OCZ312 OMV312 OWR312 PGN312 PQJ312 QAF312 QKB312 QTX312 RDT312 RNP312 RXL312 SHH312 SRD312 TAZ312 TKV312 TUR312 UEN312 UOJ312 UYF312 VIB312 VRX312 WBT312 WLP312 WVL312 D318 IZ318 SV318 ACR318 AMN318 AWJ318 BGF318 BQB318 BZX318 CJT318 CTP318 DDL318 DNH318 DXD318 EGZ318 EQV318 FAR318 FKN318 FUJ318 GEF318 GOB318 GXX318 HHT318 HRP318 IBL318 ILH318 IVD318 JEZ318 JOV318 JYR318 KIN318 KSJ318 LCF318 LMB318 LVX318 MFT318 MPP318 MZL318 NJH318 NTD318 OCZ318 OMV318 OWR318 PGN318 PQJ318 QAF318 QKB318 QTX318 RDT318 RNP318 RXL318 SHH318 SRD318 TAZ318 TKV318 TUR318 UEN318 UOJ318 UYF318 VIB318 VRX318 WBT318 WLP318 WVL318 D597 IZ597 SV597 ACR597 AMN597 AWJ597 BGF597 BQB597 BZX597 CJT597 CTP597 DDL597 DNH597 DXD597 EGZ597 EQV597 FAR597 FKN597 FUJ597 GEF597 GOB597 GXX597 HHT597 HRP597 IBL597 ILH597 IVD597 JEZ597 JOV597 JYR597 KIN597 KSJ597 LCF597 LMB597 LVX597 MFT597 MPP597 MZL597 NJH597 NTD597 OCZ597 OMV597 OWR597 PGN597 PQJ597 QAF597 QKB597 QTX597 RDT597 RNP597 RXL597 SHH597 SRD597 TAZ597 TKV597 TUR597 UEN597 UOJ597 UYF597 VIB597 VRX597 WBT597 WLP597 WVL597 D667 IZ667 SV667 ACR667 AMN667 AWJ667 BGF667 BQB667 BZX667 CJT667 CTP667 DDL667 DNH667 DXD667 EGZ667 EQV667 FAR667 FKN667 FUJ667 GEF667 GOB667 GXX667 HHT667 HRP667 IBL667 ILH667 IVD667 JEZ667 JOV667 JYR667 KIN667 KSJ667 LCF667 LMB667 LVX667 MFT667 MPP667 MZL667 NJH667 NTD667 OCZ667 OMV667 OWR667 PGN667 PQJ667 QAF667 QKB667 QTX667 RDT667 RNP667 RXL667 SHH667 SRD667 TAZ667 TKV667 TUR667 UEN667 UOJ667 UYF667 VIB667 VRX667 WBT667 WLP667 WVL667 D3:D4">
      <formula1>[1]Dropdowns!$A$1:$A$6</formula1>
    </dataValidation>
    <dataValidation type="list" allowBlank="1" showInputMessage="1" showErrorMessage="1" sqref="D2 D602:D666 D668:D693 D697:D1001 D598:D600 D264:D271 D210:D262 D21:D49 D16:D19 D13:D14 D5:D11 D541:D556 D51:D208 D273:D282 D284:D311 D313:D317 D558:D596 D695 D319:D539">
      <formula1>Dropdowns!$A$1:$A$6</formula1>
    </dataValidation>
    <dataValidation type="list" allowBlank="1" showInputMessage="1" showErrorMessage="1" sqref="O2 O602:O666 O668:O693 O697:O1048576 O598:O600 O264:O271 O210:O262 O21:O49 O16:O19 O13:O14 O5:O11 O541:O556 O51:O208 O273:O282 O284:O311 O313:O317 O558:O596 O695 O319:O539">
      <formula1>Dropdowns!$C$1:$C$2</formula1>
    </dataValidation>
    <dataValidation type="list" allowBlank="1" showInputMessage="1" showErrorMessage="1" sqref="V2 V602:V666 V693 V668:V691 V697:V1048576 V598:V600 V264:V271 V210:V262 V21:V49 V16:V19 V13:V14 V5:V11 V541:V556 V51:V208 V273:V282 V284:V311 V313:V317 V558:V596 V695 V319:V539">
      <formula1>Dropdowns!$E$1:$E$5</formula1>
    </dataValidation>
    <dataValidation type="list" allowBlank="1" showInputMessage="1" showErrorMessage="1" sqref="V692 V694">
      <formula1>[2]Dropdowns!$E$1:$E$5</formula1>
    </dataValidation>
    <dataValidation type="list" allowBlank="1" showInputMessage="1" showErrorMessage="1" sqref="O694">
      <formula1>[2]Dropdowns!$C$1:$C$2</formula1>
    </dataValidation>
    <dataValidation type="list" allowBlank="1" showInputMessage="1" showErrorMessage="1" sqref="D694">
      <formula1>[2]Dropdowns!$A$1:$A$6</formula1>
    </dataValidation>
    <dataValidation type="textLength" operator="notEqual" showInputMessage="1" showErrorMessage="1" sqref="W1:X1048576">
      <formula1>0</formula1>
    </dataValidation>
  </dataValidations>
  <hyperlinks>
    <hyperlink ref="J666" r:id="rId1"/>
    <hyperlink ref="J289" r:id="rId2"/>
    <hyperlink ref="J292" r:id="rId3"/>
    <hyperlink ref="J232" r:id="rId4"/>
  </hyperlinks>
  <pageMargins left="0.7" right="0.7" top="0.75" bottom="0.75" header="0.3" footer="0.3"/>
  <pageSetup paperSize="9" orientation="portrait" horizontalDpi="4294967293" verticalDpi="0" r:id="rId5"/>
  <legacyDrawing r:id="rId6"/>
</worksheet>
</file>

<file path=xl/worksheets/sheet8.xml><?xml version="1.0" encoding="utf-8"?>
<worksheet xmlns="http://schemas.openxmlformats.org/spreadsheetml/2006/main" xmlns:r="http://schemas.openxmlformats.org/officeDocument/2006/relationships">
  <sheetPr codeName="Sheet5"/>
  <dimension ref="A1:L1001"/>
  <sheetViews>
    <sheetView workbookViewId="0">
      <pane ySplit="1" topLeftCell="A121" activePane="bottomLeft" state="frozen"/>
      <selection pane="bottomLeft" activeCell="A134" sqref="A134"/>
    </sheetView>
  </sheetViews>
  <sheetFormatPr defaultColWidth="9.140625" defaultRowHeight="12.75"/>
  <cols>
    <col min="1" max="1" width="15.7109375" style="2" customWidth="1"/>
    <col min="2" max="2" width="15.7109375" style="58" customWidth="1"/>
    <col min="3" max="3" width="9.5703125" style="58" bestFit="1" customWidth="1"/>
    <col min="4" max="6" width="15.7109375" style="3" customWidth="1"/>
    <col min="7" max="7" width="15.7109375" style="39" customWidth="1"/>
    <col min="8" max="8" width="15.7109375" style="2" customWidth="1"/>
    <col min="9" max="9" width="10.28515625" style="56" bestFit="1" customWidth="1"/>
    <col min="10" max="10" width="15.7109375" style="2" customWidth="1"/>
    <col min="11" max="11" width="15.7109375" style="7" customWidth="1"/>
    <col min="12" max="12" width="15.7109375" style="58" customWidth="1"/>
    <col min="13" max="16384" width="9.140625" style="2"/>
  </cols>
  <sheetData>
    <row r="1" spans="1:12" s="6" customFormat="1" ht="38.25">
      <c r="A1" s="49" t="s">
        <v>2</v>
      </c>
      <c r="B1" s="66" t="s">
        <v>45</v>
      </c>
      <c r="C1" s="66" t="s">
        <v>46</v>
      </c>
      <c r="D1" s="49" t="s">
        <v>35</v>
      </c>
      <c r="E1" s="49" t="s">
        <v>47</v>
      </c>
      <c r="F1" s="49" t="s">
        <v>36</v>
      </c>
      <c r="G1" s="50" t="s">
        <v>91</v>
      </c>
      <c r="H1" s="49" t="s">
        <v>37</v>
      </c>
      <c r="I1" s="67" t="s">
        <v>48</v>
      </c>
      <c r="J1" s="51" t="s">
        <v>1355</v>
      </c>
      <c r="K1" s="69" t="s">
        <v>1356</v>
      </c>
      <c r="L1" s="66" t="s">
        <v>38</v>
      </c>
    </row>
    <row r="2" spans="1:12">
      <c r="A2" s="1" t="str">
        <f>IF(Cus!$B2&lt;&gt;"",Cus!$A2,"")</f>
        <v>K0000001</v>
      </c>
      <c r="C2" s="16">
        <v>1</v>
      </c>
      <c r="D2" s="3">
        <f t="shared" ref="D2:D65" si="0">IF($A2="","",1500)</f>
        <v>1500</v>
      </c>
      <c r="E2" s="3">
        <f>IF($C2=1,CommissionDD!$A$30,IF($C2=2,CommissionDD!$A$31,CommissionDD!$A$32))</f>
        <v>1500</v>
      </c>
      <c r="F2" s="3">
        <f>IF($A2="","",$D$2-$E$2)</f>
        <v>0</v>
      </c>
      <c r="G2" s="38">
        <f>IF($A2="","",(VLOOKUP($A2,Cus!$A$2:$AH$1001,23,FALSE)))</f>
        <v>41623</v>
      </c>
      <c r="H2" s="3">
        <f t="shared" ref="H2:H65" si="1">IF($A2="","",395)</f>
        <v>395</v>
      </c>
      <c r="I2" s="56">
        <f t="shared" ref="I2:I65" si="2">IF($A2="","",60)</f>
        <v>60</v>
      </c>
      <c r="J2" s="3">
        <f t="shared" ref="J2:J65" si="3">IF($A2="","",$H2*$I2)</f>
        <v>23700</v>
      </c>
      <c r="K2" s="7">
        <f t="shared" ref="K2:K65" si="4">IF($G2="","",(DATE(YEAR($G2),MONTH($G2)+$C2,MIN(DAY($G2)))))</f>
        <v>41654</v>
      </c>
    </row>
    <row r="3" spans="1:12">
      <c r="A3" s="1" t="str">
        <f>IF(Cus!$B3&lt;&gt;"",Cus!$A3,"")</f>
        <v>K0000002</v>
      </c>
      <c r="B3" s="58">
        <v>1531987</v>
      </c>
      <c r="C3" s="16">
        <v>1</v>
      </c>
      <c r="D3" s="3">
        <f t="shared" si="0"/>
        <v>1500</v>
      </c>
      <c r="E3" s="3">
        <f>IF($C3=1,CommissionDD!$A$30,IF($C3=2,CommissionDD!$A$31,CommissionDD!$A$32))</f>
        <v>1500</v>
      </c>
      <c r="F3" s="3">
        <f t="shared" ref="F3:F66" si="5">IF($A3="","",$D3-$E3)</f>
        <v>0</v>
      </c>
      <c r="G3" s="38">
        <f>IF($A3="","",(VLOOKUP($A3,Cus!$A$2:$AH$1001,23,FALSE)))</f>
        <v>41623</v>
      </c>
      <c r="H3" s="3">
        <f t="shared" si="1"/>
        <v>395</v>
      </c>
      <c r="I3" s="56">
        <f t="shared" si="2"/>
        <v>60</v>
      </c>
      <c r="J3" s="3">
        <f t="shared" si="3"/>
        <v>23700</v>
      </c>
      <c r="K3" s="7">
        <f t="shared" si="4"/>
        <v>41654</v>
      </c>
      <c r="L3" s="68">
        <v>85214365</v>
      </c>
    </row>
    <row r="4" spans="1:12">
      <c r="A4" s="1" t="str">
        <f>IF(Cus!$B4&lt;&gt;"",Cus!$A4,"")</f>
        <v>K0000003</v>
      </c>
      <c r="C4" s="16">
        <v>1</v>
      </c>
      <c r="D4" s="3">
        <f t="shared" si="0"/>
        <v>1500</v>
      </c>
      <c r="E4" s="3">
        <f>IF($C4=1,CommissionDD!$A$30,IF($C4=2,CommissionDD!$A$31,CommissionDD!$A$32))</f>
        <v>1500</v>
      </c>
      <c r="F4" s="3">
        <f t="shared" si="5"/>
        <v>0</v>
      </c>
      <c r="G4" s="38">
        <f>IF($A4="","",(VLOOKUP($A4,Cus!$A$2:$AH$1001,23,FALSE)))</f>
        <v>41623</v>
      </c>
      <c r="H4" s="3">
        <f t="shared" si="1"/>
        <v>395</v>
      </c>
      <c r="I4" s="56">
        <f t="shared" si="2"/>
        <v>60</v>
      </c>
      <c r="J4" s="3">
        <f t="shared" si="3"/>
        <v>23700</v>
      </c>
      <c r="K4" s="7">
        <f t="shared" si="4"/>
        <v>41654</v>
      </c>
      <c r="L4" s="68"/>
    </row>
    <row r="5" spans="1:12">
      <c r="A5" s="1" t="str">
        <f>IF(Cus!$B5&lt;&gt;"",Cus!$A5,"")</f>
        <v/>
      </c>
      <c r="C5" s="16">
        <v>1</v>
      </c>
      <c r="D5" s="3" t="str">
        <f t="shared" si="0"/>
        <v/>
      </c>
      <c r="E5" s="3">
        <f>IF($C5=1,CommissionDD!$A$30,IF($C5=2,CommissionDD!$A$31,CommissionDD!$A$32))</f>
        <v>1500</v>
      </c>
      <c r="F5" s="3" t="str">
        <f t="shared" si="5"/>
        <v/>
      </c>
      <c r="G5" s="38" t="str">
        <f>IF($A5="","",(VLOOKUP($A5,Cus!$A$2:$AH$1001,23,FALSE)))</f>
        <v/>
      </c>
      <c r="H5" s="3" t="str">
        <f t="shared" si="1"/>
        <v/>
      </c>
      <c r="I5" s="56" t="str">
        <f t="shared" si="2"/>
        <v/>
      </c>
      <c r="J5" s="3" t="str">
        <f t="shared" si="3"/>
        <v/>
      </c>
      <c r="K5" s="7" t="str">
        <f t="shared" si="4"/>
        <v/>
      </c>
      <c r="L5" s="68"/>
    </row>
    <row r="6" spans="1:12">
      <c r="A6" s="1" t="str">
        <f>IF(Cus!$B6&lt;&gt;"",Cus!$A6,"")</f>
        <v/>
      </c>
      <c r="C6" s="16">
        <v>1</v>
      </c>
      <c r="D6" s="3" t="str">
        <f t="shared" si="0"/>
        <v/>
      </c>
      <c r="E6" s="3">
        <f>IF($C6=1,CommissionDD!$A$30,IF($C6=2,CommissionDD!$A$31,CommissionDD!$A$32))</f>
        <v>1500</v>
      </c>
      <c r="F6" s="3" t="str">
        <f t="shared" si="5"/>
        <v/>
      </c>
      <c r="G6" s="38" t="str">
        <f>IF($A6="","",(VLOOKUP($A6,Cus!$A$2:$AH$1001,23,FALSE)))</f>
        <v/>
      </c>
      <c r="H6" s="3" t="str">
        <f t="shared" si="1"/>
        <v/>
      </c>
      <c r="I6" s="56" t="str">
        <f t="shared" si="2"/>
        <v/>
      </c>
      <c r="J6" s="3" t="str">
        <f t="shared" si="3"/>
        <v/>
      </c>
      <c r="K6" s="7" t="str">
        <f t="shared" si="4"/>
        <v/>
      </c>
      <c r="L6" s="68"/>
    </row>
    <row r="7" spans="1:12">
      <c r="A7" s="1" t="str">
        <f>IF(Cus!$B7&lt;&gt;"",Cus!$A7,"")</f>
        <v>K0000006</v>
      </c>
      <c r="C7" s="16">
        <v>1</v>
      </c>
      <c r="D7" s="3">
        <f t="shared" si="0"/>
        <v>1500</v>
      </c>
      <c r="E7" s="3">
        <f>IF($C7=1,CommissionDD!$A$30,IF($C7=2,CommissionDD!$A$31,CommissionDD!$A$32))</f>
        <v>1500</v>
      </c>
      <c r="F7" s="3">
        <f t="shared" si="5"/>
        <v>0</v>
      </c>
      <c r="G7" s="38">
        <f>IF($A7="","",(VLOOKUP($A7,Cus!$A$2:$AH$1001,23,FALSE)))</f>
        <v>41633</v>
      </c>
      <c r="H7" s="3">
        <f t="shared" si="1"/>
        <v>395</v>
      </c>
      <c r="I7" s="56">
        <f t="shared" si="2"/>
        <v>60</v>
      </c>
      <c r="J7" s="3">
        <f t="shared" si="3"/>
        <v>23700</v>
      </c>
      <c r="K7" s="7">
        <f t="shared" si="4"/>
        <v>41664</v>
      </c>
    </row>
    <row r="8" spans="1:12">
      <c r="A8" s="1" t="str">
        <f>IF(Cus!$B8&lt;&gt;"",Cus!$A8,"")</f>
        <v/>
      </c>
      <c r="C8" s="16">
        <v>1</v>
      </c>
      <c r="D8" s="3" t="str">
        <f t="shared" si="0"/>
        <v/>
      </c>
      <c r="E8" s="3">
        <f>IF($C8=1,CommissionDD!$A$30,IF($C8=2,CommissionDD!$A$31,CommissionDD!$A$32))</f>
        <v>1500</v>
      </c>
      <c r="F8" s="3" t="str">
        <f t="shared" si="5"/>
        <v/>
      </c>
      <c r="G8" s="38" t="str">
        <f>IF($A8="","",(VLOOKUP($A8,Cus!$A$2:$AH$1001,23,FALSE)))</f>
        <v/>
      </c>
      <c r="H8" s="3" t="str">
        <f t="shared" si="1"/>
        <v/>
      </c>
      <c r="I8" s="56" t="str">
        <f t="shared" si="2"/>
        <v/>
      </c>
      <c r="J8" s="3" t="str">
        <f t="shared" si="3"/>
        <v/>
      </c>
      <c r="K8" s="7" t="str">
        <f t="shared" si="4"/>
        <v/>
      </c>
    </row>
    <row r="9" spans="1:12">
      <c r="A9" s="1" t="str">
        <f>IF(Cus!$B9&lt;&gt;"",Cus!$A9,"")</f>
        <v/>
      </c>
      <c r="C9" s="16">
        <v>1</v>
      </c>
      <c r="D9" s="3" t="str">
        <f t="shared" si="0"/>
        <v/>
      </c>
      <c r="E9" s="3">
        <f>IF($C9=1,CommissionDD!$A$30,IF($C9=2,CommissionDD!$A$31,CommissionDD!$A$32))</f>
        <v>1500</v>
      </c>
      <c r="F9" s="3" t="str">
        <f t="shared" si="5"/>
        <v/>
      </c>
      <c r="G9" s="38" t="str">
        <f>IF($A9="","",(VLOOKUP($A9,Cus!$A$2:$AH$1001,23,FALSE)))</f>
        <v/>
      </c>
      <c r="H9" s="3" t="str">
        <f t="shared" si="1"/>
        <v/>
      </c>
      <c r="I9" s="56" t="str">
        <f t="shared" si="2"/>
        <v/>
      </c>
      <c r="J9" s="3" t="str">
        <f t="shared" si="3"/>
        <v/>
      </c>
      <c r="K9" s="7" t="str">
        <f t="shared" si="4"/>
        <v/>
      </c>
    </row>
    <row r="10" spans="1:12">
      <c r="A10" s="1" t="str">
        <f>IF(Cus!$B10&lt;&gt;"",Cus!$A10,"")</f>
        <v/>
      </c>
      <c r="C10" s="16">
        <v>1</v>
      </c>
      <c r="D10" s="3" t="str">
        <f t="shared" si="0"/>
        <v/>
      </c>
      <c r="E10" s="3">
        <f>IF($C10=1,CommissionDD!$A$30,IF($C10=2,CommissionDD!$A$31,CommissionDD!$A$32))</f>
        <v>1500</v>
      </c>
      <c r="F10" s="3" t="str">
        <f t="shared" si="5"/>
        <v/>
      </c>
      <c r="G10" s="38" t="str">
        <f>IF($A10="","",(VLOOKUP($A10,Cus!$A$2:$AH$1001,23,FALSE)))</f>
        <v/>
      </c>
      <c r="H10" s="3" t="str">
        <f t="shared" si="1"/>
        <v/>
      </c>
      <c r="I10" s="56" t="str">
        <f t="shared" si="2"/>
        <v/>
      </c>
      <c r="J10" s="3" t="str">
        <f t="shared" si="3"/>
        <v/>
      </c>
      <c r="K10" s="7" t="str">
        <f t="shared" si="4"/>
        <v/>
      </c>
    </row>
    <row r="11" spans="1:12">
      <c r="A11" s="1" t="str">
        <f>IF(Cus!$B11&lt;&gt;"",Cus!$A11,"")</f>
        <v/>
      </c>
      <c r="C11" s="16">
        <v>1</v>
      </c>
      <c r="D11" s="3" t="str">
        <f t="shared" si="0"/>
        <v/>
      </c>
      <c r="E11" s="3">
        <f>IF($C11=1,CommissionDD!$A$30,IF($C11=2,CommissionDD!$A$31,CommissionDD!$A$32))</f>
        <v>1500</v>
      </c>
      <c r="F11" s="3" t="str">
        <f t="shared" si="5"/>
        <v/>
      </c>
      <c r="G11" s="38" t="str">
        <f>IF($A11="","",(VLOOKUP($A11,Cus!$A$2:$AH$1001,23,FALSE)))</f>
        <v/>
      </c>
      <c r="H11" s="3" t="str">
        <f t="shared" si="1"/>
        <v/>
      </c>
      <c r="I11" s="56" t="str">
        <f t="shared" si="2"/>
        <v/>
      </c>
      <c r="J11" s="3" t="str">
        <f t="shared" si="3"/>
        <v/>
      </c>
      <c r="K11" s="7" t="str">
        <f t="shared" si="4"/>
        <v/>
      </c>
    </row>
    <row r="12" spans="1:12">
      <c r="A12" s="1" t="str">
        <f>IF(Cus!$B12&lt;&gt;"",Cus!$A12,"")</f>
        <v>K0000011</v>
      </c>
      <c r="B12" s="58">
        <v>1531953</v>
      </c>
      <c r="C12" s="16">
        <v>1</v>
      </c>
      <c r="D12" s="3">
        <f t="shared" si="0"/>
        <v>1500</v>
      </c>
      <c r="E12" s="3">
        <f>IF($C12=1,CommissionDD!$A$30,IF($C12=2,CommissionDD!$A$31,CommissionDD!$A$32))</f>
        <v>1500</v>
      </c>
      <c r="F12" s="3">
        <f t="shared" si="5"/>
        <v>0</v>
      </c>
      <c r="G12" s="38">
        <f>IF($A12="","",(VLOOKUP($A12,Cus!$A$2:$AH$1001,23,FALSE)))</f>
        <v>41608</v>
      </c>
      <c r="H12" s="3">
        <f t="shared" si="1"/>
        <v>395</v>
      </c>
      <c r="I12" s="56">
        <f t="shared" si="2"/>
        <v>60</v>
      </c>
      <c r="J12" s="3">
        <f t="shared" si="3"/>
        <v>23700</v>
      </c>
      <c r="K12" s="7">
        <f t="shared" si="4"/>
        <v>41638</v>
      </c>
      <c r="L12" s="58">
        <v>85725300</v>
      </c>
    </row>
    <row r="13" spans="1:12">
      <c r="A13" s="1" t="str">
        <f>IF(Cus!$B13&lt;&gt;"",Cus!$A13,"")</f>
        <v/>
      </c>
      <c r="C13" s="16">
        <v>1</v>
      </c>
      <c r="D13" s="3" t="str">
        <f t="shared" si="0"/>
        <v/>
      </c>
      <c r="E13" s="3">
        <f>IF($C13=1,CommissionDD!$A$30,IF($C13=2,CommissionDD!$A$31,CommissionDD!$A$32))</f>
        <v>1500</v>
      </c>
      <c r="F13" s="3" t="str">
        <f t="shared" si="5"/>
        <v/>
      </c>
      <c r="G13" s="38" t="str">
        <f>IF($A13="","",(VLOOKUP($A13,Cus!$A$2:$AH$1001,23,FALSE)))</f>
        <v/>
      </c>
      <c r="H13" s="3" t="str">
        <f t="shared" si="1"/>
        <v/>
      </c>
      <c r="I13" s="56" t="str">
        <f t="shared" si="2"/>
        <v/>
      </c>
      <c r="J13" s="3" t="str">
        <f t="shared" si="3"/>
        <v/>
      </c>
      <c r="K13" s="7" t="str">
        <f t="shared" si="4"/>
        <v/>
      </c>
    </row>
    <row r="14" spans="1:12">
      <c r="A14" s="1" t="str">
        <f>IF(Cus!$B14&lt;&gt;"",Cus!$A14,"")</f>
        <v/>
      </c>
      <c r="C14" s="16">
        <v>1</v>
      </c>
      <c r="D14" s="3" t="str">
        <f t="shared" si="0"/>
        <v/>
      </c>
      <c r="E14" s="3">
        <f>IF($C14=1,CommissionDD!$A$30,IF($C14=2,CommissionDD!$A$31,CommissionDD!$A$32))</f>
        <v>1500</v>
      </c>
      <c r="F14" s="3" t="str">
        <f t="shared" si="5"/>
        <v/>
      </c>
      <c r="G14" s="38" t="str">
        <f>IF($A14="","",(VLOOKUP($A14,Cus!$A$2:$AH$1001,23,FALSE)))</f>
        <v/>
      </c>
      <c r="H14" s="3" t="str">
        <f t="shared" si="1"/>
        <v/>
      </c>
      <c r="I14" s="56" t="str">
        <f t="shared" si="2"/>
        <v/>
      </c>
      <c r="J14" s="3" t="str">
        <f t="shared" si="3"/>
        <v/>
      </c>
      <c r="K14" s="7" t="str">
        <f t="shared" si="4"/>
        <v/>
      </c>
    </row>
    <row r="15" spans="1:12">
      <c r="A15" s="1" t="str">
        <f>IF(Cus!$B15&lt;&gt;"",Cus!$A15,"")</f>
        <v>K0000014</v>
      </c>
      <c r="C15" s="16">
        <v>1</v>
      </c>
      <c r="D15" s="3">
        <f t="shared" si="0"/>
        <v>1500</v>
      </c>
      <c r="E15" s="3">
        <f>IF($C15=1,CommissionDD!$A$30,IF($C15=2,CommissionDD!$A$31,CommissionDD!$A$32))</f>
        <v>1500</v>
      </c>
      <c r="F15" s="3">
        <f t="shared" si="5"/>
        <v>0</v>
      </c>
      <c r="G15" s="38">
        <f>IF($A15="","",(VLOOKUP($A15,Cus!$A$2:$AH$1001,23,FALSE)))</f>
        <v>41654</v>
      </c>
      <c r="H15" s="3">
        <f t="shared" si="1"/>
        <v>395</v>
      </c>
      <c r="I15" s="56">
        <f t="shared" si="2"/>
        <v>60</v>
      </c>
      <c r="J15" s="3">
        <f t="shared" si="3"/>
        <v>23700</v>
      </c>
      <c r="K15" s="7">
        <f t="shared" si="4"/>
        <v>41685</v>
      </c>
    </row>
    <row r="16" spans="1:12">
      <c r="A16" s="1" t="str">
        <f>IF(Cus!$B16&lt;&gt;"",Cus!$A16,"")</f>
        <v/>
      </c>
      <c r="C16" s="16">
        <v>1</v>
      </c>
      <c r="D16" s="3" t="str">
        <f t="shared" si="0"/>
        <v/>
      </c>
      <c r="E16" s="3">
        <f>IF($C16=1,CommissionDD!$A$30,IF($C16=2,CommissionDD!$A$31,CommissionDD!$A$32))</f>
        <v>1500</v>
      </c>
      <c r="F16" s="3" t="str">
        <f t="shared" si="5"/>
        <v/>
      </c>
      <c r="G16" s="38" t="str">
        <f>IF($A16="","",(VLOOKUP($A16,Cus!$A$2:$AH$1001,23,FALSE)))</f>
        <v/>
      </c>
      <c r="H16" s="3" t="str">
        <f t="shared" si="1"/>
        <v/>
      </c>
      <c r="I16" s="56" t="str">
        <f t="shared" si="2"/>
        <v/>
      </c>
      <c r="J16" s="3" t="str">
        <f t="shared" si="3"/>
        <v/>
      </c>
      <c r="K16" s="7" t="str">
        <f t="shared" si="4"/>
        <v/>
      </c>
    </row>
    <row r="17" spans="1:12">
      <c r="A17" s="1" t="str">
        <f>IF(Cus!$B17&lt;&gt;"",Cus!$A17,"")</f>
        <v/>
      </c>
      <c r="C17" s="16">
        <v>1</v>
      </c>
      <c r="D17" s="3" t="str">
        <f t="shared" si="0"/>
        <v/>
      </c>
      <c r="E17" s="3">
        <f>IF($C17=1,CommissionDD!$A$30,IF($C17=2,CommissionDD!$A$31,CommissionDD!$A$32))</f>
        <v>1500</v>
      </c>
      <c r="F17" s="3" t="str">
        <f t="shared" si="5"/>
        <v/>
      </c>
      <c r="G17" s="38" t="str">
        <f>IF($A17="","",(VLOOKUP($A17,Cus!$A$2:$AH$1001,23,FALSE)))</f>
        <v/>
      </c>
      <c r="H17" s="3" t="str">
        <f t="shared" si="1"/>
        <v/>
      </c>
      <c r="I17" s="56" t="str">
        <f t="shared" si="2"/>
        <v/>
      </c>
      <c r="J17" s="3" t="str">
        <f t="shared" si="3"/>
        <v/>
      </c>
      <c r="K17" s="7" t="str">
        <f t="shared" si="4"/>
        <v/>
      </c>
    </row>
    <row r="18" spans="1:12">
      <c r="A18" s="1" t="str">
        <f>IF(Cus!$B18&lt;&gt;"",Cus!$A18,"")</f>
        <v/>
      </c>
      <c r="C18" s="16">
        <v>1</v>
      </c>
      <c r="D18" s="3" t="str">
        <f t="shared" si="0"/>
        <v/>
      </c>
      <c r="E18" s="3">
        <f>IF($C18=1,CommissionDD!$A$30,IF($C18=2,CommissionDD!$A$31,CommissionDD!$A$32))</f>
        <v>1500</v>
      </c>
      <c r="F18" s="3" t="str">
        <f t="shared" si="5"/>
        <v/>
      </c>
      <c r="G18" s="38" t="str">
        <f>IF($A18="","",(VLOOKUP($A18,Cus!$A$2:$AH$1001,23,FALSE)))</f>
        <v/>
      </c>
      <c r="H18" s="3" t="str">
        <f t="shared" si="1"/>
        <v/>
      </c>
      <c r="I18" s="56" t="str">
        <f t="shared" si="2"/>
        <v/>
      </c>
      <c r="J18" s="3" t="str">
        <f t="shared" si="3"/>
        <v/>
      </c>
      <c r="K18" s="7" t="str">
        <f t="shared" si="4"/>
        <v/>
      </c>
    </row>
    <row r="19" spans="1:12">
      <c r="A19" s="1" t="str">
        <f>IF(Cus!$B19&lt;&gt;"",Cus!$A19,"")</f>
        <v/>
      </c>
      <c r="C19" s="16">
        <v>1</v>
      </c>
      <c r="D19" s="3" t="str">
        <f t="shared" si="0"/>
        <v/>
      </c>
      <c r="E19" s="3">
        <f>IF($C19=1,CommissionDD!$A$30,IF($C19=2,CommissionDD!$A$31,CommissionDD!$A$32))</f>
        <v>1500</v>
      </c>
      <c r="F19" s="3" t="str">
        <f t="shared" si="5"/>
        <v/>
      </c>
      <c r="G19" s="38" t="str">
        <f>IF($A19="","",(VLOOKUP($A19,Cus!$A$2:$AH$1001,23,FALSE)))</f>
        <v/>
      </c>
      <c r="H19" s="3" t="str">
        <f t="shared" si="1"/>
        <v/>
      </c>
      <c r="I19" s="56" t="str">
        <f t="shared" si="2"/>
        <v/>
      </c>
      <c r="J19" s="3" t="str">
        <f t="shared" si="3"/>
        <v/>
      </c>
      <c r="K19" s="7" t="str">
        <f t="shared" si="4"/>
        <v/>
      </c>
    </row>
    <row r="20" spans="1:12">
      <c r="A20" s="1" t="str">
        <f>IF(Cus!$B20&lt;&gt;"",Cus!$A20,"")</f>
        <v>K0000019</v>
      </c>
      <c r="B20" s="31">
        <v>1531953</v>
      </c>
      <c r="C20" s="16">
        <v>1</v>
      </c>
      <c r="D20" s="3">
        <f t="shared" si="0"/>
        <v>1500</v>
      </c>
      <c r="E20" s="3">
        <f>IF($C20=1,CommissionDD!$A$30,IF($C20=2,CommissionDD!$A$31,CommissionDD!$A$32))</f>
        <v>1500</v>
      </c>
      <c r="F20" s="3">
        <f t="shared" si="5"/>
        <v>0</v>
      </c>
      <c r="G20" s="38">
        <f>IF($A20="","",(VLOOKUP($A20,Cus!$A$2:$AH$1001,23,FALSE)))</f>
        <v>41608</v>
      </c>
      <c r="H20" s="3">
        <f t="shared" si="1"/>
        <v>395</v>
      </c>
      <c r="I20" s="56">
        <f t="shared" si="2"/>
        <v>60</v>
      </c>
      <c r="J20" s="3">
        <f t="shared" si="3"/>
        <v>23700</v>
      </c>
      <c r="K20" s="7">
        <f t="shared" si="4"/>
        <v>41638</v>
      </c>
      <c r="L20" s="31">
        <v>85725006</v>
      </c>
    </row>
    <row r="21" spans="1:12">
      <c r="A21" s="1" t="str">
        <f>IF(Cus!$B21&lt;&gt;"",Cus!$A21,"")</f>
        <v/>
      </c>
      <c r="C21" s="16">
        <v>1</v>
      </c>
      <c r="D21" s="3" t="str">
        <f t="shared" si="0"/>
        <v/>
      </c>
      <c r="E21" s="3">
        <f>IF($C21=1,CommissionDD!$A$30,IF($C21=2,CommissionDD!$A$31,CommissionDD!$A$32))</f>
        <v>1500</v>
      </c>
      <c r="F21" s="3" t="str">
        <f t="shared" si="5"/>
        <v/>
      </c>
      <c r="G21" s="38" t="str">
        <f>IF($A21="","",(VLOOKUP($A21,Cus!$A$2:$AH$1001,23,FALSE)))</f>
        <v/>
      </c>
      <c r="H21" s="3" t="str">
        <f t="shared" si="1"/>
        <v/>
      </c>
      <c r="I21" s="56" t="str">
        <f t="shared" si="2"/>
        <v/>
      </c>
      <c r="J21" s="3" t="str">
        <f t="shared" si="3"/>
        <v/>
      </c>
      <c r="K21" s="7" t="str">
        <f t="shared" si="4"/>
        <v/>
      </c>
    </row>
    <row r="22" spans="1:12">
      <c r="A22" s="1" t="str">
        <f>IF(Cus!$B22&lt;&gt;"",Cus!$A22,"")</f>
        <v/>
      </c>
      <c r="C22" s="16">
        <v>1</v>
      </c>
      <c r="D22" s="3" t="str">
        <f t="shared" si="0"/>
        <v/>
      </c>
      <c r="E22" s="3">
        <f>IF($C22=1,CommissionDD!$A$30,IF($C22=2,CommissionDD!$A$31,CommissionDD!$A$32))</f>
        <v>1500</v>
      </c>
      <c r="F22" s="3" t="str">
        <f t="shared" si="5"/>
        <v/>
      </c>
      <c r="G22" s="38" t="str">
        <f>IF($A22="","",(VLOOKUP($A22,Cus!$A$2:$AH$1001,23,FALSE)))</f>
        <v/>
      </c>
      <c r="H22" s="3" t="str">
        <f t="shared" si="1"/>
        <v/>
      </c>
      <c r="I22" s="56" t="str">
        <f t="shared" si="2"/>
        <v/>
      </c>
      <c r="J22" s="3" t="str">
        <f t="shared" si="3"/>
        <v/>
      </c>
      <c r="K22" s="7" t="str">
        <f t="shared" si="4"/>
        <v/>
      </c>
    </row>
    <row r="23" spans="1:12">
      <c r="A23" s="1" t="str">
        <f>IF(Cus!$B23&lt;&gt;"",Cus!$A23,"")</f>
        <v/>
      </c>
      <c r="C23" s="16">
        <v>1</v>
      </c>
      <c r="D23" s="3" t="str">
        <f t="shared" si="0"/>
        <v/>
      </c>
      <c r="E23" s="3">
        <f>IF($C23=1,CommissionDD!$A$30,IF($C23=2,CommissionDD!$A$31,CommissionDD!$A$32))</f>
        <v>1500</v>
      </c>
      <c r="F23" s="3" t="str">
        <f t="shared" si="5"/>
        <v/>
      </c>
      <c r="G23" s="38" t="str">
        <f>IF($A23="","",(VLOOKUP($A23,Cus!$A$2:$AH$1001,23,FALSE)))</f>
        <v/>
      </c>
      <c r="H23" s="3" t="str">
        <f t="shared" si="1"/>
        <v/>
      </c>
      <c r="I23" s="56" t="str">
        <f t="shared" si="2"/>
        <v/>
      </c>
      <c r="J23" s="3" t="str">
        <f t="shared" si="3"/>
        <v/>
      </c>
      <c r="K23" s="7" t="str">
        <f t="shared" si="4"/>
        <v/>
      </c>
    </row>
    <row r="24" spans="1:12">
      <c r="A24" s="1" t="str">
        <f>IF(Cus!$B24&lt;&gt;"",Cus!$A24,"")</f>
        <v/>
      </c>
      <c r="C24" s="16">
        <v>1</v>
      </c>
      <c r="D24" s="3" t="str">
        <f t="shared" si="0"/>
        <v/>
      </c>
      <c r="E24" s="3">
        <f>IF($C24=1,CommissionDD!$A$30,IF($C24=2,CommissionDD!$A$31,CommissionDD!$A$32))</f>
        <v>1500</v>
      </c>
      <c r="F24" s="3" t="str">
        <f t="shared" si="5"/>
        <v/>
      </c>
      <c r="G24" s="38" t="str">
        <f>IF($A24="","",(VLOOKUP($A24,Cus!$A$2:$AH$1001,23,FALSE)))</f>
        <v/>
      </c>
      <c r="H24" s="3" t="str">
        <f t="shared" si="1"/>
        <v/>
      </c>
      <c r="I24" s="56" t="str">
        <f t="shared" si="2"/>
        <v/>
      </c>
      <c r="J24" s="3" t="str">
        <f t="shared" si="3"/>
        <v/>
      </c>
      <c r="K24" s="7" t="str">
        <f t="shared" si="4"/>
        <v/>
      </c>
    </row>
    <row r="25" spans="1:12">
      <c r="A25" s="1" t="str">
        <f>IF(Cus!$B25&lt;&gt;"",Cus!$A25,"")</f>
        <v/>
      </c>
      <c r="C25" s="16">
        <v>1</v>
      </c>
      <c r="D25" s="3" t="str">
        <f t="shared" si="0"/>
        <v/>
      </c>
      <c r="E25" s="3">
        <f>IF($C25=1,CommissionDD!$A$30,IF($C25=2,CommissionDD!$A$31,CommissionDD!$A$32))</f>
        <v>1500</v>
      </c>
      <c r="F25" s="3" t="str">
        <f t="shared" si="5"/>
        <v/>
      </c>
      <c r="G25" s="38" t="str">
        <f>IF($A25="","",(VLOOKUP($A25,Cus!$A$2:$AH$1001,23,FALSE)))</f>
        <v/>
      </c>
      <c r="H25" s="3" t="str">
        <f t="shared" si="1"/>
        <v/>
      </c>
      <c r="I25" s="56" t="str">
        <f t="shared" si="2"/>
        <v/>
      </c>
      <c r="J25" s="3" t="str">
        <f t="shared" si="3"/>
        <v/>
      </c>
      <c r="K25" s="7" t="str">
        <f t="shared" si="4"/>
        <v/>
      </c>
    </row>
    <row r="26" spans="1:12">
      <c r="A26" s="1" t="str">
        <f>IF(Cus!$B26&lt;&gt;"",Cus!$A26,"")</f>
        <v/>
      </c>
      <c r="C26" s="16">
        <v>1</v>
      </c>
      <c r="D26" s="3" t="str">
        <f t="shared" si="0"/>
        <v/>
      </c>
      <c r="E26" s="3">
        <f>IF($C26=1,CommissionDD!$A$30,IF($C26=2,CommissionDD!$A$31,CommissionDD!$A$32))</f>
        <v>1500</v>
      </c>
      <c r="F26" s="3" t="str">
        <f t="shared" si="5"/>
        <v/>
      </c>
      <c r="G26" s="38" t="str">
        <f>IF($A26="","",(VLOOKUP($A26,Cus!$A$2:$AH$1001,23,FALSE)))</f>
        <v/>
      </c>
      <c r="H26" s="3" t="str">
        <f t="shared" si="1"/>
        <v/>
      </c>
      <c r="I26" s="56" t="str">
        <f t="shared" si="2"/>
        <v/>
      </c>
      <c r="J26" s="3" t="str">
        <f t="shared" si="3"/>
        <v/>
      </c>
      <c r="K26" s="7" t="str">
        <f t="shared" si="4"/>
        <v/>
      </c>
    </row>
    <row r="27" spans="1:12">
      <c r="A27" s="1" t="str">
        <f>IF(Cus!$B27&lt;&gt;"",Cus!$A27,"")</f>
        <v/>
      </c>
      <c r="C27" s="16">
        <v>1</v>
      </c>
      <c r="D27" s="3" t="str">
        <f t="shared" si="0"/>
        <v/>
      </c>
      <c r="E27" s="3">
        <f>IF($C27=1,CommissionDD!$A$30,IF($C27=2,CommissionDD!$A$31,CommissionDD!$A$32))</f>
        <v>1500</v>
      </c>
      <c r="F27" s="3" t="str">
        <f t="shared" si="5"/>
        <v/>
      </c>
      <c r="G27" s="38" t="str">
        <f>IF($A27="","",(VLOOKUP($A27,Cus!$A$2:$AH$1001,23,FALSE)))</f>
        <v/>
      </c>
      <c r="H27" s="3" t="str">
        <f t="shared" si="1"/>
        <v/>
      </c>
      <c r="I27" s="56" t="str">
        <f t="shared" si="2"/>
        <v/>
      </c>
      <c r="J27" s="3" t="str">
        <f t="shared" si="3"/>
        <v/>
      </c>
      <c r="K27" s="7" t="str">
        <f t="shared" si="4"/>
        <v/>
      </c>
    </row>
    <row r="28" spans="1:12">
      <c r="A28" s="1" t="str">
        <f>IF(Cus!$B28&lt;&gt;"",Cus!$A28,"")</f>
        <v/>
      </c>
      <c r="C28" s="16">
        <v>1</v>
      </c>
      <c r="D28" s="3" t="str">
        <f t="shared" si="0"/>
        <v/>
      </c>
      <c r="E28" s="3">
        <f>IF($C28=1,CommissionDD!$A$30,IF($C28=2,CommissionDD!$A$31,CommissionDD!$A$32))</f>
        <v>1500</v>
      </c>
      <c r="F28" s="3" t="str">
        <f t="shared" si="5"/>
        <v/>
      </c>
      <c r="G28" s="38" t="str">
        <f>IF($A28="","",(VLOOKUP($A28,Cus!$A$2:$AH$1001,23,FALSE)))</f>
        <v/>
      </c>
      <c r="H28" s="3" t="str">
        <f t="shared" si="1"/>
        <v/>
      </c>
      <c r="I28" s="56" t="str">
        <f t="shared" si="2"/>
        <v/>
      </c>
      <c r="J28" s="3" t="str">
        <f t="shared" si="3"/>
        <v/>
      </c>
      <c r="K28" s="7" t="str">
        <f t="shared" si="4"/>
        <v/>
      </c>
    </row>
    <row r="29" spans="1:12">
      <c r="A29" s="1" t="str">
        <f>IF(Cus!$B29&lt;&gt;"",Cus!$A29,"")</f>
        <v/>
      </c>
      <c r="C29" s="16">
        <v>1</v>
      </c>
      <c r="D29" s="3" t="str">
        <f t="shared" si="0"/>
        <v/>
      </c>
      <c r="E29" s="3">
        <f>IF($C29=1,CommissionDD!$A$30,IF($C29=2,CommissionDD!$A$31,CommissionDD!$A$32))</f>
        <v>1500</v>
      </c>
      <c r="F29" s="3" t="str">
        <f t="shared" si="5"/>
        <v/>
      </c>
      <c r="G29" s="38" t="str">
        <f>IF($A29="","",(VLOOKUP($A29,Cus!$A$2:$AH$1001,23,FALSE)))</f>
        <v/>
      </c>
      <c r="H29" s="3" t="str">
        <f t="shared" si="1"/>
        <v/>
      </c>
      <c r="I29" s="56" t="str">
        <f t="shared" si="2"/>
        <v/>
      </c>
      <c r="J29" s="3" t="str">
        <f t="shared" si="3"/>
        <v/>
      </c>
      <c r="K29" s="7" t="str">
        <f t="shared" si="4"/>
        <v/>
      </c>
    </row>
    <row r="30" spans="1:12">
      <c r="A30" s="1" t="str">
        <f>IF(Cus!$B30&lt;&gt;"",Cus!$A30,"")</f>
        <v/>
      </c>
      <c r="C30" s="16">
        <v>1</v>
      </c>
      <c r="D30" s="3" t="str">
        <f t="shared" si="0"/>
        <v/>
      </c>
      <c r="E30" s="3">
        <f>IF($C30=1,CommissionDD!$A$30,IF($C30=2,CommissionDD!$A$31,CommissionDD!$A$32))</f>
        <v>1500</v>
      </c>
      <c r="F30" s="3" t="str">
        <f t="shared" si="5"/>
        <v/>
      </c>
      <c r="G30" s="38" t="str">
        <f>IF($A30="","",(VLOOKUP($A30,Cus!$A$2:$AH$1001,23,FALSE)))</f>
        <v/>
      </c>
      <c r="H30" s="3" t="str">
        <f t="shared" si="1"/>
        <v/>
      </c>
      <c r="I30" s="56" t="str">
        <f t="shared" si="2"/>
        <v/>
      </c>
      <c r="J30" s="3" t="str">
        <f t="shared" si="3"/>
        <v/>
      </c>
      <c r="K30" s="7" t="str">
        <f t="shared" si="4"/>
        <v/>
      </c>
    </row>
    <row r="31" spans="1:12">
      <c r="A31" s="1" t="str">
        <f>IF(Cus!$B31&lt;&gt;"",Cus!$A31,"")</f>
        <v/>
      </c>
      <c r="C31" s="16">
        <v>1</v>
      </c>
      <c r="D31" s="3" t="str">
        <f t="shared" si="0"/>
        <v/>
      </c>
      <c r="E31" s="3">
        <f>IF($C31=1,CommissionDD!$A$30,IF($C31=2,CommissionDD!$A$31,CommissionDD!$A$32))</f>
        <v>1500</v>
      </c>
      <c r="F31" s="3" t="str">
        <f t="shared" si="5"/>
        <v/>
      </c>
      <c r="G31" s="38" t="str">
        <f>IF($A31="","",(VLOOKUP($A31,Cus!$A$2:$AH$1001,23,FALSE)))</f>
        <v/>
      </c>
      <c r="H31" s="3" t="str">
        <f t="shared" si="1"/>
        <v/>
      </c>
      <c r="I31" s="56" t="str">
        <f t="shared" si="2"/>
        <v/>
      </c>
      <c r="J31" s="3" t="str">
        <f t="shared" si="3"/>
        <v/>
      </c>
      <c r="K31" s="7" t="str">
        <f t="shared" si="4"/>
        <v/>
      </c>
    </row>
    <row r="32" spans="1:12">
      <c r="A32" s="1" t="str">
        <f>IF(Cus!$B32&lt;&gt;"",Cus!$A32,"")</f>
        <v/>
      </c>
      <c r="C32" s="16">
        <v>1</v>
      </c>
      <c r="D32" s="3" t="str">
        <f t="shared" si="0"/>
        <v/>
      </c>
      <c r="E32" s="3">
        <f>IF($C32=1,CommissionDD!$A$30,IF($C32=2,CommissionDD!$A$31,CommissionDD!$A$32))</f>
        <v>1500</v>
      </c>
      <c r="F32" s="3" t="str">
        <f t="shared" si="5"/>
        <v/>
      </c>
      <c r="G32" s="38" t="str">
        <f>IF($A32="","",(VLOOKUP($A32,Cus!$A$2:$AH$1001,23,FALSE)))</f>
        <v/>
      </c>
      <c r="H32" s="3" t="str">
        <f t="shared" si="1"/>
        <v/>
      </c>
      <c r="I32" s="56" t="str">
        <f t="shared" si="2"/>
        <v/>
      </c>
      <c r="J32" s="3" t="str">
        <f t="shared" si="3"/>
        <v/>
      </c>
      <c r="K32" s="7" t="str">
        <f t="shared" si="4"/>
        <v/>
      </c>
    </row>
    <row r="33" spans="1:11">
      <c r="A33" s="1" t="str">
        <f>IF(Cus!$B33&lt;&gt;"",Cus!$A33,"")</f>
        <v/>
      </c>
      <c r="C33" s="16">
        <v>1</v>
      </c>
      <c r="D33" s="3" t="str">
        <f t="shared" si="0"/>
        <v/>
      </c>
      <c r="E33" s="3">
        <f>IF($C33=1,CommissionDD!$A$30,IF($C33=2,CommissionDD!$A$31,CommissionDD!$A$32))</f>
        <v>1500</v>
      </c>
      <c r="F33" s="3" t="str">
        <f t="shared" si="5"/>
        <v/>
      </c>
      <c r="G33" s="38" t="str">
        <f>IF($A33="","",(VLOOKUP($A33,Cus!$A$2:$AH$1001,23,FALSE)))</f>
        <v/>
      </c>
      <c r="H33" s="3" t="str">
        <f t="shared" si="1"/>
        <v/>
      </c>
      <c r="I33" s="56" t="str">
        <f t="shared" si="2"/>
        <v/>
      </c>
      <c r="J33" s="3" t="str">
        <f t="shared" si="3"/>
        <v/>
      </c>
      <c r="K33" s="7" t="str">
        <f t="shared" si="4"/>
        <v/>
      </c>
    </row>
    <row r="34" spans="1:11">
      <c r="A34" s="1" t="str">
        <f>IF(Cus!$B34&lt;&gt;"",Cus!$A34,"")</f>
        <v/>
      </c>
      <c r="C34" s="16">
        <v>1</v>
      </c>
      <c r="D34" s="3" t="str">
        <f t="shared" si="0"/>
        <v/>
      </c>
      <c r="E34" s="3">
        <f>IF($C34=1,CommissionDD!$A$30,IF($C34=2,CommissionDD!$A$31,CommissionDD!$A$32))</f>
        <v>1500</v>
      </c>
      <c r="F34" s="3" t="str">
        <f t="shared" si="5"/>
        <v/>
      </c>
      <c r="G34" s="38" t="str">
        <f>IF($A34="","",(VLOOKUP($A34,Cus!$A$2:$AH$1001,23,FALSE)))</f>
        <v/>
      </c>
      <c r="H34" s="3" t="str">
        <f t="shared" si="1"/>
        <v/>
      </c>
      <c r="I34" s="56" t="str">
        <f t="shared" si="2"/>
        <v/>
      </c>
      <c r="J34" s="3" t="str">
        <f t="shared" si="3"/>
        <v/>
      </c>
      <c r="K34" s="7" t="str">
        <f t="shared" si="4"/>
        <v/>
      </c>
    </row>
    <row r="35" spans="1:11">
      <c r="A35" s="1" t="str">
        <f>IF(Cus!$B35&lt;&gt;"",Cus!$A35,"")</f>
        <v/>
      </c>
      <c r="C35" s="16">
        <v>1</v>
      </c>
      <c r="D35" s="3" t="str">
        <f t="shared" si="0"/>
        <v/>
      </c>
      <c r="E35" s="3">
        <f>IF($C35=1,CommissionDD!$A$30,IF($C35=2,CommissionDD!$A$31,CommissionDD!$A$32))</f>
        <v>1500</v>
      </c>
      <c r="F35" s="3" t="str">
        <f t="shared" si="5"/>
        <v/>
      </c>
      <c r="G35" s="38" t="str">
        <f>IF($A35="","",(VLOOKUP($A35,Cus!$A$2:$AH$1001,23,FALSE)))</f>
        <v/>
      </c>
      <c r="H35" s="3" t="str">
        <f t="shared" si="1"/>
        <v/>
      </c>
      <c r="I35" s="56" t="str">
        <f t="shared" si="2"/>
        <v/>
      </c>
      <c r="J35" s="3" t="str">
        <f t="shared" si="3"/>
        <v/>
      </c>
      <c r="K35" s="7" t="str">
        <f t="shared" si="4"/>
        <v/>
      </c>
    </row>
    <row r="36" spans="1:11">
      <c r="A36" s="1" t="str">
        <f>IF(Cus!$B36&lt;&gt;"",Cus!$A36,"")</f>
        <v/>
      </c>
      <c r="C36" s="16">
        <v>1</v>
      </c>
      <c r="D36" s="3" t="str">
        <f t="shared" si="0"/>
        <v/>
      </c>
      <c r="E36" s="3">
        <f>IF($C36=1,CommissionDD!$A$30,IF($C36=2,CommissionDD!$A$31,CommissionDD!$A$32))</f>
        <v>1500</v>
      </c>
      <c r="F36" s="3" t="str">
        <f t="shared" si="5"/>
        <v/>
      </c>
      <c r="G36" s="38" t="str">
        <f>IF($A36="","",(VLOOKUP($A36,Cus!$A$2:$AH$1001,23,FALSE)))</f>
        <v/>
      </c>
      <c r="H36" s="3" t="str">
        <f t="shared" si="1"/>
        <v/>
      </c>
      <c r="I36" s="56" t="str">
        <f t="shared" si="2"/>
        <v/>
      </c>
      <c r="J36" s="3" t="str">
        <f t="shared" si="3"/>
        <v/>
      </c>
      <c r="K36" s="7" t="str">
        <f t="shared" si="4"/>
        <v/>
      </c>
    </row>
    <row r="37" spans="1:11">
      <c r="A37" s="1" t="str">
        <f>IF(Cus!$B37&lt;&gt;"",Cus!$A37,"")</f>
        <v/>
      </c>
      <c r="C37" s="16">
        <v>1</v>
      </c>
      <c r="D37" s="3" t="str">
        <f t="shared" si="0"/>
        <v/>
      </c>
      <c r="E37" s="3">
        <f>IF($C37=1,CommissionDD!$A$30,IF($C37=2,CommissionDD!$A$31,CommissionDD!$A$32))</f>
        <v>1500</v>
      </c>
      <c r="F37" s="3" t="str">
        <f t="shared" si="5"/>
        <v/>
      </c>
      <c r="G37" s="38" t="str">
        <f>IF($A37="","",(VLOOKUP($A37,Cus!$A$2:$AH$1001,23,FALSE)))</f>
        <v/>
      </c>
      <c r="H37" s="3" t="str">
        <f t="shared" si="1"/>
        <v/>
      </c>
      <c r="I37" s="56" t="str">
        <f t="shared" si="2"/>
        <v/>
      </c>
      <c r="J37" s="3" t="str">
        <f t="shared" si="3"/>
        <v/>
      </c>
      <c r="K37" s="7" t="str">
        <f t="shared" si="4"/>
        <v/>
      </c>
    </row>
    <row r="38" spans="1:11">
      <c r="A38" s="1" t="str">
        <f>IF(Cus!$B38&lt;&gt;"",Cus!$A38,"")</f>
        <v/>
      </c>
      <c r="C38" s="16">
        <v>1</v>
      </c>
      <c r="D38" s="3" t="str">
        <f t="shared" si="0"/>
        <v/>
      </c>
      <c r="E38" s="3">
        <f>IF($C38=1,CommissionDD!$A$30,IF($C38=2,CommissionDD!$A$31,CommissionDD!$A$32))</f>
        <v>1500</v>
      </c>
      <c r="F38" s="3" t="str">
        <f t="shared" si="5"/>
        <v/>
      </c>
      <c r="G38" s="38" t="str">
        <f>IF($A38="","",(VLOOKUP($A38,Cus!$A$2:$AH$1001,23,FALSE)))</f>
        <v/>
      </c>
      <c r="H38" s="3" t="str">
        <f t="shared" si="1"/>
        <v/>
      </c>
      <c r="I38" s="56" t="str">
        <f t="shared" si="2"/>
        <v/>
      </c>
      <c r="J38" s="3" t="str">
        <f t="shared" si="3"/>
        <v/>
      </c>
      <c r="K38" s="7" t="str">
        <f t="shared" si="4"/>
        <v/>
      </c>
    </row>
    <row r="39" spans="1:11">
      <c r="A39" s="1" t="str">
        <f>IF(Cus!$B39&lt;&gt;"",Cus!$A39,"")</f>
        <v/>
      </c>
      <c r="C39" s="16">
        <v>1</v>
      </c>
      <c r="D39" s="3" t="str">
        <f t="shared" si="0"/>
        <v/>
      </c>
      <c r="E39" s="3">
        <f>IF($C39=1,CommissionDD!$A$30,IF($C39=2,CommissionDD!$A$31,CommissionDD!$A$32))</f>
        <v>1500</v>
      </c>
      <c r="F39" s="3" t="str">
        <f t="shared" si="5"/>
        <v/>
      </c>
      <c r="G39" s="38" t="str">
        <f>IF($A39="","",(VLOOKUP($A39,Cus!$A$2:$AH$1001,23,FALSE)))</f>
        <v/>
      </c>
      <c r="H39" s="3" t="str">
        <f t="shared" si="1"/>
        <v/>
      </c>
      <c r="I39" s="56" t="str">
        <f t="shared" si="2"/>
        <v/>
      </c>
      <c r="J39" s="3" t="str">
        <f t="shared" si="3"/>
        <v/>
      </c>
      <c r="K39" s="7" t="str">
        <f t="shared" si="4"/>
        <v/>
      </c>
    </row>
    <row r="40" spans="1:11">
      <c r="A40" s="1" t="str">
        <f>IF(Cus!$B40&lt;&gt;"",Cus!$A40,"")</f>
        <v/>
      </c>
      <c r="C40" s="16">
        <v>1</v>
      </c>
      <c r="D40" s="3" t="str">
        <f t="shared" si="0"/>
        <v/>
      </c>
      <c r="E40" s="3">
        <f>IF($C40=1,CommissionDD!$A$30,IF($C40=2,CommissionDD!$A$31,CommissionDD!$A$32))</f>
        <v>1500</v>
      </c>
      <c r="F40" s="3" t="str">
        <f t="shared" si="5"/>
        <v/>
      </c>
      <c r="G40" s="38" t="str">
        <f>IF($A40="","",(VLOOKUP($A40,Cus!$A$2:$AH$1001,23,FALSE)))</f>
        <v/>
      </c>
      <c r="H40" s="3" t="str">
        <f t="shared" si="1"/>
        <v/>
      </c>
      <c r="I40" s="56" t="str">
        <f t="shared" si="2"/>
        <v/>
      </c>
      <c r="J40" s="3" t="str">
        <f t="shared" si="3"/>
        <v/>
      </c>
      <c r="K40" s="7" t="str">
        <f t="shared" si="4"/>
        <v/>
      </c>
    </row>
    <row r="41" spans="1:11">
      <c r="A41" s="1" t="str">
        <f>IF(Cus!$B41&lt;&gt;"",Cus!$A41,"")</f>
        <v/>
      </c>
      <c r="C41" s="16">
        <v>1</v>
      </c>
      <c r="D41" s="3" t="str">
        <f t="shared" si="0"/>
        <v/>
      </c>
      <c r="E41" s="3">
        <f>IF($C41=1,CommissionDD!$A$30,IF($C41=2,CommissionDD!$A$31,CommissionDD!$A$32))</f>
        <v>1500</v>
      </c>
      <c r="F41" s="3" t="str">
        <f t="shared" si="5"/>
        <v/>
      </c>
      <c r="G41" s="38" t="str">
        <f>IF($A41="","",(VLOOKUP($A41,Cus!$A$2:$AH$1001,23,FALSE)))</f>
        <v/>
      </c>
      <c r="H41" s="3" t="str">
        <f t="shared" si="1"/>
        <v/>
      </c>
      <c r="I41" s="56" t="str">
        <f t="shared" si="2"/>
        <v/>
      </c>
      <c r="J41" s="3" t="str">
        <f t="shared" si="3"/>
        <v/>
      </c>
      <c r="K41" s="7" t="str">
        <f t="shared" si="4"/>
        <v/>
      </c>
    </row>
    <row r="42" spans="1:11">
      <c r="A42" s="1" t="str">
        <f>IF(Cus!$B42&lt;&gt;"",Cus!$A42,"")</f>
        <v/>
      </c>
      <c r="C42" s="16">
        <v>1</v>
      </c>
      <c r="D42" s="3" t="str">
        <f t="shared" si="0"/>
        <v/>
      </c>
      <c r="E42" s="3">
        <f>IF($C42=1,CommissionDD!$A$30,IF($C42=2,CommissionDD!$A$31,CommissionDD!$A$32))</f>
        <v>1500</v>
      </c>
      <c r="F42" s="3" t="str">
        <f t="shared" si="5"/>
        <v/>
      </c>
      <c r="G42" s="38" t="str">
        <f>IF($A42="","",(VLOOKUP($A42,Cus!$A$2:$AH$1001,23,FALSE)))</f>
        <v/>
      </c>
      <c r="H42" s="3" t="str">
        <f t="shared" si="1"/>
        <v/>
      </c>
      <c r="I42" s="56" t="str">
        <f t="shared" si="2"/>
        <v/>
      </c>
      <c r="J42" s="3" t="str">
        <f t="shared" si="3"/>
        <v/>
      </c>
      <c r="K42" s="7" t="str">
        <f t="shared" si="4"/>
        <v/>
      </c>
    </row>
    <row r="43" spans="1:11">
      <c r="A43" s="1" t="str">
        <f>IF(Cus!$B43&lt;&gt;"",Cus!$A43,"")</f>
        <v/>
      </c>
      <c r="C43" s="16">
        <v>1</v>
      </c>
      <c r="D43" s="3" t="str">
        <f t="shared" si="0"/>
        <v/>
      </c>
      <c r="E43" s="3">
        <f>IF($C43=1,CommissionDD!$A$30,IF($C43=2,CommissionDD!$A$31,CommissionDD!$A$32))</f>
        <v>1500</v>
      </c>
      <c r="F43" s="3" t="str">
        <f t="shared" si="5"/>
        <v/>
      </c>
      <c r="G43" s="38" t="str">
        <f>IF($A43="","",(VLOOKUP($A43,Cus!$A$2:$AH$1001,23,FALSE)))</f>
        <v/>
      </c>
      <c r="H43" s="3" t="str">
        <f t="shared" si="1"/>
        <v/>
      </c>
      <c r="I43" s="56" t="str">
        <f t="shared" si="2"/>
        <v/>
      </c>
      <c r="J43" s="3" t="str">
        <f t="shared" si="3"/>
        <v/>
      </c>
      <c r="K43" s="7" t="str">
        <f t="shared" si="4"/>
        <v/>
      </c>
    </row>
    <row r="44" spans="1:11">
      <c r="A44" s="1" t="str">
        <f>IF(Cus!$B44&lt;&gt;"",Cus!$A44,"")</f>
        <v/>
      </c>
      <c r="C44" s="16">
        <v>1</v>
      </c>
      <c r="D44" s="3" t="str">
        <f t="shared" si="0"/>
        <v/>
      </c>
      <c r="E44" s="3">
        <f>IF($C44=1,CommissionDD!$A$30,IF($C44=2,CommissionDD!$A$31,CommissionDD!$A$32))</f>
        <v>1500</v>
      </c>
      <c r="F44" s="3" t="str">
        <f t="shared" si="5"/>
        <v/>
      </c>
      <c r="G44" s="38" t="str">
        <f>IF($A44="","",(VLOOKUP($A44,Cus!$A$2:$AH$1001,23,FALSE)))</f>
        <v/>
      </c>
      <c r="H44" s="3" t="str">
        <f t="shared" si="1"/>
        <v/>
      </c>
      <c r="I44" s="56" t="str">
        <f t="shared" si="2"/>
        <v/>
      </c>
      <c r="J44" s="3" t="str">
        <f t="shared" si="3"/>
        <v/>
      </c>
      <c r="K44" s="7" t="str">
        <f t="shared" si="4"/>
        <v/>
      </c>
    </row>
    <row r="45" spans="1:11">
      <c r="A45" s="1" t="str">
        <f>IF(Cus!$B45&lt;&gt;"",Cus!$A45,"")</f>
        <v/>
      </c>
      <c r="C45" s="16">
        <v>1</v>
      </c>
      <c r="D45" s="3" t="str">
        <f t="shared" si="0"/>
        <v/>
      </c>
      <c r="E45" s="3">
        <f>IF($C45=1,CommissionDD!$A$30,IF($C45=2,CommissionDD!$A$31,CommissionDD!$A$32))</f>
        <v>1500</v>
      </c>
      <c r="F45" s="3" t="str">
        <f t="shared" si="5"/>
        <v/>
      </c>
      <c r="G45" s="38" t="str">
        <f>IF($A45="","",(VLOOKUP($A45,Cus!$A$2:$AH$1001,23,FALSE)))</f>
        <v/>
      </c>
      <c r="H45" s="3" t="str">
        <f t="shared" si="1"/>
        <v/>
      </c>
      <c r="I45" s="56" t="str">
        <f t="shared" si="2"/>
        <v/>
      </c>
      <c r="J45" s="3" t="str">
        <f t="shared" si="3"/>
        <v/>
      </c>
      <c r="K45" s="7" t="str">
        <f t="shared" si="4"/>
        <v/>
      </c>
    </row>
    <row r="46" spans="1:11">
      <c r="A46" s="1" t="str">
        <f>IF(Cus!$B46&lt;&gt;"",Cus!$A46,"")</f>
        <v/>
      </c>
      <c r="C46" s="16">
        <v>1</v>
      </c>
      <c r="D46" s="3" t="str">
        <f t="shared" si="0"/>
        <v/>
      </c>
      <c r="E46" s="3">
        <f>IF($C46=1,CommissionDD!$A$30,IF($C46=2,CommissionDD!$A$31,CommissionDD!$A$32))</f>
        <v>1500</v>
      </c>
      <c r="F46" s="3" t="str">
        <f t="shared" si="5"/>
        <v/>
      </c>
      <c r="G46" s="38" t="str">
        <f>IF($A46="","",(VLOOKUP($A46,Cus!$A$2:$AH$1001,23,FALSE)))</f>
        <v/>
      </c>
      <c r="H46" s="3" t="str">
        <f t="shared" si="1"/>
        <v/>
      </c>
      <c r="I46" s="56" t="str">
        <f t="shared" si="2"/>
        <v/>
      </c>
      <c r="J46" s="3" t="str">
        <f t="shared" si="3"/>
        <v/>
      </c>
      <c r="K46" s="7" t="str">
        <f t="shared" si="4"/>
        <v/>
      </c>
    </row>
    <row r="47" spans="1:11">
      <c r="A47" s="1" t="str">
        <f>IF(Cus!$B47&lt;&gt;"",Cus!$A47,"")</f>
        <v/>
      </c>
      <c r="C47" s="16">
        <v>1</v>
      </c>
      <c r="D47" s="3" t="str">
        <f t="shared" si="0"/>
        <v/>
      </c>
      <c r="E47" s="3">
        <f>IF($C47=1,CommissionDD!$A$30,IF($C47=2,CommissionDD!$A$31,CommissionDD!$A$32))</f>
        <v>1500</v>
      </c>
      <c r="F47" s="3" t="str">
        <f t="shared" si="5"/>
        <v/>
      </c>
      <c r="G47" s="38" t="str">
        <f>IF($A47="","",(VLOOKUP($A47,Cus!$A$2:$AH$1001,23,FALSE)))</f>
        <v/>
      </c>
      <c r="H47" s="3" t="str">
        <f t="shared" si="1"/>
        <v/>
      </c>
      <c r="I47" s="56" t="str">
        <f t="shared" si="2"/>
        <v/>
      </c>
      <c r="J47" s="3" t="str">
        <f t="shared" si="3"/>
        <v/>
      </c>
      <c r="K47" s="7" t="str">
        <f t="shared" si="4"/>
        <v/>
      </c>
    </row>
    <row r="48" spans="1:11">
      <c r="A48" s="1" t="str">
        <f>IF(Cus!$B48&lt;&gt;"",Cus!$A48,"")</f>
        <v/>
      </c>
      <c r="C48" s="16">
        <v>1</v>
      </c>
      <c r="D48" s="3" t="str">
        <f t="shared" si="0"/>
        <v/>
      </c>
      <c r="E48" s="3">
        <f>IF($C48=1,CommissionDD!$A$30,IF($C48=2,CommissionDD!$A$31,CommissionDD!$A$32))</f>
        <v>1500</v>
      </c>
      <c r="F48" s="3" t="str">
        <f t="shared" si="5"/>
        <v/>
      </c>
      <c r="G48" s="38" t="str">
        <f>IF($A48="","",(VLOOKUP($A48,Cus!$A$2:$AH$1001,23,FALSE)))</f>
        <v/>
      </c>
      <c r="H48" s="3" t="str">
        <f t="shared" si="1"/>
        <v/>
      </c>
      <c r="I48" s="56" t="str">
        <f t="shared" si="2"/>
        <v/>
      </c>
      <c r="J48" s="3" t="str">
        <f t="shared" si="3"/>
        <v/>
      </c>
      <c r="K48" s="7" t="str">
        <f t="shared" si="4"/>
        <v/>
      </c>
    </row>
    <row r="49" spans="1:12">
      <c r="A49" s="1" t="str">
        <f>IF(Cus!$B49&lt;&gt;"",Cus!$A49,"")</f>
        <v/>
      </c>
      <c r="C49" s="16">
        <v>1</v>
      </c>
      <c r="D49" s="3" t="str">
        <f t="shared" si="0"/>
        <v/>
      </c>
      <c r="E49" s="3">
        <f>IF($C49=1,CommissionDD!$A$30,IF($C49=2,CommissionDD!$A$31,CommissionDD!$A$32))</f>
        <v>1500</v>
      </c>
      <c r="F49" s="3" t="str">
        <f t="shared" si="5"/>
        <v/>
      </c>
      <c r="G49" s="38" t="str">
        <f>IF($A49="","",(VLOOKUP($A49,Cus!$A$2:$AH$1001,23,FALSE)))</f>
        <v/>
      </c>
      <c r="H49" s="3" t="str">
        <f t="shared" si="1"/>
        <v/>
      </c>
      <c r="I49" s="56" t="str">
        <f t="shared" si="2"/>
        <v/>
      </c>
      <c r="J49" s="3" t="str">
        <f t="shared" si="3"/>
        <v/>
      </c>
      <c r="K49" s="7" t="str">
        <f t="shared" si="4"/>
        <v/>
      </c>
    </row>
    <row r="50" spans="1:12">
      <c r="A50" s="1" t="str">
        <f>IF(Cus!$B50&lt;&gt;"",Cus!$A50,"")</f>
        <v>K0000049</v>
      </c>
      <c r="B50" s="31">
        <v>1531987</v>
      </c>
      <c r="C50" s="16">
        <v>1</v>
      </c>
      <c r="D50" s="3">
        <f t="shared" si="0"/>
        <v>1500</v>
      </c>
      <c r="E50" s="3">
        <f>IF($C50=1,CommissionDD!$A$30,IF($C50=2,CommissionDD!$A$31,CommissionDD!$A$32))</f>
        <v>1500</v>
      </c>
      <c r="F50" s="3">
        <f t="shared" si="5"/>
        <v>0</v>
      </c>
      <c r="G50" s="38">
        <f>IF($A50="","",(VLOOKUP($A50,Cus!$A$2:$AH$1001,23,FALSE)))</f>
        <v>41670</v>
      </c>
      <c r="H50" s="3">
        <f t="shared" si="1"/>
        <v>395</v>
      </c>
      <c r="I50" s="56">
        <f t="shared" si="2"/>
        <v>60</v>
      </c>
      <c r="J50" s="3">
        <f t="shared" si="3"/>
        <v>23700</v>
      </c>
      <c r="K50" s="7">
        <f t="shared" si="4"/>
        <v>41701</v>
      </c>
      <c r="L50" s="31">
        <v>85726319</v>
      </c>
    </row>
    <row r="51" spans="1:12">
      <c r="A51" s="1" t="str">
        <f>IF(Cus!$B51&lt;&gt;"",Cus!$A51,"")</f>
        <v/>
      </c>
      <c r="C51" s="16">
        <v>1</v>
      </c>
      <c r="D51" s="3" t="str">
        <f t="shared" si="0"/>
        <v/>
      </c>
      <c r="E51" s="3">
        <f>IF($C51=1,CommissionDD!$A$30,IF($C51=2,CommissionDD!$A$31,CommissionDD!$A$32))</f>
        <v>1500</v>
      </c>
      <c r="F51" s="3" t="str">
        <f t="shared" si="5"/>
        <v/>
      </c>
      <c r="G51" s="38" t="str">
        <f>IF($A51="","",(VLOOKUP($A51,Cus!$A$2:$AH$1001,23,FALSE)))</f>
        <v/>
      </c>
      <c r="H51" s="3" t="str">
        <f t="shared" si="1"/>
        <v/>
      </c>
      <c r="I51" s="56" t="str">
        <f t="shared" si="2"/>
        <v/>
      </c>
      <c r="J51" s="3" t="str">
        <f t="shared" si="3"/>
        <v/>
      </c>
      <c r="K51" s="7" t="str">
        <f t="shared" si="4"/>
        <v/>
      </c>
    </row>
    <row r="52" spans="1:12">
      <c r="A52" s="1" t="str">
        <f>IF(Cus!$B52&lt;&gt;"",Cus!$A52,"")</f>
        <v/>
      </c>
      <c r="C52" s="16">
        <v>1</v>
      </c>
      <c r="D52" s="3" t="str">
        <f t="shared" si="0"/>
        <v/>
      </c>
      <c r="E52" s="3">
        <f>IF($C52=1,CommissionDD!$A$30,IF($C52=2,CommissionDD!$A$31,CommissionDD!$A$32))</f>
        <v>1500</v>
      </c>
      <c r="F52" s="3" t="str">
        <f t="shared" si="5"/>
        <v/>
      </c>
      <c r="G52" s="38" t="str">
        <f>IF($A52="","",(VLOOKUP($A52,Cus!$A$2:$AH$1001,23,FALSE)))</f>
        <v/>
      </c>
      <c r="H52" s="3" t="str">
        <f t="shared" si="1"/>
        <v/>
      </c>
      <c r="I52" s="56" t="str">
        <f t="shared" si="2"/>
        <v/>
      </c>
      <c r="J52" s="3" t="str">
        <f t="shared" si="3"/>
        <v/>
      </c>
      <c r="K52" s="7" t="str">
        <f t="shared" si="4"/>
        <v/>
      </c>
    </row>
    <row r="53" spans="1:12">
      <c r="A53" s="1" t="str">
        <f>IF(Cus!$B53&lt;&gt;"",Cus!$A53,"")</f>
        <v/>
      </c>
      <c r="C53" s="16">
        <v>1</v>
      </c>
      <c r="D53" s="3" t="str">
        <f t="shared" si="0"/>
        <v/>
      </c>
      <c r="E53" s="3">
        <f>IF($C53=1,CommissionDD!$A$30,IF($C53=2,CommissionDD!$A$31,CommissionDD!$A$32))</f>
        <v>1500</v>
      </c>
      <c r="F53" s="3" t="str">
        <f t="shared" si="5"/>
        <v/>
      </c>
      <c r="G53" s="38" t="str">
        <f>IF($A53="","",(VLOOKUP($A53,Cus!$A$2:$AH$1001,23,FALSE)))</f>
        <v/>
      </c>
      <c r="H53" s="3" t="str">
        <f t="shared" si="1"/>
        <v/>
      </c>
      <c r="I53" s="56" t="str">
        <f t="shared" si="2"/>
        <v/>
      </c>
      <c r="J53" s="3" t="str">
        <f t="shared" si="3"/>
        <v/>
      </c>
      <c r="K53" s="7" t="str">
        <f t="shared" si="4"/>
        <v/>
      </c>
    </row>
    <row r="54" spans="1:12">
      <c r="A54" s="1" t="str">
        <f>IF(Cus!$B54&lt;&gt;"",Cus!$A54,"")</f>
        <v/>
      </c>
      <c r="C54" s="16">
        <v>1</v>
      </c>
      <c r="D54" s="3" t="str">
        <f t="shared" si="0"/>
        <v/>
      </c>
      <c r="E54" s="3">
        <f>IF($C54=1,CommissionDD!$A$30,IF($C54=2,CommissionDD!$A$31,CommissionDD!$A$32))</f>
        <v>1500</v>
      </c>
      <c r="F54" s="3" t="str">
        <f t="shared" si="5"/>
        <v/>
      </c>
      <c r="G54" s="38" t="str">
        <f>IF($A54="","",(VLOOKUP($A54,Cus!$A$2:$AH$1001,23,FALSE)))</f>
        <v/>
      </c>
      <c r="H54" s="3" t="str">
        <f t="shared" si="1"/>
        <v/>
      </c>
      <c r="I54" s="56" t="str">
        <f t="shared" si="2"/>
        <v/>
      </c>
      <c r="J54" s="3" t="str">
        <f t="shared" si="3"/>
        <v/>
      </c>
      <c r="K54" s="7" t="str">
        <f t="shared" si="4"/>
        <v/>
      </c>
    </row>
    <row r="55" spans="1:12">
      <c r="A55" s="1" t="str">
        <f>IF(Cus!$B55&lt;&gt;"",Cus!$A55,"")</f>
        <v/>
      </c>
      <c r="C55" s="16">
        <v>1</v>
      </c>
      <c r="D55" s="3" t="str">
        <f t="shared" si="0"/>
        <v/>
      </c>
      <c r="E55" s="3">
        <f>IF($C55=1,CommissionDD!$A$30,IF($C55=2,CommissionDD!$A$31,CommissionDD!$A$32))</f>
        <v>1500</v>
      </c>
      <c r="F55" s="3" t="str">
        <f t="shared" si="5"/>
        <v/>
      </c>
      <c r="G55" s="38" t="str">
        <f>IF($A55="","",(VLOOKUP($A55,Cus!$A$2:$AH$1001,23,FALSE)))</f>
        <v/>
      </c>
      <c r="H55" s="3" t="str">
        <f t="shared" si="1"/>
        <v/>
      </c>
      <c r="I55" s="56" t="str">
        <f t="shared" si="2"/>
        <v/>
      </c>
      <c r="J55" s="3" t="str">
        <f t="shared" si="3"/>
        <v/>
      </c>
      <c r="K55" s="7" t="str">
        <f t="shared" si="4"/>
        <v/>
      </c>
    </row>
    <row r="56" spans="1:12">
      <c r="A56" s="1" t="str">
        <f>IF(Cus!$B56&lt;&gt;"",Cus!$A56,"")</f>
        <v/>
      </c>
      <c r="C56" s="16">
        <v>1</v>
      </c>
      <c r="D56" s="3" t="str">
        <f t="shared" si="0"/>
        <v/>
      </c>
      <c r="E56" s="3">
        <f>IF($C56=1,CommissionDD!$A$30,IF($C56=2,CommissionDD!$A$31,CommissionDD!$A$32))</f>
        <v>1500</v>
      </c>
      <c r="F56" s="3" t="str">
        <f t="shared" si="5"/>
        <v/>
      </c>
      <c r="G56" s="38" t="str">
        <f>IF($A56="","",(VLOOKUP($A56,Cus!$A$2:$AH$1001,23,FALSE)))</f>
        <v/>
      </c>
      <c r="H56" s="3" t="str">
        <f t="shared" si="1"/>
        <v/>
      </c>
      <c r="I56" s="56" t="str">
        <f t="shared" si="2"/>
        <v/>
      </c>
      <c r="J56" s="3" t="str">
        <f t="shared" si="3"/>
        <v/>
      </c>
      <c r="K56" s="7" t="str">
        <f t="shared" si="4"/>
        <v/>
      </c>
    </row>
    <row r="57" spans="1:12">
      <c r="A57" s="1" t="str">
        <f>IF(Cus!$B57&lt;&gt;"",Cus!$A57,"")</f>
        <v/>
      </c>
      <c r="C57" s="16">
        <v>1</v>
      </c>
      <c r="D57" s="3" t="str">
        <f t="shared" si="0"/>
        <v/>
      </c>
      <c r="E57" s="3">
        <f>IF($C57=1,CommissionDD!$A$30,IF($C57=2,CommissionDD!$A$31,CommissionDD!$A$32))</f>
        <v>1500</v>
      </c>
      <c r="F57" s="3" t="str">
        <f t="shared" si="5"/>
        <v/>
      </c>
      <c r="G57" s="38" t="str">
        <f>IF($A57="","",(VLOOKUP($A57,Cus!$A$2:$AH$1001,23,FALSE)))</f>
        <v/>
      </c>
      <c r="H57" s="3" t="str">
        <f t="shared" si="1"/>
        <v/>
      </c>
      <c r="I57" s="56" t="str">
        <f t="shared" si="2"/>
        <v/>
      </c>
      <c r="J57" s="3" t="str">
        <f t="shared" si="3"/>
        <v/>
      </c>
      <c r="K57" s="7" t="str">
        <f t="shared" si="4"/>
        <v/>
      </c>
    </row>
    <row r="58" spans="1:12">
      <c r="A58" s="1" t="str">
        <f>IF(Cus!$B58&lt;&gt;"",Cus!$A58,"")</f>
        <v/>
      </c>
      <c r="C58" s="16">
        <v>1</v>
      </c>
      <c r="D58" s="3" t="str">
        <f t="shared" si="0"/>
        <v/>
      </c>
      <c r="E58" s="3">
        <f>IF($C58=1,CommissionDD!$A$30,IF($C58=2,CommissionDD!$A$31,CommissionDD!$A$32))</f>
        <v>1500</v>
      </c>
      <c r="F58" s="3" t="str">
        <f t="shared" si="5"/>
        <v/>
      </c>
      <c r="G58" s="38" t="str">
        <f>IF($A58="","",(VLOOKUP($A58,Cus!$A$2:$AH$1001,23,FALSE)))</f>
        <v/>
      </c>
      <c r="H58" s="3" t="str">
        <f t="shared" si="1"/>
        <v/>
      </c>
      <c r="I58" s="56" t="str">
        <f t="shared" si="2"/>
        <v/>
      </c>
      <c r="J58" s="3" t="str">
        <f t="shared" si="3"/>
        <v/>
      </c>
      <c r="K58" s="7" t="str">
        <f t="shared" si="4"/>
        <v/>
      </c>
    </row>
    <row r="59" spans="1:12">
      <c r="A59" s="1" t="str">
        <f>IF(Cus!$B59&lt;&gt;"",Cus!$A59,"")</f>
        <v/>
      </c>
      <c r="C59" s="16">
        <v>1</v>
      </c>
      <c r="D59" s="3" t="str">
        <f t="shared" si="0"/>
        <v/>
      </c>
      <c r="E59" s="3">
        <f>IF($C59=1,CommissionDD!$A$30,IF($C59=2,CommissionDD!$A$31,CommissionDD!$A$32))</f>
        <v>1500</v>
      </c>
      <c r="F59" s="3" t="str">
        <f t="shared" si="5"/>
        <v/>
      </c>
      <c r="G59" s="38" t="str">
        <f>IF($A59="","",(VLOOKUP($A59,Cus!$A$2:$AH$1001,23,FALSE)))</f>
        <v/>
      </c>
      <c r="H59" s="3" t="str">
        <f t="shared" si="1"/>
        <v/>
      </c>
      <c r="I59" s="56" t="str">
        <f t="shared" si="2"/>
        <v/>
      </c>
      <c r="J59" s="3" t="str">
        <f t="shared" si="3"/>
        <v/>
      </c>
      <c r="K59" s="7" t="str">
        <f t="shared" si="4"/>
        <v/>
      </c>
    </row>
    <row r="60" spans="1:12">
      <c r="A60" s="1" t="str">
        <f>IF(Cus!$B60&lt;&gt;"",Cus!$A60,"")</f>
        <v/>
      </c>
      <c r="C60" s="16">
        <v>1</v>
      </c>
      <c r="D60" s="3" t="str">
        <f t="shared" si="0"/>
        <v/>
      </c>
      <c r="E60" s="3">
        <f>IF($C60=1,CommissionDD!$A$30,IF($C60=2,CommissionDD!$A$31,CommissionDD!$A$32))</f>
        <v>1500</v>
      </c>
      <c r="F60" s="3" t="str">
        <f t="shared" si="5"/>
        <v/>
      </c>
      <c r="G60" s="38" t="str">
        <f>IF($A60="","",(VLOOKUP($A60,Cus!$A$2:$AH$1001,23,FALSE)))</f>
        <v/>
      </c>
      <c r="H60" s="3" t="str">
        <f t="shared" si="1"/>
        <v/>
      </c>
      <c r="I60" s="56" t="str">
        <f t="shared" si="2"/>
        <v/>
      </c>
      <c r="J60" s="3" t="str">
        <f t="shared" si="3"/>
        <v/>
      </c>
      <c r="K60" s="7" t="str">
        <f t="shared" si="4"/>
        <v/>
      </c>
    </row>
    <row r="61" spans="1:12">
      <c r="A61" s="1" t="str">
        <f>IF(Cus!$B61&lt;&gt;"",Cus!$A61,"")</f>
        <v/>
      </c>
      <c r="C61" s="16">
        <v>1</v>
      </c>
      <c r="D61" s="3" t="str">
        <f t="shared" si="0"/>
        <v/>
      </c>
      <c r="E61" s="3">
        <f>IF($C61=1,CommissionDD!$A$30,IF($C61=2,CommissionDD!$A$31,CommissionDD!$A$32))</f>
        <v>1500</v>
      </c>
      <c r="F61" s="3" t="str">
        <f t="shared" si="5"/>
        <v/>
      </c>
      <c r="G61" s="38" t="str">
        <f>IF($A61="","",(VLOOKUP($A61,Cus!$A$2:$AH$1001,23,FALSE)))</f>
        <v/>
      </c>
      <c r="H61" s="3" t="str">
        <f t="shared" si="1"/>
        <v/>
      </c>
      <c r="I61" s="56" t="str">
        <f t="shared" si="2"/>
        <v/>
      </c>
      <c r="J61" s="3" t="str">
        <f t="shared" si="3"/>
        <v/>
      </c>
      <c r="K61" s="7" t="str">
        <f t="shared" si="4"/>
        <v/>
      </c>
    </row>
    <row r="62" spans="1:12">
      <c r="A62" s="1" t="str">
        <f>IF(Cus!$B62&lt;&gt;"",Cus!$A62,"")</f>
        <v/>
      </c>
      <c r="C62" s="16">
        <v>1</v>
      </c>
      <c r="D62" s="3" t="str">
        <f t="shared" si="0"/>
        <v/>
      </c>
      <c r="E62" s="3">
        <f>IF($C62=1,CommissionDD!$A$30,IF($C62=2,CommissionDD!$A$31,CommissionDD!$A$32))</f>
        <v>1500</v>
      </c>
      <c r="F62" s="3" t="str">
        <f t="shared" si="5"/>
        <v/>
      </c>
      <c r="G62" s="38" t="str">
        <f>IF($A62="","",(VLOOKUP($A62,Cus!$A$2:$AH$1001,23,FALSE)))</f>
        <v/>
      </c>
      <c r="H62" s="3" t="str">
        <f t="shared" si="1"/>
        <v/>
      </c>
      <c r="I62" s="56" t="str">
        <f t="shared" si="2"/>
        <v/>
      </c>
      <c r="J62" s="3" t="str">
        <f t="shared" si="3"/>
        <v/>
      </c>
      <c r="K62" s="7" t="str">
        <f t="shared" si="4"/>
        <v/>
      </c>
    </row>
    <row r="63" spans="1:12">
      <c r="A63" s="1" t="str">
        <f>IF(Cus!$B63&lt;&gt;"",Cus!$A63,"")</f>
        <v/>
      </c>
      <c r="C63" s="16">
        <v>1</v>
      </c>
      <c r="D63" s="3" t="str">
        <f t="shared" si="0"/>
        <v/>
      </c>
      <c r="E63" s="3">
        <f>IF($C63=1,CommissionDD!$A$30,IF($C63=2,CommissionDD!$A$31,CommissionDD!$A$32))</f>
        <v>1500</v>
      </c>
      <c r="F63" s="3" t="str">
        <f t="shared" si="5"/>
        <v/>
      </c>
      <c r="G63" s="38" t="str">
        <f>IF($A63="","",(VLOOKUP($A63,Cus!$A$2:$AH$1001,23,FALSE)))</f>
        <v/>
      </c>
      <c r="H63" s="3" t="str">
        <f t="shared" si="1"/>
        <v/>
      </c>
      <c r="I63" s="56" t="str">
        <f t="shared" si="2"/>
        <v/>
      </c>
      <c r="J63" s="3" t="str">
        <f t="shared" si="3"/>
        <v/>
      </c>
      <c r="K63" s="7" t="str">
        <f t="shared" si="4"/>
        <v/>
      </c>
    </row>
    <row r="64" spans="1:12">
      <c r="A64" s="1" t="str">
        <f>IF(Cus!$B64&lt;&gt;"",Cus!$A64,"")</f>
        <v/>
      </c>
      <c r="C64" s="16">
        <v>1</v>
      </c>
      <c r="D64" s="3" t="str">
        <f t="shared" si="0"/>
        <v/>
      </c>
      <c r="E64" s="3">
        <f>IF($C64=1,CommissionDD!$A$30,IF($C64=2,CommissionDD!$A$31,CommissionDD!$A$32))</f>
        <v>1500</v>
      </c>
      <c r="F64" s="3" t="str">
        <f t="shared" si="5"/>
        <v/>
      </c>
      <c r="G64" s="38" t="str">
        <f>IF($A64="","",(VLOOKUP($A64,Cus!$A$2:$AH$1001,23,FALSE)))</f>
        <v/>
      </c>
      <c r="H64" s="3" t="str">
        <f t="shared" si="1"/>
        <v/>
      </c>
      <c r="I64" s="56" t="str">
        <f t="shared" si="2"/>
        <v/>
      </c>
      <c r="J64" s="3" t="str">
        <f t="shared" si="3"/>
        <v/>
      </c>
      <c r="K64" s="7" t="str">
        <f t="shared" si="4"/>
        <v/>
      </c>
    </row>
    <row r="65" spans="1:11">
      <c r="A65" s="1" t="str">
        <f>IF(Cus!$B65&lt;&gt;"",Cus!$A65,"")</f>
        <v/>
      </c>
      <c r="C65" s="16">
        <v>1</v>
      </c>
      <c r="D65" s="3" t="str">
        <f t="shared" si="0"/>
        <v/>
      </c>
      <c r="E65" s="3">
        <f>IF($C65=1,CommissionDD!$A$30,IF($C65=2,CommissionDD!$A$31,CommissionDD!$A$32))</f>
        <v>1500</v>
      </c>
      <c r="F65" s="3" t="str">
        <f t="shared" si="5"/>
        <v/>
      </c>
      <c r="G65" s="38" t="str">
        <f>IF($A65="","",(VLOOKUP($A65,Cus!$A$2:$AH$1001,23,FALSE)))</f>
        <v/>
      </c>
      <c r="H65" s="3" t="str">
        <f t="shared" si="1"/>
        <v/>
      </c>
      <c r="I65" s="56" t="str">
        <f t="shared" si="2"/>
        <v/>
      </c>
      <c r="J65" s="3" t="str">
        <f t="shared" si="3"/>
        <v/>
      </c>
      <c r="K65" s="7" t="str">
        <f t="shared" si="4"/>
        <v/>
      </c>
    </row>
    <row r="66" spans="1:11">
      <c r="A66" s="1" t="str">
        <f>IF(Cus!$B66&lt;&gt;"",Cus!$A66,"")</f>
        <v/>
      </c>
      <c r="C66" s="16">
        <v>1</v>
      </c>
      <c r="D66" s="3" t="str">
        <f t="shared" ref="D66:D129" si="6">IF($A66="","",1500)</f>
        <v/>
      </c>
      <c r="E66" s="3">
        <f>IF($C66=1,CommissionDD!$A$30,IF($C66=2,CommissionDD!$A$31,CommissionDD!$A$32))</f>
        <v>1500</v>
      </c>
      <c r="F66" s="3" t="str">
        <f t="shared" si="5"/>
        <v/>
      </c>
      <c r="G66" s="38" t="str">
        <f>IF($A66="","",(VLOOKUP($A66,Cus!$A$2:$AH$1001,23,FALSE)))</f>
        <v/>
      </c>
      <c r="H66" s="3" t="str">
        <f t="shared" ref="H66:H129" si="7">IF($A66="","",395)</f>
        <v/>
      </c>
      <c r="I66" s="56" t="str">
        <f t="shared" ref="I66:I129" si="8">IF($A66="","",60)</f>
        <v/>
      </c>
      <c r="J66" s="3" t="str">
        <f t="shared" ref="J66:J129" si="9">IF($A66="","",$H66*$I66)</f>
        <v/>
      </c>
      <c r="K66" s="7" t="str">
        <f t="shared" ref="K66:K129" si="10">IF($G66="","",(DATE(YEAR($G66),MONTH($G66)+$C66,MIN(DAY($G66)))))</f>
        <v/>
      </c>
    </row>
    <row r="67" spans="1:11">
      <c r="A67" s="1" t="str">
        <f>IF(Cus!$B67&lt;&gt;"",Cus!$A67,"")</f>
        <v/>
      </c>
      <c r="C67" s="16">
        <v>1</v>
      </c>
      <c r="D67" s="3" t="str">
        <f t="shared" si="6"/>
        <v/>
      </c>
      <c r="E67" s="3">
        <f>IF($C67=1,CommissionDD!$A$30,IF($C67=2,CommissionDD!$A$31,CommissionDD!$A$32))</f>
        <v>1500</v>
      </c>
      <c r="F67" s="3" t="str">
        <f t="shared" ref="F67:F130" si="11">IF($A67="","",$D67-$E67)</f>
        <v/>
      </c>
      <c r="G67" s="38" t="str">
        <f>IF($A67="","",(VLOOKUP($A67,Cus!$A$2:$AH$1001,23,FALSE)))</f>
        <v/>
      </c>
      <c r="H67" s="3" t="str">
        <f t="shared" si="7"/>
        <v/>
      </c>
      <c r="I67" s="56" t="str">
        <f t="shared" si="8"/>
        <v/>
      </c>
      <c r="J67" s="3" t="str">
        <f t="shared" si="9"/>
        <v/>
      </c>
      <c r="K67" s="7" t="str">
        <f t="shared" si="10"/>
        <v/>
      </c>
    </row>
    <row r="68" spans="1:11">
      <c r="A68" s="1" t="str">
        <f>IF(Cus!$B68&lt;&gt;"",Cus!$A68,"")</f>
        <v/>
      </c>
      <c r="C68" s="16">
        <v>1</v>
      </c>
      <c r="D68" s="3" t="str">
        <f t="shared" si="6"/>
        <v/>
      </c>
      <c r="E68" s="3">
        <f>IF($C68=1,CommissionDD!$A$30,IF($C68=2,CommissionDD!$A$31,CommissionDD!$A$32))</f>
        <v>1500</v>
      </c>
      <c r="F68" s="3" t="str">
        <f t="shared" si="11"/>
        <v/>
      </c>
      <c r="G68" s="38" t="str">
        <f>IF($A68="","",(VLOOKUP($A68,Cus!$A$2:$AH$1001,23,FALSE)))</f>
        <v/>
      </c>
      <c r="H68" s="3" t="str">
        <f t="shared" si="7"/>
        <v/>
      </c>
      <c r="I68" s="56" t="str">
        <f t="shared" si="8"/>
        <v/>
      </c>
      <c r="J68" s="3" t="str">
        <f t="shared" si="9"/>
        <v/>
      </c>
      <c r="K68" s="7" t="str">
        <f t="shared" si="10"/>
        <v/>
      </c>
    </row>
    <row r="69" spans="1:11">
      <c r="A69" s="1" t="str">
        <f>IF(Cus!$B69&lt;&gt;"",Cus!$A69,"")</f>
        <v/>
      </c>
      <c r="C69" s="16">
        <v>1</v>
      </c>
      <c r="D69" s="3" t="str">
        <f t="shared" si="6"/>
        <v/>
      </c>
      <c r="E69" s="3">
        <f>IF($C69=1,CommissionDD!$A$30,IF($C69=2,CommissionDD!$A$31,CommissionDD!$A$32))</f>
        <v>1500</v>
      </c>
      <c r="F69" s="3" t="str">
        <f t="shared" si="11"/>
        <v/>
      </c>
      <c r="G69" s="38" t="str">
        <f>IF($A69="","",(VLOOKUP($A69,Cus!$A$2:$AH$1001,23,FALSE)))</f>
        <v/>
      </c>
      <c r="H69" s="3" t="str">
        <f t="shared" si="7"/>
        <v/>
      </c>
      <c r="I69" s="56" t="str">
        <f t="shared" si="8"/>
        <v/>
      </c>
      <c r="J69" s="3" t="str">
        <f t="shared" si="9"/>
        <v/>
      </c>
      <c r="K69" s="7" t="str">
        <f t="shared" si="10"/>
        <v/>
      </c>
    </row>
    <row r="70" spans="1:11">
      <c r="A70" s="1" t="str">
        <f>IF(Cus!$B70&lt;&gt;"",Cus!$A70,"")</f>
        <v/>
      </c>
      <c r="C70" s="16">
        <v>1</v>
      </c>
      <c r="D70" s="3" t="str">
        <f t="shared" si="6"/>
        <v/>
      </c>
      <c r="E70" s="3">
        <f>IF($C70=1,CommissionDD!$A$30,IF($C70=2,CommissionDD!$A$31,CommissionDD!$A$32))</f>
        <v>1500</v>
      </c>
      <c r="F70" s="3" t="str">
        <f t="shared" si="11"/>
        <v/>
      </c>
      <c r="G70" s="38" t="str">
        <f>IF($A70="","",(VLOOKUP($A70,Cus!$A$2:$AH$1001,23,FALSE)))</f>
        <v/>
      </c>
      <c r="H70" s="3" t="str">
        <f t="shared" si="7"/>
        <v/>
      </c>
      <c r="I70" s="56" t="str">
        <f t="shared" si="8"/>
        <v/>
      </c>
      <c r="J70" s="3" t="str">
        <f t="shared" si="9"/>
        <v/>
      </c>
      <c r="K70" s="7" t="str">
        <f t="shared" si="10"/>
        <v/>
      </c>
    </row>
    <row r="71" spans="1:11">
      <c r="A71" s="1" t="str">
        <f>IF(Cus!$B71&lt;&gt;"",Cus!$A71,"")</f>
        <v/>
      </c>
      <c r="C71" s="16">
        <v>1</v>
      </c>
      <c r="D71" s="3" t="str">
        <f t="shared" si="6"/>
        <v/>
      </c>
      <c r="E71" s="3">
        <f>IF($C71=1,CommissionDD!$A$30,IF($C71=2,CommissionDD!$A$31,CommissionDD!$A$32))</f>
        <v>1500</v>
      </c>
      <c r="F71" s="3" t="str">
        <f t="shared" si="11"/>
        <v/>
      </c>
      <c r="G71" s="38" t="str">
        <f>IF($A71="","",(VLOOKUP($A71,Cus!$A$2:$AH$1001,23,FALSE)))</f>
        <v/>
      </c>
      <c r="H71" s="3" t="str">
        <f t="shared" si="7"/>
        <v/>
      </c>
      <c r="I71" s="56" t="str">
        <f t="shared" si="8"/>
        <v/>
      </c>
      <c r="J71" s="3" t="str">
        <f t="shared" si="9"/>
        <v/>
      </c>
      <c r="K71" s="7" t="str">
        <f t="shared" si="10"/>
        <v/>
      </c>
    </row>
    <row r="72" spans="1:11">
      <c r="A72" s="1" t="str">
        <f>IF(Cus!$B72&lt;&gt;"",Cus!$A72,"")</f>
        <v/>
      </c>
      <c r="C72" s="16">
        <v>1</v>
      </c>
      <c r="D72" s="3" t="str">
        <f t="shared" si="6"/>
        <v/>
      </c>
      <c r="E72" s="3">
        <f>IF($C72=1,CommissionDD!$A$30,IF($C72=2,CommissionDD!$A$31,CommissionDD!$A$32))</f>
        <v>1500</v>
      </c>
      <c r="F72" s="3" t="str">
        <f t="shared" si="11"/>
        <v/>
      </c>
      <c r="G72" s="38" t="str">
        <f>IF($A72="","",(VLOOKUP($A72,Cus!$A$2:$AH$1001,23,FALSE)))</f>
        <v/>
      </c>
      <c r="H72" s="3" t="str">
        <f t="shared" si="7"/>
        <v/>
      </c>
      <c r="I72" s="56" t="str">
        <f t="shared" si="8"/>
        <v/>
      </c>
      <c r="J72" s="3" t="str">
        <f t="shared" si="9"/>
        <v/>
      </c>
      <c r="K72" s="7" t="str">
        <f t="shared" si="10"/>
        <v/>
      </c>
    </row>
    <row r="73" spans="1:11">
      <c r="A73" s="1" t="str">
        <f>IF(Cus!$B73&lt;&gt;"",Cus!$A73,"")</f>
        <v/>
      </c>
      <c r="C73" s="16">
        <v>1</v>
      </c>
      <c r="D73" s="3" t="str">
        <f t="shared" si="6"/>
        <v/>
      </c>
      <c r="E73" s="3">
        <f>IF($C73=1,CommissionDD!$A$30,IF($C73=2,CommissionDD!$A$31,CommissionDD!$A$32))</f>
        <v>1500</v>
      </c>
      <c r="F73" s="3" t="str">
        <f t="shared" si="11"/>
        <v/>
      </c>
      <c r="G73" s="38" t="str">
        <f>IF($A73="","",(VLOOKUP($A73,Cus!$A$2:$AH$1001,23,FALSE)))</f>
        <v/>
      </c>
      <c r="H73" s="3" t="str">
        <f t="shared" si="7"/>
        <v/>
      </c>
      <c r="I73" s="56" t="str">
        <f t="shared" si="8"/>
        <v/>
      </c>
      <c r="J73" s="3" t="str">
        <f t="shared" si="9"/>
        <v/>
      </c>
      <c r="K73" s="7" t="str">
        <f t="shared" si="10"/>
        <v/>
      </c>
    </row>
    <row r="74" spans="1:11">
      <c r="A74" s="1" t="str">
        <f>IF(Cus!$B74&lt;&gt;"",Cus!$A74,"")</f>
        <v/>
      </c>
      <c r="C74" s="16">
        <v>1</v>
      </c>
      <c r="D74" s="3" t="str">
        <f t="shared" si="6"/>
        <v/>
      </c>
      <c r="E74" s="3">
        <f>IF($C74=1,CommissionDD!$A$30,IF($C74=2,CommissionDD!$A$31,CommissionDD!$A$32))</f>
        <v>1500</v>
      </c>
      <c r="F74" s="3" t="str">
        <f t="shared" si="11"/>
        <v/>
      </c>
      <c r="G74" s="38" t="str">
        <f>IF($A74="","",(VLOOKUP($A74,Cus!$A$2:$AH$1001,23,FALSE)))</f>
        <v/>
      </c>
      <c r="H74" s="3" t="str">
        <f t="shared" si="7"/>
        <v/>
      </c>
      <c r="I74" s="56" t="str">
        <f t="shared" si="8"/>
        <v/>
      </c>
      <c r="J74" s="3" t="str">
        <f t="shared" si="9"/>
        <v/>
      </c>
      <c r="K74" s="7" t="str">
        <f t="shared" si="10"/>
        <v/>
      </c>
    </row>
    <row r="75" spans="1:11">
      <c r="A75" s="1" t="str">
        <f>IF(Cus!$B75&lt;&gt;"",Cus!$A75,"")</f>
        <v/>
      </c>
      <c r="C75" s="16">
        <v>1</v>
      </c>
      <c r="D75" s="3" t="str">
        <f t="shared" si="6"/>
        <v/>
      </c>
      <c r="E75" s="3">
        <f>IF($C75=1,CommissionDD!$A$30,IF($C75=2,CommissionDD!$A$31,CommissionDD!$A$32))</f>
        <v>1500</v>
      </c>
      <c r="F75" s="3" t="str">
        <f t="shared" si="11"/>
        <v/>
      </c>
      <c r="G75" s="38" t="str">
        <f>IF($A75="","",(VLOOKUP($A75,Cus!$A$2:$AH$1001,23,FALSE)))</f>
        <v/>
      </c>
      <c r="H75" s="3" t="str">
        <f t="shared" si="7"/>
        <v/>
      </c>
      <c r="I75" s="56" t="str">
        <f t="shared" si="8"/>
        <v/>
      </c>
      <c r="J75" s="3" t="str">
        <f t="shared" si="9"/>
        <v/>
      </c>
      <c r="K75" s="7" t="str">
        <f t="shared" si="10"/>
        <v/>
      </c>
    </row>
    <row r="76" spans="1:11">
      <c r="A76" s="1" t="str">
        <f>IF(Cus!$B76&lt;&gt;"",Cus!$A76,"")</f>
        <v/>
      </c>
      <c r="C76" s="16">
        <v>1</v>
      </c>
      <c r="D76" s="3" t="str">
        <f t="shared" si="6"/>
        <v/>
      </c>
      <c r="E76" s="3">
        <f>IF($C76=1,CommissionDD!$A$30,IF($C76=2,CommissionDD!$A$31,CommissionDD!$A$32))</f>
        <v>1500</v>
      </c>
      <c r="F76" s="3" t="str">
        <f t="shared" si="11"/>
        <v/>
      </c>
      <c r="G76" s="38" t="str">
        <f>IF($A76="","",(VLOOKUP($A76,Cus!$A$2:$AH$1001,23,FALSE)))</f>
        <v/>
      </c>
      <c r="H76" s="3" t="str">
        <f t="shared" si="7"/>
        <v/>
      </c>
      <c r="I76" s="56" t="str">
        <f t="shared" si="8"/>
        <v/>
      </c>
      <c r="J76" s="3" t="str">
        <f t="shared" si="9"/>
        <v/>
      </c>
      <c r="K76" s="7" t="str">
        <f t="shared" si="10"/>
        <v/>
      </c>
    </row>
    <row r="77" spans="1:11">
      <c r="A77" s="1" t="str">
        <f>IF(Cus!$B77&lt;&gt;"",Cus!$A77,"")</f>
        <v/>
      </c>
      <c r="C77" s="16">
        <v>1</v>
      </c>
      <c r="D77" s="3" t="str">
        <f t="shared" si="6"/>
        <v/>
      </c>
      <c r="E77" s="3">
        <f>IF($C77=1,CommissionDD!$A$30,IF($C77=2,CommissionDD!$A$31,CommissionDD!$A$32))</f>
        <v>1500</v>
      </c>
      <c r="F77" s="3" t="str">
        <f t="shared" si="11"/>
        <v/>
      </c>
      <c r="G77" s="38" t="str">
        <f>IF($A77="","",(VLOOKUP($A77,Cus!$A$2:$AH$1001,23,FALSE)))</f>
        <v/>
      </c>
      <c r="H77" s="3" t="str">
        <f t="shared" si="7"/>
        <v/>
      </c>
      <c r="I77" s="56" t="str">
        <f t="shared" si="8"/>
        <v/>
      </c>
      <c r="J77" s="3" t="str">
        <f t="shared" si="9"/>
        <v/>
      </c>
      <c r="K77" s="7" t="str">
        <f t="shared" si="10"/>
        <v/>
      </c>
    </row>
    <row r="78" spans="1:11">
      <c r="A78" s="1" t="str">
        <f>IF(Cus!$B78&lt;&gt;"",Cus!$A78,"")</f>
        <v/>
      </c>
      <c r="C78" s="16">
        <v>1</v>
      </c>
      <c r="D78" s="3" t="str">
        <f t="shared" si="6"/>
        <v/>
      </c>
      <c r="E78" s="3">
        <f>IF($C78=1,CommissionDD!$A$30,IF($C78=2,CommissionDD!$A$31,CommissionDD!$A$32))</f>
        <v>1500</v>
      </c>
      <c r="F78" s="3" t="str">
        <f t="shared" si="11"/>
        <v/>
      </c>
      <c r="G78" s="38" t="str">
        <f>IF($A78="","",(VLOOKUP($A78,Cus!$A$2:$AH$1001,23,FALSE)))</f>
        <v/>
      </c>
      <c r="H78" s="3" t="str">
        <f t="shared" si="7"/>
        <v/>
      </c>
      <c r="I78" s="56" t="str">
        <f t="shared" si="8"/>
        <v/>
      </c>
      <c r="J78" s="3" t="str">
        <f t="shared" si="9"/>
        <v/>
      </c>
      <c r="K78" s="7" t="str">
        <f t="shared" si="10"/>
        <v/>
      </c>
    </row>
    <row r="79" spans="1:11">
      <c r="A79" s="1" t="str">
        <f>IF(Cus!$B79&lt;&gt;"",Cus!$A79,"")</f>
        <v/>
      </c>
      <c r="C79" s="16">
        <v>1</v>
      </c>
      <c r="D79" s="3" t="str">
        <f t="shared" si="6"/>
        <v/>
      </c>
      <c r="E79" s="3">
        <f>IF($C79=1,CommissionDD!$A$30,IF($C79=2,CommissionDD!$A$31,CommissionDD!$A$32))</f>
        <v>1500</v>
      </c>
      <c r="F79" s="3" t="str">
        <f t="shared" si="11"/>
        <v/>
      </c>
      <c r="G79" s="38" t="str">
        <f>IF($A79="","",(VLOOKUP($A79,Cus!$A$2:$AH$1001,23,FALSE)))</f>
        <v/>
      </c>
      <c r="H79" s="3" t="str">
        <f t="shared" si="7"/>
        <v/>
      </c>
      <c r="I79" s="56" t="str">
        <f t="shared" si="8"/>
        <v/>
      </c>
      <c r="J79" s="3" t="str">
        <f t="shared" si="9"/>
        <v/>
      </c>
      <c r="K79" s="7" t="str">
        <f t="shared" si="10"/>
        <v/>
      </c>
    </row>
    <row r="80" spans="1:11">
      <c r="A80" s="1" t="str">
        <f>IF(Cus!$B80&lt;&gt;"",Cus!$A80,"")</f>
        <v/>
      </c>
      <c r="C80" s="16">
        <v>1</v>
      </c>
      <c r="D80" s="3" t="str">
        <f t="shared" si="6"/>
        <v/>
      </c>
      <c r="E80" s="3">
        <f>IF($C80=1,CommissionDD!$A$30,IF($C80=2,CommissionDD!$A$31,CommissionDD!$A$32))</f>
        <v>1500</v>
      </c>
      <c r="F80" s="3" t="str">
        <f t="shared" si="11"/>
        <v/>
      </c>
      <c r="G80" s="38" t="str">
        <f>IF($A80="","",(VLOOKUP($A80,Cus!$A$2:$AH$1001,23,FALSE)))</f>
        <v/>
      </c>
      <c r="H80" s="3" t="str">
        <f t="shared" si="7"/>
        <v/>
      </c>
      <c r="I80" s="56" t="str">
        <f t="shared" si="8"/>
        <v/>
      </c>
      <c r="J80" s="3" t="str">
        <f t="shared" si="9"/>
        <v/>
      </c>
      <c r="K80" s="7" t="str">
        <f t="shared" si="10"/>
        <v/>
      </c>
    </row>
    <row r="81" spans="1:11">
      <c r="A81" s="1" t="str">
        <f>IF(Cus!$B81&lt;&gt;"",Cus!$A81,"")</f>
        <v/>
      </c>
      <c r="C81" s="16">
        <v>1</v>
      </c>
      <c r="D81" s="3" t="str">
        <f t="shared" si="6"/>
        <v/>
      </c>
      <c r="E81" s="3">
        <f>IF($C81=1,CommissionDD!$A$30,IF($C81=2,CommissionDD!$A$31,CommissionDD!$A$32))</f>
        <v>1500</v>
      </c>
      <c r="F81" s="3" t="str">
        <f t="shared" si="11"/>
        <v/>
      </c>
      <c r="G81" s="38" t="str">
        <f>IF($A81="","",(VLOOKUP($A81,Cus!$A$2:$AH$1001,23,FALSE)))</f>
        <v/>
      </c>
      <c r="H81" s="3" t="str">
        <f t="shared" si="7"/>
        <v/>
      </c>
      <c r="I81" s="56" t="str">
        <f t="shared" si="8"/>
        <v/>
      </c>
      <c r="J81" s="3" t="str">
        <f t="shared" si="9"/>
        <v/>
      </c>
      <c r="K81" s="7" t="str">
        <f t="shared" si="10"/>
        <v/>
      </c>
    </row>
    <row r="82" spans="1:11">
      <c r="A82" s="1" t="str">
        <f>IF(Cus!$B82&lt;&gt;"",Cus!$A82,"")</f>
        <v/>
      </c>
      <c r="C82" s="16">
        <v>1</v>
      </c>
      <c r="D82" s="3" t="str">
        <f t="shared" si="6"/>
        <v/>
      </c>
      <c r="E82" s="3">
        <f>IF($C82=1,CommissionDD!$A$30,IF($C82=2,CommissionDD!$A$31,CommissionDD!$A$32))</f>
        <v>1500</v>
      </c>
      <c r="F82" s="3" t="str">
        <f t="shared" si="11"/>
        <v/>
      </c>
      <c r="G82" s="38" t="str">
        <f>IF($A82="","",(VLOOKUP($A82,Cus!$A$2:$AH$1001,23,FALSE)))</f>
        <v/>
      </c>
      <c r="H82" s="3" t="str">
        <f t="shared" si="7"/>
        <v/>
      </c>
      <c r="I82" s="56" t="str">
        <f t="shared" si="8"/>
        <v/>
      </c>
      <c r="J82" s="3" t="str">
        <f t="shared" si="9"/>
        <v/>
      </c>
      <c r="K82" s="7" t="str">
        <f t="shared" si="10"/>
        <v/>
      </c>
    </row>
    <row r="83" spans="1:11">
      <c r="A83" s="1" t="str">
        <f>IF(Cus!$B83&lt;&gt;"",Cus!$A83,"")</f>
        <v/>
      </c>
      <c r="C83" s="16">
        <v>1</v>
      </c>
      <c r="D83" s="3" t="str">
        <f t="shared" si="6"/>
        <v/>
      </c>
      <c r="E83" s="3">
        <f>IF($C83=1,CommissionDD!$A$30,IF($C83=2,CommissionDD!$A$31,CommissionDD!$A$32))</f>
        <v>1500</v>
      </c>
      <c r="F83" s="3" t="str">
        <f t="shared" si="11"/>
        <v/>
      </c>
      <c r="G83" s="38" t="str">
        <f>IF($A83="","",(VLOOKUP($A83,Cus!$A$2:$AH$1001,23,FALSE)))</f>
        <v/>
      </c>
      <c r="H83" s="3" t="str">
        <f t="shared" si="7"/>
        <v/>
      </c>
      <c r="I83" s="56" t="str">
        <f t="shared" si="8"/>
        <v/>
      </c>
      <c r="J83" s="3" t="str">
        <f t="shared" si="9"/>
        <v/>
      </c>
      <c r="K83" s="7" t="str">
        <f t="shared" si="10"/>
        <v/>
      </c>
    </row>
    <row r="84" spans="1:11">
      <c r="A84" s="1" t="str">
        <f>IF(Cus!$B84&lt;&gt;"",Cus!$A84,"")</f>
        <v/>
      </c>
      <c r="C84" s="16">
        <v>1</v>
      </c>
      <c r="D84" s="3" t="str">
        <f t="shared" si="6"/>
        <v/>
      </c>
      <c r="E84" s="3">
        <f>IF($C84=1,CommissionDD!$A$30,IF($C84=2,CommissionDD!$A$31,CommissionDD!$A$32))</f>
        <v>1500</v>
      </c>
      <c r="F84" s="3" t="str">
        <f t="shared" si="11"/>
        <v/>
      </c>
      <c r="G84" s="38" t="str">
        <f>IF($A84="","",(VLOOKUP($A84,Cus!$A$2:$AH$1001,23,FALSE)))</f>
        <v/>
      </c>
      <c r="H84" s="3" t="str">
        <f t="shared" si="7"/>
        <v/>
      </c>
      <c r="I84" s="56" t="str">
        <f t="shared" si="8"/>
        <v/>
      </c>
      <c r="J84" s="3" t="str">
        <f t="shared" si="9"/>
        <v/>
      </c>
      <c r="K84" s="7" t="str">
        <f t="shared" si="10"/>
        <v/>
      </c>
    </row>
    <row r="85" spans="1:11">
      <c r="A85" s="1" t="str">
        <f>IF(Cus!$B85&lt;&gt;"",Cus!$A85,"")</f>
        <v/>
      </c>
      <c r="C85" s="16">
        <v>1</v>
      </c>
      <c r="D85" s="3" t="str">
        <f t="shared" si="6"/>
        <v/>
      </c>
      <c r="E85" s="3">
        <f>IF($C85=1,CommissionDD!$A$30,IF($C85=2,CommissionDD!$A$31,CommissionDD!$A$32))</f>
        <v>1500</v>
      </c>
      <c r="F85" s="3" t="str">
        <f t="shared" si="11"/>
        <v/>
      </c>
      <c r="G85" s="38" t="str">
        <f>IF($A85="","",(VLOOKUP($A85,Cus!$A$2:$AH$1001,23,FALSE)))</f>
        <v/>
      </c>
      <c r="H85" s="3" t="str">
        <f t="shared" si="7"/>
        <v/>
      </c>
      <c r="I85" s="56" t="str">
        <f t="shared" si="8"/>
        <v/>
      </c>
      <c r="J85" s="3" t="str">
        <f t="shared" si="9"/>
        <v/>
      </c>
      <c r="K85" s="7" t="str">
        <f t="shared" si="10"/>
        <v/>
      </c>
    </row>
    <row r="86" spans="1:11">
      <c r="A86" s="1" t="str">
        <f>IF(Cus!$B86&lt;&gt;"",Cus!$A86,"")</f>
        <v/>
      </c>
      <c r="C86" s="16">
        <v>1</v>
      </c>
      <c r="D86" s="3" t="str">
        <f t="shared" si="6"/>
        <v/>
      </c>
      <c r="E86" s="3">
        <f>IF($C86=1,CommissionDD!$A$30,IF($C86=2,CommissionDD!$A$31,CommissionDD!$A$32))</f>
        <v>1500</v>
      </c>
      <c r="F86" s="3" t="str">
        <f t="shared" si="11"/>
        <v/>
      </c>
      <c r="G86" s="38" t="str">
        <f>IF($A86="","",(VLOOKUP($A86,Cus!$A$2:$AH$1001,23,FALSE)))</f>
        <v/>
      </c>
      <c r="H86" s="3" t="str">
        <f t="shared" si="7"/>
        <v/>
      </c>
      <c r="I86" s="56" t="str">
        <f t="shared" si="8"/>
        <v/>
      </c>
      <c r="J86" s="3" t="str">
        <f t="shared" si="9"/>
        <v/>
      </c>
      <c r="K86" s="7" t="str">
        <f t="shared" si="10"/>
        <v/>
      </c>
    </row>
    <row r="87" spans="1:11">
      <c r="A87" s="1" t="str">
        <f>IF(Cus!$B87&lt;&gt;"",Cus!$A87,"")</f>
        <v/>
      </c>
      <c r="C87" s="16">
        <v>1</v>
      </c>
      <c r="D87" s="3" t="str">
        <f t="shared" si="6"/>
        <v/>
      </c>
      <c r="E87" s="3">
        <f>IF($C87=1,CommissionDD!$A$30,IF($C87=2,CommissionDD!$A$31,CommissionDD!$A$32))</f>
        <v>1500</v>
      </c>
      <c r="F87" s="3" t="str">
        <f t="shared" si="11"/>
        <v/>
      </c>
      <c r="G87" s="38" t="str">
        <f>IF($A87="","",(VLOOKUP($A87,Cus!$A$2:$AH$1001,23,FALSE)))</f>
        <v/>
      </c>
      <c r="H87" s="3" t="str">
        <f t="shared" si="7"/>
        <v/>
      </c>
      <c r="I87" s="56" t="str">
        <f t="shared" si="8"/>
        <v/>
      </c>
      <c r="J87" s="3" t="str">
        <f t="shared" si="9"/>
        <v/>
      </c>
      <c r="K87" s="7" t="str">
        <f t="shared" si="10"/>
        <v/>
      </c>
    </row>
    <row r="88" spans="1:11">
      <c r="A88" s="1" t="str">
        <f>IF(Cus!$B88&lt;&gt;"",Cus!$A88,"")</f>
        <v/>
      </c>
      <c r="C88" s="16">
        <v>1</v>
      </c>
      <c r="D88" s="3" t="str">
        <f t="shared" si="6"/>
        <v/>
      </c>
      <c r="E88" s="3">
        <f>IF($C88=1,CommissionDD!$A$30,IF($C88=2,CommissionDD!$A$31,CommissionDD!$A$32))</f>
        <v>1500</v>
      </c>
      <c r="F88" s="3" t="str">
        <f t="shared" si="11"/>
        <v/>
      </c>
      <c r="G88" s="38" t="str">
        <f>IF($A88="","",(VLOOKUP($A88,Cus!$A$2:$AH$1001,23,FALSE)))</f>
        <v/>
      </c>
      <c r="H88" s="3" t="str">
        <f t="shared" si="7"/>
        <v/>
      </c>
      <c r="I88" s="56" t="str">
        <f t="shared" si="8"/>
        <v/>
      </c>
      <c r="J88" s="3" t="str">
        <f t="shared" si="9"/>
        <v/>
      </c>
      <c r="K88" s="7" t="str">
        <f t="shared" si="10"/>
        <v/>
      </c>
    </row>
    <row r="89" spans="1:11">
      <c r="A89" s="1" t="str">
        <f>IF(Cus!$B89&lt;&gt;"",Cus!$A89,"")</f>
        <v/>
      </c>
      <c r="C89" s="16">
        <v>1</v>
      </c>
      <c r="D89" s="3" t="str">
        <f t="shared" si="6"/>
        <v/>
      </c>
      <c r="E89" s="3">
        <f>IF($C89=1,CommissionDD!$A$30,IF($C89=2,CommissionDD!$A$31,CommissionDD!$A$32))</f>
        <v>1500</v>
      </c>
      <c r="F89" s="3" t="str">
        <f t="shared" si="11"/>
        <v/>
      </c>
      <c r="G89" s="38" t="str">
        <f>IF($A89="","",(VLOOKUP($A89,Cus!$A$2:$AH$1001,23,FALSE)))</f>
        <v/>
      </c>
      <c r="H89" s="3" t="str">
        <f t="shared" si="7"/>
        <v/>
      </c>
      <c r="I89" s="56" t="str">
        <f t="shared" si="8"/>
        <v/>
      </c>
      <c r="J89" s="3" t="str">
        <f t="shared" si="9"/>
        <v/>
      </c>
      <c r="K89" s="7" t="str">
        <f t="shared" si="10"/>
        <v/>
      </c>
    </row>
    <row r="90" spans="1:11">
      <c r="A90" s="1" t="str">
        <f>IF(Cus!$B90&lt;&gt;"",Cus!$A90,"")</f>
        <v/>
      </c>
      <c r="C90" s="16">
        <v>1</v>
      </c>
      <c r="D90" s="3" t="str">
        <f t="shared" si="6"/>
        <v/>
      </c>
      <c r="E90" s="3">
        <f>IF($C90=1,CommissionDD!$A$30,IF($C90=2,CommissionDD!$A$31,CommissionDD!$A$32))</f>
        <v>1500</v>
      </c>
      <c r="F90" s="3" t="str">
        <f t="shared" si="11"/>
        <v/>
      </c>
      <c r="G90" s="38" t="str">
        <f>IF($A90="","",(VLOOKUP($A90,Cus!$A$2:$AH$1001,23,FALSE)))</f>
        <v/>
      </c>
      <c r="H90" s="3" t="str">
        <f t="shared" si="7"/>
        <v/>
      </c>
      <c r="I90" s="56" t="str">
        <f t="shared" si="8"/>
        <v/>
      </c>
      <c r="J90" s="3" t="str">
        <f t="shared" si="9"/>
        <v/>
      </c>
      <c r="K90" s="7" t="str">
        <f t="shared" si="10"/>
        <v/>
      </c>
    </row>
    <row r="91" spans="1:11">
      <c r="A91" s="1" t="str">
        <f>IF(Cus!$B91&lt;&gt;"",Cus!$A91,"")</f>
        <v/>
      </c>
      <c r="C91" s="16">
        <v>1</v>
      </c>
      <c r="D91" s="3" t="str">
        <f t="shared" si="6"/>
        <v/>
      </c>
      <c r="E91" s="3">
        <f>IF($C91=1,CommissionDD!$A$30,IF($C91=2,CommissionDD!$A$31,CommissionDD!$A$32))</f>
        <v>1500</v>
      </c>
      <c r="F91" s="3" t="str">
        <f t="shared" si="11"/>
        <v/>
      </c>
      <c r="G91" s="38" t="str">
        <f>IF($A91="","",(VLOOKUP($A91,Cus!$A$2:$AH$1001,23,FALSE)))</f>
        <v/>
      </c>
      <c r="H91" s="3" t="str">
        <f t="shared" si="7"/>
        <v/>
      </c>
      <c r="I91" s="56" t="str">
        <f t="shared" si="8"/>
        <v/>
      </c>
      <c r="J91" s="3" t="str">
        <f t="shared" si="9"/>
        <v/>
      </c>
      <c r="K91" s="7" t="str">
        <f t="shared" si="10"/>
        <v/>
      </c>
    </row>
    <row r="92" spans="1:11">
      <c r="A92" s="1" t="str">
        <f>IF(Cus!$B92&lt;&gt;"",Cus!$A92,"")</f>
        <v/>
      </c>
      <c r="C92" s="16">
        <v>1</v>
      </c>
      <c r="D92" s="3" t="str">
        <f t="shared" si="6"/>
        <v/>
      </c>
      <c r="E92" s="3">
        <f>IF($C92=1,CommissionDD!$A$30,IF($C92=2,CommissionDD!$A$31,CommissionDD!$A$32))</f>
        <v>1500</v>
      </c>
      <c r="F92" s="3" t="str">
        <f t="shared" si="11"/>
        <v/>
      </c>
      <c r="G92" s="38" t="str">
        <f>IF($A92="","",(VLOOKUP($A92,Cus!$A$2:$AH$1001,23,FALSE)))</f>
        <v/>
      </c>
      <c r="H92" s="3" t="str">
        <f t="shared" si="7"/>
        <v/>
      </c>
      <c r="I92" s="56" t="str">
        <f t="shared" si="8"/>
        <v/>
      </c>
      <c r="J92" s="3" t="str">
        <f t="shared" si="9"/>
        <v/>
      </c>
      <c r="K92" s="7" t="str">
        <f t="shared" si="10"/>
        <v/>
      </c>
    </row>
    <row r="93" spans="1:11">
      <c r="A93" s="1" t="str">
        <f>IF(Cus!$B93&lt;&gt;"",Cus!$A93,"")</f>
        <v/>
      </c>
      <c r="C93" s="16">
        <v>1</v>
      </c>
      <c r="D93" s="3" t="str">
        <f t="shared" si="6"/>
        <v/>
      </c>
      <c r="E93" s="3">
        <f>IF($C93=1,CommissionDD!$A$30,IF($C93=2,CommissionDD!$A$31,CommissionDD!$A$32))</f>
        <v>1500</v>
      </c>
      <c r="F93" s="3" t="str">
        <f t="shared" si="11"/>
        <v/>
      </c>
      <c r="G93" s="38" t="str">
        <f>IF($A93="","",(VLOOKUP($A93,Cus!$A$2:$AH$1001,23,FALSE)))</f>
        <v/>
      </c>
      <c r="H93" s="3" t="str">
        <f t="shared" si="7"/>
        <v/>
      </c>
      <c r="I93" s="56" t="str">
        <f t="shared" si="8"/>
        <v/>
      </c>
      <c r="J93" s="3" t="str">
        <f t="shared" si="9"/>
        <v/>
      </c>
      <c r="K93" s="7" t="str">
        <f t="shared" si="10"/>
        <v/>
      </c>
    </row>
    <row r="94" spans="1:11">
      <c r="A94" s="1" t="str">
        <f>IF(Cus!$B94&lt;&gt;"",Cus!$A94,"")</f>
        <v/>
      </c>
      <c r="C94" s="16">
        <v>1</v>
      </c>
      <c r="D94" s="3" t="str">
        <f t="shared" si="6"/>
        <v/>
      </c>
      <c r="E94" s="3">
        <f>IF($C94=1,CommissionDD!$A$30,IF($C94=2,CommissionDD!$A$31,CommissionDD!$A$32))</f>
        <v>1500</v>
      </c>
      <c r="F94" s="3" t="str">
        <f t="shared" si="11"/>
        <v/>
      </c>
      <c r="G94" s="38" t="str">
        <f>IF($A94="","",(VLOOKUP($A94,Cus!$A$2:$AH$1001,23,FALSE)))</f>
        <v/>
      </c>
      <c r="H94" s="3" t="str">
        <f t="shared" si="7"/>
        <v/>
      </c>
      <c r="I94" s="56" t="str">
        <f t="shared" si="8"/>
        <v/>
      </c>
      <c r="J94" s="3" t="str">
        <f t="shared" si="9"/>
        <v/>
      </c>
      <c r="K94" s="7" t="str">
        <f t="shared" si="10"/>
        <v/>
      </c>
    </row>
    <row r="95" spans="1:11">
      <c r="A95" s="1" t="str">
        <f>IF(Cus!$B95&lt;&gt;"",Cus!$A95,"")</f>
        <v/>
      </c>
      <c r="C95" s="16">
        <v>1</v>
      </c>
      <c r="D95" s="3" t="str">
        <f t="shared" si="6"/>
        <v/>
      </c>
      <c r="E95" s="3">
        <f>IF($C95=1,CommissionDD!$A$30,IF($C95=2,CommissionDD!$A$31,CommissionDD!$A$32))</f>
        <v>1500</v>
      </c>
      <c r="F95" s="3" t="str">
        <f t="shared" si="11"/>
        <v/>
      </c>
      <c r="G95" s="38" t="str">
        <f>IF($A95="","",(VLOOKUP($A95,Cus!$A$2:$AH$1001,23,FALSE)))</f>
        <v/>
      </c>
      <c r="H95" s="3" t="str">
        <f t="shared" si="7"/>
        <v/>
      </c>
      <c r="I95" s="56" t="str">
        <f t="shared" si="8"/>
        <v/>
      </c>
      <c r="J95" s="3" t="str">
        <f t="shared" si="9"/>
        <v/>
      </c>
      <c r="K95" s="7" t="str">
        <f t="shared" si="10"/>
        <v/>
      </c>
    </row>
    <row r="96" spans="1:11">
      <c r="A96" s="1" t="str">
        <f>IF(Cus!$B96&lt;&gt;"",Cus!$A96,"")</f>
        <v/>
      </c>
      <c r="C96" s="16">
        <v>1</v>
      </c>
      <c r="D96" s="3" t="str">
        <f t="shared" si="6"/>
        <v/>
      </c>
      <c r="E96" s="3">
        <f>IF($C96=1,CommissionDD!$A$30,IF($C96=2,CommissionDD!$A$31,CommissionDD!$A$32))</f>
        <v>1500</v>
      </c>
      <c r="F96" s="3" t="str">
        <f t="shared" si="11"/>
        <v/>
      </c>
      <c r="G96" s="38" t="str">
        <f>IF($A96="","",(VLOOKUP($A96,Cus!$A$2:$AH$1001,23,FALSE)))</f>
        <v/>
      </c>
      <c r="H96" s="3" t="str">
        <f t="shared" si="7"/>
        <v/>
      </c>
      <c r="I96" s="56" t="str">
        <f t="shared" si="8"/>
        <v/>
      </c>
      <c r="J96" s="3" t="str">
        <f t="shared" si="9"/>
        <v/>
      </c>
      <c r="K96" s="7" t="str">
        <f t="shared" si="10"/>
        <v/>
      </c>
    </row>
    <row r="97" spans="1:11">
      <c r="A97" s="1" t="str">
        <f>IF(Cus!$B97&lt;&gt;"",Cus!$A97,"")</f>
        <v/>
      </c>
      <c r="C97" s="16">
        <v>1</v>
      </c>
      <c r="D97" s="3" t="str">
        <f t="shared" si="6"/>
        <v/>
      </c>
      <c r="E97" s="3">
        <f>IF($C97=1,CommissionDD!$A$30,IF($C97=2,CommissionDD!$A$31,CommissionDD!$A$32))</f>
        <v>1500</v>
      </c>
      <c r="F97" s="3" t="str">
        <f t="shared" si="11"/>
        <v/>
      </c>
      <c r="G97" s="38" t="str">
        <f>IF($A97="","",(VLOOKUP($A97,Cus!$A$2:$AH$1001,23,FALSE)))</f>
        <v/>
      </c>
      <c r="H97" s="3" t="str">
        <f t="shared" si="7"/>
        <v/>
      </c>
      <c r="I97" s="56" t="str">
        <f t="shared" si="8"/>
        <v/>
      </c>
      <c r="J97" s="3" t="str">
        <f t="shared" si="9"/>
        <v/>
      </c>
      <c r="K97" s="7" t="str">
        <f t="shared" si="10"/>
        <v/>
      </c>
    </row>
    <row r="98" spans="1:11">
      <c r="A98" s="1" t="str">
        <f>IF(Cus!$B98&lt;&gt;"",Cus!$A98,"")</f>
        <v/>
      </c>
      <c r="C98" s="16">
        <v>1</v>
      </c>
      <c r="D98" s="3" t="str">
        <f t="shared" si="6"/>
        <v/>
      </c>
      <c r="E98" s="3">
        <f>IF($C98=1,CommissionDD!$A$30,IF($C98=2,CommissionDD!$A$31,CommissionDD!$A$32))</f>
        <v>1500</v>
      </c>
      <c r="F98" s="3" t="str">
        <f t="shared" si="11"/>
        <v/>
      </c>
      <c r="G98" s="38" t="str">
        <f>IF($A98="","",(VLOOKUP($A98,Cus!$A$2:$AH$1001,23,FALSE)))</f>
        <v/>
      </c>
      <c r="H98" s="3" t="str">
        <f t="shared" si="7"/>
        <v/>
      </c>
      <c r="I98" s="56" t="str">
        <f t="shared" si="8"/>
        <v/>
      </c>
      <c r="J98" s="3" t="str">
        <f t="shared" si="9"/>
        <v/>
      </c>
      <c r="K98" s="7" t="str">
        <f t="shared" si="10"/>
        <v/>
      </c>
    </row>
    <row r="99" spans="1:11">
      <c r="A99" s="1" t="str">
        <f>IF(Cus!$B99&lt;&gt;"",Cus!$A99,"")</f>
        <v/>
      </c>
      <c r="C99" s="16">
        <v>1</v>
      </c>
      <c r="D99" s="3" t="str">
        <f t="shared" si="6"/>
        <v/>
      </c>
      <c r="E99" s="3">
        <f>IF($C99=1,CommissionDD!$A$30,IF($C99=2,CommissionDD!$A$31,CommissionDD!$A$32))</f>
        <v>1500</v>
      </c>
      <c r="F99" s="3" t="str">
        <f t="shared" si="11"/>
        <v/>
      </c>
      <c r="G99" s="38" t="str">
        <f>IF($A99="","",(VLOOKUP($A99,Cus!$A$2:$AH$1001,23,FALSE)))</f>
        <v/>
      </c>
      <c r="H99" s="3" t="str">
        <f t="shared" si="7"/>
        <v/>
      </c>
      <c r="I99" s="56" t="str">
        <f t="shared" si="8"/>
        <v/>
      </c>
      <c r="J99" s="3" t="str">
        <f t="shared" si="9"/>
        <v/>
      </c>
      <c r="K99" s="7" t="str">
        <f t="shared" si="10"/>
        <v/>
      </c>
    </row>
    <row r="100" spans="1:11">
      <c r="A100" s="1" t="str">
        <f>IF(Cus!$B100&lt;&gt;"",Cus!$A100,"")</f>
        <v/>
      </c>
      <c r="C100" s="16">
        <v>1</v>
      </c>
      <c r="D100" s="3" t="str">
        <f t="shared" si="6"/>
        <v/>
      </c>
      <c r="E100" s="3">
        <f>IF($C100=1,CommissionDD!$A$30,IF($C100=2,CommissionDD!$A$31,CommissionDD!$A$32))</f>
        <v>1500</v>
      </c>
      <c r="F100" s="3" t="str">
        <f t="shared" si="11"/>
        <v/>
      </c>
      <c r="G100" s="38" t="str">
        <f>IF($A100="","",(VLOOKUP($A100,Cus!$A$2:$AH$1001,23,FALSE)))</f>
        <v/>
      </c>
      <c r="H100" s="3" t="str">
        <f t="shared" si="7"/>
        <v/>
      </c>
      <c r="I100" s="56" t="str">
        <f t="shared" si="8"/>
        <v/>
      </c>
      <c r="J100" s="3" t="str">
        <f t="shared" si="9"/>
        <v/>
      </c>
      <c r="K100" s="7" t="str">
        <f t="shared" si="10"/>
        <v/>
      </c>
    </row>
    <row r="101" spans="1:11">
      <c r="A101" s="1" t="str">
        <f>IF(Cus!$B101&lt;&gt;"",Cus!$A101,"")</f>
        <v/>
      </c>
      <c r="C101" s="16">
        <v>1</v>
      </c>
      <c r="D101" s="3" t="str">
        <f t="shared" si="6"/>
        <v/>
      </c>
      <c r="E101" s="3">
        <f>IF($C101=1,CommissionDD!$A$30,IF($C101=2,CommissionDD!$A$31,CommissionDD!$A$32))</f>
        <v>1500</v>
      </c>
      <c r="F101" s="3" t="str">
        <f t="shared" si="11"/>
        <v/>
      </c>
      <c r="G101" s="38" t="str">
        <f>IF($A101="","",(VLOOKUP($A101,Cus!$A$2:$AH$1001,23,FALSE)))</f>
        <v/>
      </c>
      <c r="H101" s="3" t="str">
        <f t="shared" si="7"/>
        <v/>
      </c>
      <c r="I101" s="56" t="str">
        <f t="shared" si="8"/>
        <v/>
      </c>
      <c r="J101" s="3" t="str">
        <f t="shared" si="9"/>
        <v/>
      </c>
      <c r="K101" s="7" t="str">
        <f t="shared" si="10"/>
        <v/>
      </c>
    </row>
    <row r="102" spans="1:11">
      <c r="A102" s="1" t="str">
        <f>IF(Cus!$B102&lt;&gt;"",Cus!$A102,"")</f>
        <v/>
      </c>
      <c r="C102" s="16">
        <v>1</v>
      </c>
      <c r="D102" s="3" t="str">
        <f t="shared" si="6"/>
        <v/>
      </c>
      <c r="E102" s="3">
        <f>IF($C102=1,CommissionDD!$A$30,IF($C102=2,CommissionDD!$A$31,CommissionDD!$A$32))</f>
        <v>1500</v>
      </c>
      <c r="F102" s="3" t="str">
        <f t="shared" si="11"/>
        <v/>
      </c>
      <c r="G102" s="38" t="str">
        <f>IF($A102="","",(VLOOKUP($A102,Cus!$A$2:$AH$1001,23,FALSE)))</f>
        <v/>
      </c>
      <c r="H102" s="3" t="str">
        <f t="shared" si="7"/>
        <v/>
      </c>
      <c r="I102" s="56" t="str">
        <f t="shared" si="8"/>
        <v/>
      </c>
      <c r="J102" s="3" t="str">
        <f t="shared" si="9"/>
        <v/>
      </c>
      <c r="K102" s="7" t="str">
        <f t="shared" si="10"/>
        <v/>
      </c>
    </row>
    <row r="103" spans="1:11">
      <c r="A103" s="1" t="str">
        <f>IF(Cus!$B103&lt;&gt;"",Cus!$A103,"")</f>
        <v/>
      </c>
      <c r="C103" s="16">
        <v>1</v>
      </c>
      <c r="D103" s="3" t="str">
        <f t="shared" si="6"/>
        <v/>
      </c>
      <c r="E103" s="3">
        <f>IF($C103=1,CommissionDD!$A$30,IF($C103=2,CommissionDD!$A$31,CommissionDD!$A$32))</f>
        <v>1500</v>
      </c>
      <c r="F103" s="3" t="str">
        <f t="shared" si="11"/>
        <v/>
      </c>
      <c r="G103" s="38" t="str">
        <f>IF($A103="","",(VLOOKUP($A103,Cus!$A$2:$AH$1001,23,FALSE)))</f>
        <v/>
      </c>
      <c r="H103" s="3" t="str">
        <f t="shared" si="7"/>
        <v/>
      </c>
      <c r="I103" s="56" t="str">
        <f t="shared" si="8"/>
        <v/>
      </c>
      <c r="J103" s="3" t="str">
        <f t="shared" si="9"/>
        <v/>
      </c>
      <c r="K103" s="7" t="str">
        <f t="shared" si="10"/>
        <v/>
      </c>
    </row>
    <row r="104" spans="1:11">
      <c r="A104" s="1" t="str">
        <f>IF(Cus!$B104&lt;&gt;"",Cus!$A104,"")</f>
        <v/>
      </c>
      <c r="C104" s="16">
        <v>1</v>
      </c>
      <c r="D104" s="3" t="str">
        <f t="shared" si="6"/>
        <v/>
      </c>
      <c r="E104" s="3">
        <f>IF($C104=1,CommissionDD!$A$30,IF($C104=2,CommissionDD!$A$31,CommissionDD!$A$32))</f>
        <v>1500</v>
      </c>
      <c r="F104" s="3" t="str">
        <f t="shared" si="11"/>
        <v/>
      </c>
      <c r="G104" s="38" t="str">
        <f>IF($A104="","",(VLOOKUP($A104,Cus!$A$2:$AH$1001,23,FALSE)))</f>
        <v/>
      </c>
      <c r="H104" s="3" t="str">
        <f t="shared" si="7"/>
        <v/>
      </c>
      <c r="I104" s="56" t="str">
        <f t="shared" si="8"/>
        <v/>
      </c>
      <c r="J104" s="3" t="str">
        <f t="shared" si="9"/>
        <v/>
      </c>
      <c r="K104" s="7" t="str">
        <f t="shared" si="10"/>
        <v/>
      </c>
    </row>
    <row r="105" spans="1:11">
      <c r="A105" s="1" t="str">
        <f>IF(Cus!$B105&lt;&gt;"",Cus!$A105,"")</f>
        <v/>
      </c>
      <c r="C105" s="16">
        <v>1</v>
      </c>
      <c r="D105" s="3" t="str">
        <f t="shared" si="6"/>
        <v/>
      </c>
      <c r="E105" s="3">
        <f>IF($C105=1,CommissionDD!$A$30,IF($C105=2,CommissionDD!$A$31,CommissionDD!$A$32))</f>
        <v>1500</v>
      </c>
      <c r="F105" s="3" t="str">
        <f t="shared" si="11"/>
        <v/>
      </c>
      <c r="G105" s="38" t="str">
        <f>IF($A105="","",(VLOOKUP($A105,Cus!$A$2:$AH$1001,23,FALSE)))</f>
        <v/>
      </c>
      <c r="H105" s="3" t="str">
        <f t="shared" si="7"/>
        <v/>
      </c>
      <c r="I105" s="56" t="str">
        <f t="shared" si="8"/>
        <v/>
      </c>
      <c r="J105" s="3" t="str">
        <f t="shared" si="9"/>
        <v/>
      </c>
      <c r="K105" s="7" t="str">
        <f t="shared" si="10"/>
        <v/>
      </c>
    </row>
    <row r="106" spans="1:11">
      <c r="A106" s="1" t="str">
        <f>IF(Cus!$B106&lt;&gt;"",Cus!$A106,"")</f>
        <v/>
      </c>
      <c r="C106" s="16">
        <v>1</v>
      </c>
      <c r="D106" s="3" t="str">
        <f t="shared" si="6"/>
        <v/>
      </c>
      <c r="E106" s="3">
        <f>IF($C106=1,CommissionDD!$A$30,IF($C106=2,CommissionDD!$A$31,CommissionDD!$A$32))</f>
        <v>1500</v>
      </c>
      <c r="F106" s="3" t="str">
        <f t="shared" si="11"/>
        <v/>
      </c>
      <c r="G106" s="38" t="str">
        <f>IF($A106="","",(VLOOKUP($A106,Cus!$A$2:$AH$1001,23,FALSE)))</f>
        <v/>
      </c>
      <c r="H106" s="3" t="str">
        <f t="shared" si="7"/>
        <v/>
      </c>
      <c r="I106" s="56" t="str">
        <f t="shared" si="8"/>
        <v/>
      </c>
      <c r="J106" s="3" t="str">
        <f t="shared" si="9"/>
        <v/>
      </c>
      <c r="K106" s="7" t="str">
        <f t="shared" si="10"/>
        <v/>
      </c>
    </row>
    <row r="107" spans="1:11">
      <c r="A107" s="1" t="str">
        <f>IF(Cus!$B107&lt;&gt;"",Cus!$A107,"")</f>
        <v/>
      </c>
      <c r="C107" s="16">
        <v>1</v>
      </c>
      <c r="D107" s="3" t="str">
        <f t="shared" si="6"/>
        <v/>
      </c>
      <c r="E107" s="3">
        <f>IF($C107=1,CommissionDD!$A$30,IF($C107=2,CommissionDD!$A$31,CommissionDD!$A$32))</f>
        <v>1500</v>
      </c>
      <c r="F107" s="3" t="str">
        <f t="shared" si="11"/>
        <v/>
      </c>
      <c r="G107" s="38" t="str">
        <f>IF($A107="","",(VLOOKUP($A107,Cus!$A$2:$AH$1001,23,FALSE)))</f>
        <v/>
      </c>
      <c r="H107" s="3" t="str">
        <f t="shared" si="7"/>
        <v/>
      </c>
      <c r="I107" s="56" t="str">
        <f t="shared" si="8"/>
        <v/>
      </c>
      <c r="J107" s="3" t="str">
        <f t="shared" si="9"/>
        <v/>
      </c>
      <c r="K107" s="7" t="str">
        <f t="shared" si="10"/>
        <v/>
      </c>
    </row>
    <row r="108" spans="1:11">
      <c r="A108" s="1" t="str">
        <f>IF(Cus!$B108&lt;&gt;"",Cus!$A108,"")</f>
        <v/>
      </c>
      <c r="C108" s="16">
        <v>1</v>
      </c>
      <c r="D108" s="3" t="str">
        <f t="shared" si="6"/>
        <v/>
      </c>
      <c r="E108" s="3">
        <f>IF($C108=1,CommissionDD!$A$30,IF($C108=2,CommissionDD!$A$31,CommissionDD!$A$32))</f>
        <v>1500</v>
      </c>
      <c r="F108" s="3" t="str">
        <f t="shared" si="11"/>
        <v/>
      </c>
      <c r="G108" s="38" t="str">
        <f>IF($A108="","",(VLOOKUP($A108,Cus!$A$2:$AH$1001,23,FALSE)))</f>
        <v/>
      </c>
      <c r="H108" s="3" t="str">
        <f t="shared" si="7"/>
        <v/>
      </c>
      <c r="I108" s="56" t="str">
        <f t="shared" si="8"/>
        <v/>
      </c>
      <c r="J108" s="3" t="str">
        <f t="shared" si="9"/>
        <v/>
      </c>
      <c r="K108" s="7" t="str">
        <f t="shared" si="10"/>
        <v/>
      </c>
    </row>
    <row r="109" spans="1:11">
      <c r="A109" s="1" t="str">
        <f>IF(Cus!$B109&lt;&gt;"",Cus!$A109,"")</f>
        <v/>
      </c>
      <c r="C109" s="16">
        <v>1</v>
      </c>
      <c r="D109" s="3" t="str">
        <f t="shared" si="6"/>
        <v/>
      </c>
      <c r="E109" s="3">
        <f>IF($C109=1,CommissionDD!$A$30,IF($C109=2,CommissionDD!$A$31,CommissionDD!$A$32))</f>
        <v>1500</v>
      </c>
      <c r="F109" s="3" t="str">
        <f t="shared" si="11"/>
        <v/>
      </c>
      <c r="G109" s="38" t="str">
        <f>IF($A109="","",(VLOOKUP($A109,Cus!$A$2:$AH$1001,23,FALSE)))</f>
        <v/>
      </c>
      <c r="H109" s="3" t="str">
        <f t="shared" si="7"/>
        <v/>
      </c>
      <c r="I109" s="56" t="str">
        <f t="shared" si="8"/>
        <v/>
      </c>
      <c r="J109" s="3" t="str">
        <f t="shared" si="9"/>
        <v/>
      </c>
      <c r="K109" s="7" t="str">
        <f t="shared" si="10"/>
        <v/>
      </c>
    </row>
    <row r="110" spans="1:11">
      <c r="A110" s="1" t="str">
        <f>IF(Cus!$B110&lt;&gt;"",Cus!$A110,"")</f>
        <v/>
      </c>
      <c r="C110" s="16">
        <v>1</v>
      </c>
      <c r="D110" s="3" t="str">
        <f t="shared" si="6"/>
        <v/>
      </c>
      <c r="E110" s="3">
        <f>IF($C110=1,CommissionDD!$A$30,IF($C110=2,CommissionDD!$A$31,CommissionDD!$A$32))</f>
        <v>1500</v>
      </c>
      <c r="F110" s="3" t="str">
        <f t="shared" si="11"/>
        <v/>
      </c>
      <c r="G110" s="38" t="str">
        <f>IF($A110="","",(VLOOKUP($A110,Cus!$A$2:$AH$1001,23,FALSE)))</f>
        <v/>
      </c>
      <c r="H110" s="3" t="str">
        <f t="shared" si="7"/>
        <v/>
      </c>
      <c r="I110" s="56" t="str">
        <f t="shared" si="8"/>
        <v/>
      </c>
      <c r="J110" s="3" t="str">
        <f t="shared" si="9"/>
        <v/>
      </c>
      <c r="K110" s="7" t="str">
        <f t="shared" si="10"/>
        <v/>
      </c>
    </row>
    <row r="111" spans="1:11">
      <c r="A111" s="1" t="str">
        <f>IF(Cus!$B111&lt;&gt;"",Cus!$A111,"")</f>
        <v/>
      </c>
      <c r="C111" s="16">
        <v>1</v>
      </c>
      <c r="D111" s="3" t="str">
        <f t="shared" si="6"/>
        <v/>
      </c>
      <c r="E111" s="3">
        <f>IF($C111=1,CommissionDD!$A$30,IF($C111=2,CommissionDD!$A$31,CommissionDD!$A$32))</f>
        <v>1500</v>
      </c>
      <c r="F111" s="3" t="str">
        <f t="shared" si="11"/>
        <v/>
      </c>
      <c r="G111" s="38" t="str">
        <f>IF($A111="","",(VLOOKUP($A111,Cus!$A$2:$AH$1001,23,FALSE)))</f>
        <v/>
      </c>
      <c r="H111" s="3" t="str">
        <f t="shared" si="7"/>
        <v/>
      </c>
      <c r="I111" s="56" t="str">
        <f t="shared" si="8"/>
        <v/>
      </c>
      <c r="J111" s="3" t="str">
        <f t="shared" si="9"/>
        <v/>
      </c>
      <c r="K111" s="7" t="str">
        <f t="shared" si="10"/>
        <v/>
      </c>
    </row>
    <row r="112" spans="1:11">
      <c r="A112" s="1" t="str">
        <f>IF(Cus!$B112&lt;&gt;"",Cus!$A112,"")</f>
        <v/>
      </c>
      <c r="C112" s="16">
        <v>1</v>
      </c>
      <c r="D112" s="3" t="str">
        <f t="shared" si="6"/>
        <v/>
      </c>
      <c r="E112" s="3">
        <f>IF($C112=1,CommissionDD!$A$30,IF($C112=2,CommissionDD!$A$31,CommissionDD!$A$32))</f>
        <v>1500</v>
      </c>
      <c r="F112" s="3" t="str">
        <f t="shared" si="11"/>
        <v/>
      </c>
      <c r="G112" s="38" t="str">
        <f>IF($A112="","",(VLOOKUP($A112,Cus!$A$2:$AH$1001,23,FALSE)))</f>
        <v/>
      </c>
      <c r="H112" s="3" t="str">
        <f t="shared" si="7"/>
        <v/>
      </c>
      <c r="I112" s="56" t="str">
        <f t="shared" si="8"/>
        <v/>
      </c>
      <c r="J112" s="3" t="str">
        <f t="shared" si="9"/>
        <v/>
      </c>
      <c r="K112" s="7" t="str">
        <f t="shared" si="10"/>
        <v/>
      </c>
    </row>
    <row r="113" spans="1:11">
      <c r="A113" s="1" t="str">
        <f>IF(Cus!$B113&lt;&gt;"",Cus!$A113,"")</f>
        <v/>
      </c>
      <c r="C113" s="16">
        <v>1</v>
      </c>
      <c r="D113" s="3" t="str">
        <f t="shared" si="6"/>
        <v/>
      </c>
      <c r="E113" s="3">
        <f>IF($C113=1,CommissionDD!$A$30,IF($C113=2,CommissionDD!$A$31,CommissionDD!$A$32))</f>
        <v>1500</v>
      </c>
      <c r="F113" s="3" t="str">
        <f t="shared" si="11"/>
        <v/>
      </c>
      <c r="G113" s="38" t="str">
        <f>IF($A113="","",(VLOOKUP($A113,Cus!$A$2:$AH$1001,23,FALSE)))</f>
        <v/>
      </c>
      <c r="H113" s="3" t="str">
        <f t="shared" si="7"/>
        <v/>
      </c>
      <c r="I113" s="56" t="str">
        <f t="shared" si="8"/>
        <v/>
      </c>
      <c r="J113" s="3" t="str">
        <f t="shared" si="9"/>
        <v/>
      </c>
      <c r="K113" s="7" t="str">
        <f t="shared" si="10"/>
        <v/>
      </c>
    </row>
    <row r="114" spans="1:11">
      <c r="A114" s="1" t="str">
        <f>IF(Cus!$B114&lt;&gt;"",Cus!$A114,"")</f>
        <v/>
      </c>
      <c r="C114" s="16">
        <v>1</v>
      </c>
      <c r="D114" s="3" t="str">
        <f t="shared" si="6"/>
        <v/>
      </c>
      <c r="E114" s="3">
        <f>IF($C114=1,CommissionDD!$A$30,IF($C114=2,CommissionDD!$A$31,CommissionDD!$A$32))</f>
        <v>1500</v>
      </c>
      <c r="F114" s="3" t="str">
        <f t="shared" si="11"/>
        <v/>
      </c>
      <c r="G114" s="38" t="str">
        <f>IF($A114="","",(VLOOKUP($A114,Cus!$A$2:$AH$1001,23,FALSE)))</f>
        <v/>
      </c>
      <c r="H114" s="3" t="str">
        <f t="shared" si="7"/>
        <v/>
      </c>
      <c r="I114" s="56" t="str">
        <f t="shared" si="8"/>
        <v/>
      </c>
      <c r="J114" s="3" t="str">
        <f t="shared" si="9"/>
        <v/>
      </c>
      <c r="K114" s="7" t="str">
        <f t="shared" si="10"/>
        <v/>
      </c>
    </row>
    <row r="115" spans="1:11">
      <c r="A115" s="1" t="str">
        <f>IF(Cus!$B115&lt;&gt;"",Cus!$A115,"")</f>
        <v/>
      </c>
      <c r="C115" s="16">
        <v>1</v>
      </c>
      <c r="D115" s="3" t="str">
        <f t="shared" si="6"/>
        <v/>
      </c>
      <c r="E115" s="3">
        <f>IF($C115=1,CommissionDD!$A$30,IF($C115=2,CommissionDD!$A$31,CommissionDD!$A$32))</f>
        <v>1500</v>
      </c>
      <c r="F115" s="3" t="str">
        <f t="shared" si="11"/>
        <v/>
      </c>
      <c r="G115" s="38" t="str">
        <f>IF($A115="","",(VLOOKUP($A115,Cus!$A$2:$AH$1001,23,FALSE)))</f>
        <v/>
      </c>
      <c r="H115" s="3" t="str">
        <f t="shared" si="7"/>
        <v/>
      </c>
      <c r="I115" s="56" t="str">
        <f t="shared" si="8"/>
        <v/>
      </c>
      <c r="J115" s="3" t="str">
        <f t="shared" si="9"/>
        <v/>
      </c>
      <c r="K115" s="7" t="str">
        <f t="shared" si="10"/>
        <v/>
      </c>
    </row>
    <row r="116" spans="1:11">
      <c r="A116" s="1" t="str">
        <f>IF(Cus!$B116&lt;&gt;"",Cus!$A116,"")</f>
        <v/>
      </c>
      <c r="C116" s="16">
        <v>1</v>
      </c>
      <c r="D116" s="3" t="str">
        <f t="shared" si="6"/>
        <v/>
      </c>
      <c r="E116" s="3">
        <f>IF($C116=1,CommissionDD!$A$30,IF($C116=2,CommissionDD!$A$31,CommissionDD!$A$32))</f>
        <v>1500</v>
      </c>
      <c r="F116" s="3" t="str">
        <f t="shared" si="11"/>
        <v/>
      </c>
      <c r="G116" s="38" t="str">
        <f>IF($A116="","",(VLOOKUP($A116,Cus!$A$2:$AH$1001,23,FALSE)))</f>
        <v/>
      </c>
      <c r="H116" s="3" t="str">
        <f t="shared" si="7"/>
        <v/>
      </c>
      <c r="I116" s="56" t="str">
        <f t="shared" si="8"/>
        <v/>
      </c>
      <c r="J116" s="3" t="str">
        <f t="shared" si="9"/>
        <v/>
      </c>
      <c r="K116" s="7" t="str">
        <f t="shared" si="10"/>
        <v/>
      </c>
    </row>
    <row r="117" spans="1:11">
      <c r="A117" s="1" t="str">
        <f>IF(Cus!$B117&lt;&gt;"",Cus!$A117,"")</f>
        <v/>
      </c>
      <c r="C117" s="16">
        <v>1</v>
      </c>
      <c r="D117" s="3" t="str">
        <f t="shared" si="6"/>
        <v/>
      </c>
      <c r="E117" s="3">
        <f>IF($C117=1,CommissionDD!$A$30,IF($C117=2,CommissionDD!$A$31,CommissionDD!$A$32))</f>
        <v>1500</v>
      </c>
      <c r="F117" s="3" t="str">
        <f t="shared" si="11"/>
        <v/>
      </c>
      <c r="G117" s="38" t="str">
        <f>IF($A117="","",(VLOOKUP($A117,Cus!$A$2:$AH$1001,23,FALSE)))</f>
        <v/>
      </c>
      <c r="H117" s="3" t="str">
        <f t="shared" si="7"/>
        <v/>
      </c>
      <c r="I117" s="56" t="str">
        <f t="shared" si="8"/>
        <v/>
      </c>
      <c r="J117" s="3" t="str">
        <f t="shared" si="9"/>
        <v/>
      </c>
      <c r="K117" s="7" t="str">
        <f t="shared" si="10"/>
        <v/>
      </c>
    </row>
    <row r="118" spans="1:11">
      <c r="A118" s="1" t="str">
        <f>IF(Cus!$B118&lt;&gt;"",Cus!$A118,"")</f>
        <v/>
      </c>
      <c r="C118" s="16">
        <v>1</v>
      </c>
      <c r="D118" s="3" t="str">
        <f t="shared" si="6"/>
        <v/>
      </c>
      <c r="E118" s="3">
        <f>IF($C118=1,CommissionDD!$A$30,IF($C118=2,CommissionDD!$A$31,CommissionDD!$A$32))</f>
        <v>1500</v>
      </c>
      <c r="F118" s="3" t="str">
        <f t="shared" si="11"/>
        <v/>
      </c>
      <c r="G118" s="38" t="str">
        <f>IF($A118="","",(VLOOKUP($A118,Cus!$A$2:$AH$1001,23,FALSE)))</f>
        <v/>
      </c>
      <c r="H118" s="3" t="str">
        <f t="shared" si="7"/>
        <v/>
      </c>
      <c r="I118" s="56" t="str">
        <f t="shared" si="8"/>
        <v/>
      </c>
      <c r="J118" s="3" t="str">
        <f t="shared" si="9"/>
        <v/>
      </c>
      <c r="K118" s="7" t="str">
        <f t="shared" si="10"/>
        <v/>
      </c>
    </row>
    <row r="119" spans="1:11">
      <c r="A119" s="1" t="str">
        <f>IF(Cus!$B119&lt;&gt;"",Cus!$A119,"")</f>
        <v/>
      </c>
      <c r="C119" s="16">
        <v>1</v>
      </c>
      <c r="D119" s="3" t="str">
        <f t="shared" si="6"/>
        <v/>
      </c>
      <c r="E119" s="3">
        <f>IF($C119=1,CommissionDD!$A$30,IF($C119=2,CommissionDD!$A$31,CommissionDD!$A$32))</f>
        <v>1500</v>
      </c>
      <c r="F119" s="3" t="str">
        <f t="shared" si="11"/>
        <v/>
      </c>
      <c r="G119" s="38" t="str">
        <f>IF($A119="","",(VLOOKUP($A119,Cus!$A$2:$AH$1001,23,FALSE)))</f>
        <v/>
      </c>
      <c r="H119" s="3" t="str">
        <f t="shared" si="7"/>
        <v/>
      </c>
      <c r="I119" s="56" t="str">
        <f t="shared" si="8"/>
        <v/>
      </c>
      <c r="J119" s="3" t="str">
        <f t="shared" si="9"/>
        <v/>
      </c>
      <c r="K119" s="7" t="str">
        <f t="shared" si="10"/>
        <v/>
      </c>
    </row>
    <row r="120" spans="1:11">
      <c r="A120" s="1" t="str">
        <f>IF(Cus!$B120&lt;&gt;"",Cus!$A120,"")</f>
        <v/>
      </c>
      <c r="C120" s="16">
        <v>1</v>
      </c>
      <c r="D120" s="3" t="str">
        <f t="shared" si="6"/>
        <v/>
      </c>
      <c r="E120" s="3">
        <f>IF($C120=1,CommissionDD!$A$30,IF($C120=2,CommissionDD!$A$31,CommissionDD!$A$32))</f>
        <v>1500</v>
      </c>
      <c r="F120" s="3" t="str">
        <f t="shared" si="11"/>
        <v/>
      </c>
      <c r="G120" s="38" t="str">
        <f>IF($A120="","",(VLOOKUP($A120,Cus!$A$2:$AH$1001,23,FALSE)))</f>
        <v/>
      </c>
      <c r="H120" s="3" t="str">
        <f t="shared" si="7"/>
        <v/>
      </c>
      <c r="I120" s="56" t="str">
        <f t="shared" si="8"/>
        <v/>
      </c>
      <c r="J120" s="3" t="str">
        <f t="shared" si="9"/>
        <v/>
      </c>
      <c r="K120" s="7" t="str">
        <f t="shared" si="10"/>
        <v/>
      </c>
    </row>
    <row r="121" spans="1:11">
      <c r="A121" s="1" t="str">
        <f>IF(Cus!$B121&lt;&gt;"",Cus!$A121,"")</f>
        <v/>
      </c>
      <c r="C121" s="16">
        <v>1</v>
      </c>
      <c r="D121" s="3" t="str">
        <f t="shared" si="6"/>
        <v/>
      </c>
      <c r="E121" s="3">
        <f>IF($C121=1,CommissionDD!$A$30,IF($C121=2,CommissionDD!$A$31,CommissionDD!$A$32))</f>
        <v>1500</v>
      </c>
      <c r="F121" s="3" t="str">
        <f t="shared" si="11"/>
        <v/>
      </c>
      <c r="G121" s="38" t="str">
        <f>IF($A121="","",(VLOOKUP($A121,Cus!$A$2:$AH$1001,23,FALSE)))</f>
        <v/>
      </c>
      <c r="H121" s="3" t="str">
        <f t="shared" si="7"/>
        <v/>
      </c>
      <c r="I121" s="56" t="str">
        <f t="shared" si="8"/>
        <v/>
      </c>
      <c r="J121" s="3" t="str">
        <f t="shared" si="9"/>
        <v/>
      </c>
      <c r="K121" s="7" t="str">
        <f t="shared" si="10"/>
        <v/>
      </c>
    </row>
    <row r="122" spans="1:11">
      <c r="A122" s="1" t="str">
        <f>IF(Cus!$B122&lt;&gt;"",Cus!$A122,"")</f>
        <v/>
      </c>
      <c r="C122" s="16">
        <v>1</v>
      </c>
      <c r="D122" s="3" t="str">
        <f t="shared" si="6"/>
        <v/>
      </c>
      <c r="E122" s="3">
        <f>IF($C122=1,CommissionDD!$A$30,IF($C122=2,CommissionDD!$A$31,CommissionDD!$A$32))</f>
        <v>1500</v>
      </c>
      <c r="F122" s="3" t="str">
        <f t="shared" si="11"/>
        <v/>
      </c>
      <c r="G122" s="38" t="str">
        <f>IF($A122="","",(VLOOKUP($A122,Cus!$A$2:$AH$1001,23,FALSE)))</f>
        <v/>
      </c>
      <c r="H122" s="3" t="str">
        <f t="shared" si="7"/>
        <v/>
      </c>
      <c r="I122" s="56" t="str">
        <f t="shared" si="8"/>
        <v/>
      </c>
      <c r="J122" s="3" t="str">
        <f t="shared" si="9"/>
        <v/>
      </c>
      <c r="K122" s="7" t="str">
        <f t="shared" si="10"/>
        <v/>
      </c>
    </row>
    <row r="123" spans="1:11">
      <c r="A123" s="1" t="str">
        <f>IF(Cus!$B123&lt;&gt;"",Cus!$A123,"")</f>
        <v/>
      </c>
      <c r="C123" s="16">
        <v>1</v>
      </c>
      <c r="D123" s="3" t="str">
        <f t="shared" si="6"/>
        <v/>
      </c>
      <c r="E123" s="3">
        <f>IF($C123=1,CommissionDD!$A$30,IF($C123=2,CommissionDD!$A$31,CommissionDD!$A$32))</f>
        <v>1500</v>
      </c>
      <c r="F123" s="3" t="str">
        <f t="shared" si="11"/>
        <v/>
      </c>
      <c r="G123" s="38" t="str">
        <f>IF($A123="","",(VLOOKUP($A123,Cus!$A$2:$AH$1001,23,FALSE)))</f>
        <v/>
      </c>
      <c r="H123" s="3" t="str">
        <f t="shared" si="7"/>
        <v/>
      </c>
      <c r="I123" s="56" t="str">
        <f t="shared" si="8"/>
        <v/>
      </c>
      <c r="J123" s="3" t="str">
        <f t="shared" si="9"/>
        <v/>
      </c>
      <c r="K123" s="7" t="str">
        <f t="shared" si="10"/>
        <v/>
      </c>
    </row>
    <row r="124" spans="1:11">
      <c r="A124" s="1" t="str">
        <f>IF(Cus!$B124&lt;&gt;"",Cus!$A124,"")</f>
        <v/>
      </c>
      <c r="C124" s="16">
        <v>1</v>
      </c>
      <c r="D124" s="3" t="str">
        <f t="shared" si="6"/>
        <v/>
      </c>
      <c r="E124" s="3">
        <f>IF($C124=1,CommissionDD!$A$30,IF($C124=2,CommissionDD!$A$31,CommissionDD!$A$32))</f>
        <v>1500</v>
      </c>
      <c r="F124" s="3" t="str">
        <f t="shared" si="11"/>
        <v/>
      </c>
      <c r="G124" s="38" t="str">
        <f>IF($A124="","",(VLOOKUP($A124,Cus!$A$2:$AH$1001,23,FALSE)))</f>
        <v/>
      </c>
      <c r="H124" s="3" t="str">
        <f t="shared" si="7"/>
        <v/>
      </c>
      <c r="I124" s="56" t="str">
        <f t="shared" si="8"/>
        <v/>
      </c>
      <c r="J124" s="3" t="str">
        <f t="shared" si="9"/>
        <v/>
      </c>
      <c r="K124" s="7" t="str">
        <f t="shared" si="10"/>
        <v/>
      </c>
    </row>
    <row r="125" spans="1:11">
      <c r="A125" s="1" t="str">
        <f>IF(Cus!$B125&lt;&gt;"",Cus!$A125,"")</f>
        <v/>
      </c>
      <c r="C125" s="16">
        <v>1</v>
      </c>
      <c r="D125" s="3" t="str">
        <f t="shared" si="6"/>
        <v/>
      </c>
      <c r="E125" s="3">
        <f>IF($C125=1,CommissionDD!$A$30,IF($C125=2,CommissionDD!$A$31,CommissionDD!$A$32))</f>
        <v>1500</v>
      </c>
      <c r="F125" s="3" t="str">
        <f t="shared" si="11"/>
        <v/>
      </c>
      <c r="G125" s="38" t="str">
        <f>IF($A125="","",(VLOOKUP($A125,Cus!$A$2:$AH$1001,23,FALSE)))</f>
        <v/>
      </c>
      <c r="H125" s="3" t="str">
        <f t="shared" si="7"/>
        <v/>
      </c>
      <c r="I125" s="56" t="str">
        <f t="shared" si="8"/>
        <v/>
      </c>
      <c r="J125" s="3" t="str">
        <f t="shared" si="9"/>
        <v/>
      </c>
      <c r="K125" s="7" t="str">
        <f t="shared" si="10"/>
        <v/>
      </c>
    </row>
    <row r="126" spans="1:11">
      <c r="A126" s="1" t="str">
        <f>IF(Cus!$B126&lt;&gt;"",Cus!$A126,"")</f>
        <v/>
      </c>
      <c r="C126" s="16">
        <v>1</v>
      </c>
      <c r="D126" s="3" t="str">
        <f t="shared" si="6"/>
        <v/>
      </c>
      <c r="E126" s="3">
        <f>IF($C126=1,CommissionDD!$A$30,IF($C126=2,CommissionDD!$A$31,CommissionDD!$A$32))</f>
        <v>1500</v>
      </c>
      <c r="F126" s="3" t="str">
        <f t="shared" si="11"/>
        <v/>
      </c>
      <c r="G126" s="38" t="str">
        <f>IF($A126="","",(VLOOKUP($A126,Cus!$A$2:$AH$1001,23,FALSE)))</f>
        <v/>
      </c>
      <c r="H126" s="3" t="str">
        <f t="shared" si="7"/>
        <v/>
      </c>
      <c r="I126" s="56" t="str">
        <f t="shared" si="8"/>
        <v/>
      </c>
      <c r="J126" s="3" t="str">
        <f t="shared" si="9"/>
        <v/>
      </c>
      <c r="K126" s="7" t="str">
        <f t="shared" si="10"/>
        <v/>
      </c>
    </row>
    <row r="127" spans="1:11">
      <c r="A127" s="1" t="str">
        <f>IF(Cus!$B127&lt;&gt;"",Cus!$A127,"")</f>
        <v/>
      </c>
      <c r="C127" s="16">
        <v>1</v>
      </c>
      <c r="D127" s="3" t="str">
        <f t="shared" si="6"/>
        <v/>
      </c>
      <c r="E127" s="3">
        <f>IF($C127=1,CommissionDD!$A$30,IF($C127=2,CommissionDD!$A$31,CommissionDD!$A$32))</f>
        <v>1500</v>
      </c>
      <c r="F127" s="3" t="str">
        <f t="shared" si="11"/>
        <v/>
      </c>
      <c r="G127" s="38" t="str">
        <f>IF($A127="","",(VLOOKUP($A127,Cus!$A$2:$AH$1001,23,FALSE)))</f>
        <v/>
      </c>
      <c r="H127" s="3" t="str">
        <f t="shared" si="7"/>
        <v/>
      </c>
      <c r="I127" s="56" t="str">
        <f t="shared" si="8"/>
        <v/>
      </c>
      <c r="J127" s="3" t="str">
        <f t="shared" si="9"/>
        <v/>
      </c>
      <c r="K127" s="7" t="str">
        <f t="shared" si="10"/>
        <v/>
      </c>
    </row>
    <row r="128" spans="1:11">
      <c r="A128" s="1" t="str">
        <f>IF(Cus!$B128&lt;&gt;"",Cus!$A128,"")</f>
        <v/>
      </c>
      <c r="C128" s="16">
        <v>1</v>
      </c>
      <c r="D128" s="3" t="str">
        <f t="shared" si="6"/>
        <v/>
      </c>
      <c r="E128" s="3">
        <f>IF($C128=1,CommissionDD!$A$30,IF($C128=2,CommissionDD!$A$31,CommissionDD!$A$32))</f>
        <v>1500</v>
      </c>
      <c r="F128" s="3" t="str">
        <f t="shared" si="11"/>
        <v/>
      </c>
      <c r="G128" s="38" t="str">
        <f>IF($A128="","",(VLOOKUP($A128,Cus!$A$2:$AH$1001,23,FALSE)))</f>
        <v/>
      </c>
      <c r="H128" s="3" t="str">
        <f t="shared" si="7"/>
        <v/>
      </c>
      <c r="I128" s="56" t="str">
        <f t="shared" si="8"/>
        <v/>
      </c>
      <c r="J128" s="3" t="str">
        <f t="shared" si="9"/>
        <v/>
      </c>
      <c r="K128" s="7" t="str">
        <f t="shared" si="10"/>
        <v/>
      </c>
    </row>
    <row r="129" spans="1:12">
      <c r="A129" s="1" t="str">
        <f>IF(Cus!$B129&lt;&gt;"",Cus!$A129,"")</f>
        <v/>
      </c>
      <c r="C129" s="16">
        <v>1</v>
      </c>
      <c r="D129" s="3" t="str">
        <f t="shared" si="6"/>
        <v/>
      </c>
      <c r="E129" s="3">
        <f>IF($C129=1,CommissionDD!$A$30,IF($C129=2,CommissionDD!$A$31,CommissionDD!$A$32))</f>
        <v>1500</v>
      </c>
      <c r="F129" s="3" t="str">
        <f t="shared" si="11"/>
        <v/>
      </c>
      <c r="G129" s="38" t="str">
        <f>IF($A129="","",(VLOOKUP($A129,Cus!$A$2:$AH$1001,23,FALSE)))</f>
        <v/>
      </c>
      <c r="H129" s="3" t="str">
        <f t="shared" si="7"/>
        <v/>
      </c>
      <c r="I129" s="56" t="str">
        <f t="shared" si="8"/>
        <v/>
      </c>
      <c r="J129" s="3" t="str">
        <f t="shared" si="9"/>
        <v/>
      </c>
      <c r="K129" s="7" t="str">
        <f t="shared" si="10"/>
        <v/>
      </c>
    </row>
    <row r="130" spans="1:12">
      <c r="A130" s="1" t="str">
        <f>IF(Cus!$B130&lt;&gt;"",Cus!$A130,"")</f>
        <v/>
      </c>
      <c r="C130" s="16">
        <v>1</v>
      </c>
      <c r="D130" s="3" t="str">
        <f t="shared" ref="D130:D193" si="12">IF($A130="","",1500)</f>
        <v/>
      </c>
      <c r="E130" s="3">
        <f>IF($C130=1,CommissionDD!$A$30,IF($C130=2,CommissionDD!$A$31,CommissionDD!$A$32))</f>
        <v>1500</v>
      </c>
      <c r="F130" s="3" t="str">
        <f t="shared" si="11"/>
        <v/>
      </c>
      <c r="G130" s="38" t="str">
        <f>IF($A130="","",(VLOOKUP($A130,Cus!$A$2:$AH$1001,23,FALSE)))</f>
        <v/>
      </c>
      <c r="H130" s="3" t="str">
        <f t="shared" ref="H130:H193" si="13">IF($A130="","",395)</f>
        <v/>
      </c>
      <c r="I130" s="56" t="str">
        <f t="shared" ref="I130:I193" si="14">IF($A130="","",60)</f>
        <v/>
      </c>
      <c r="J130" s="3" t="str">
        <f t="shared" ref="J130:J193" si="15">IF($A130="","",$H130*$I130)</f>
        <v/>
      </c>
      <c r="K130" s="7" t="str">
        <f t="shared" ref="K130:K193" si="16">IF($G130="","",(DATE(YEAR($G130),MONTH($G130)+$C130,MIN(DAY($G130)))))</f>
        <v/>
      </c>
    </row>
    <row r="131" spans="1:12">
      <c r="A131" s="1" t="str">
        <f>IF(Cus!$B131&lt;&gt;"",Cus!$A131,"")</f>
        <v/>
      </c>
      <c r="C131" s="16">
        <v>1</v>
      </c>
      <c r="D131" s="3" t="str">
        <f t="shared" si="12"/>
        <v/>
      </c>
      <c r="E131" s="3">
        <f>IF($C131=1,CommissionDD!$A$30,IF($C131=2,CommissionDD!$A$31,CommissionDD!$A$32))</f>
        <v>1500</v>
      </c>
      <c r="F131" s="3" t="str">
        <f t="shared" ref="F131:F194" si="17">IF($A131="","",$D131-$E131)</f>
        <v/>
      </c>
      <c r="G131" s="38" t="str">
        <f>IF($A131="","",(VLOOKUP($A131,Cus!$A$2:$AH$1001,23,FALSE)))</f>
        <v/>
      </c>
      <c r="H131" s="3" t="str">
        <f t="shared" si="13"/>
        <v/>
      </c>
      <c r="I131" s="56" t="str">
        <f t="shared" si="14"/>
        <v/>
      </c>
      <c r="J131" s="3" t="str">
        <f t="shared" si="15"/>
        <v/>
      </c>
      <c r="K131" s="7" t="str">
        <f t="shared" si="16"/>
        <v/>
      </c>
    </row>
    <row r="132" spans="1:12">
      <c r="A132" s="1" t="str">
        <f>IF(Cus!$B132&lt;&gt;"",Cus!$A132,"")</f>
        <v/>
      </c>
      <c r="C132" s="16">
        <v>1</v>
      </c>
      <c r="D132" s="3" t="str">
        <f t="shared" si="12"/>
        <v/>
      </c>
      <c r="E132" s="3">
        <f>IF($C132=1,CommissionDD!$A$30,IF($C132=2,CommissionDD!$A$31,CommissionDD!$A$32))</f>
        <v>1500</v>
      </c>
      <c r="F132" s="3" t="str">
        <f t="shared" si="17"/>
        <v/>
      </c>
      <c r="G132" s="38" t="str">
        <f>IF($A132="","",(VLOOKUP($A132,Cus!$A$2:$AH$1001,23,FALSE)))</f>
        <v/>
      </c>
      <c r="H132" s="3" t="str">
        <f t="shared" si="13"/>
        <v/>
      </c>
      <c r="I132" s="56" t="str">
        <f t="shared" si="14"/>
        <v/>
      </c>
      <c r="J132" s="3" t="str">
        <f t="shared" si="15"/>
        <v/>
      </c>
      <c r="K132" s="7" t="str">
        <f t="shared" si="16"/>
        <v/>
      </c>
    </row>
    <row r="133" spans="1:12">
      <c r="A133" s="1" t="str">
        <f>IF(Cus!$B133&lt;&gt;"",Cus!$A133,"")</f>
        <v/>
      </c>
      <c r="C133" s="16">
        <v>1</v>
      </c>
      <c r="D133" s="3" t="str">
        <f t="shared" si="12"/>
        <v/>
      </c>
      <c r="E133" s="3">
        <f>IF($C133=1,CommissionDD!$A$30,IF($C133=2,CommissionDD!$A$31,CommissionDD!$A$32))</f>
        <v>1500</v>
      </c>
      <c r="F133" s="3" t="str">
        <f t="shared" si="17"/>
        <v/>
      </c>
      <c r="G133" s="38" t="str">
        <f>IF($A133="","",(VLOOKUP($A133,Cus!$A$2:$AH$1001,23,FALSE)))</f>
        <v/>
      </c>
      <c r="H133" s="3" t="str">
        <f t="shared" si="13"/>
        <v/>
      </c>
      <c r="I133" s="56" t="str">
        <f t="shared" si="14"/>
        <v/>
      </c>
      <c r="J133" s="3" t="str">
        <f t="shared" si="15"/>
        <v/>
      </c>
      <c r="K133" s="7" t="str">
        <f t="shared" si="16"/>
        <v/>
      </c>
    </row>
    <row r="134" spans="1:12">
      <c r="A134" s="1" t="str">
        <f>IF(Cus!$B134&lt;&gt;"",Cus!$A134,"")</f>
        <v>K0000133</v>
      </c>
      <c r="B134" s="58">
        <v>1531953</v>
      </c>
      <c r="C134" s="16">
        <v>2</v>
      </c>
      <c r="D134" s="3">
        <f t="shared" si="12"/>
        <v>1500</v>
      </c>
      <c r="E134" s="3">
        <f>IF($C134=1,CommissionDD!$A$30,IF($C134=2,CommissionDD!$A$31,CommissionDD!$A$32))</f>
        <v>750</v>
      </c>
      <c r="F134" s="3">
        <f t="shared" si="17"/>
        <v>750</v>
      </c>
      <c r="G134" s="38">
        <f>IF($A134="","",(VLOOKUP($A134,Cus!$A$2:$AH$1001,23,FALSE)))</f>
        <v>41652</v>
      </c>
      <c r="H134" s="3">
        <f t="shared" si="13"/>
        <v>395</v>
      </c>
      <c r="I134" s="56">
        <f t="shared" si="14"/>
        <v>60</v>
      </c>
      <c r="J134" s="3">
        <f t="shared" si="15"/>
        <v>23700</v>
      </c>
      <c r="K134" s="7">
        <f t="shared" si="16"/>
        <v>41711</v>
      </c>
      <c r="L134" s="58">
        <v>86993407</v>
      </c>
    </row>
    <row r="135" spans="1:12">
      <c r="A135" s="1" t="str">
        <f>IF(Cus!$B135&lt;&gt;"",Cus!$A135,"")</f>
        <v/>
      </c>
      <c r="C135" s="16">
        <v>1</v>
      </c>
      <c r="D135" s="3" t="str">
        <f t="shared" si="12"/>
        <v/>
      </c>
      <c r="E135" s="3">
        <f>IF($C135=1,CommissionDD!$A$30,IF($C135=2,CommissionDD!$A$31,CommissionDD!$A$32))</f>
        <v>1500</v>
      </c>
      <c r="F135" s="3" t="str">
        <f t="shared" si="17"/>
        <v/>
      </c>
      <c r="G135" s="38" t="str">
        <f>IF($A135="","",(VLOOKUP($A135,Cus!$A$2:$AH$1001,23,FALSE)))</f>
        <v/>
      </c>
      <c r="H135" s="3" t="str">
        <f t="shared" si="13"/>
        <v/>
      </c>
      <c r="I135" s="56" t="str">
        <f t="shared" si="14"/>
        <v/>
      </c>
      <c r="J135" s="3" t="str">
        <f t="shared" si="15"/>
        <v/>
      </c>
      <c r="K135" s="7" t="str">
        <f t="shared" si="16"/>
        <v/>
      </c>
    </row>
    <row r="136" spans="1:12">
      <c r="A136" s="1" t="str">
        <f>IF(Cus!$B136&lt;&gt;"",Cus!$A136,"")</f>
        <v/>
      </c>
      <c r="C136" s="16">
        <v>1</v>
      </c>
      <c r="D136" s="3" t="str">
        <f t="shared" si="12"/>
        <v/>
      </c>
      <c r="E136" s="3">
        <f>IF($C136=1,CommissionDD!$A$30,IF($C136=2,CommissionDD!$A$31,CommissionDD!$A$32))</f>
        <v>1500</v>
      </c>
      <c r="F136" s="3" t="str">
        <f t="shared" si="17"/>
        <v/>
      </c>
      <c r="G136" s="38" t="str">
        <f>IF($A136="","",(VLOOKUP($A136,Cus!$A$2:$AH$1001,23,FALSE)))</f>
        <v/>
      </c>
      <c r="H136" s="3" t="str">
        <f t="shared" si="13"/>
        <v/>
      </c>
      <c r="I136" s="56" t="str">
        <f t="shared" si="14"/>
        <v/>
      </c>
      <c r="J136" s="3" t="str">
        <f t="shared" si="15"/>
        <v/>
      </c>
      <c r="K136" s="7" t="str">
        <f t="shared" si="16"/>
        <v/>
      </c>
    </row>
    <row r="137" spans="1:12">
      <c r="A137" s="1" t="str">
        <f>IF(Cus!$B137&lt;&gt;"",Cus!$A137,"")</f>
        <v/>
      </c>
      <c r="C137" s="16">
        <v>1</v>
      </c>
      <c r="D137" s="3" t="str">
        <f t="shared" si="12"/>
        <v/>
      </c>
      <c r="E137" s="3">
        <f>IF($C137=1,CommissionDD!$A$30,IF($C137=2,CommissionDD!$A$31,CommissionDD!$A$32))</f>
        <v>1500</v>
      </c>
      <c r="F137" s="3" t="str">
        <f t="shared" si="17"/>
        <v/>
      </c>
      <c r="G137" s="38" t="str">
        <f>IF($A137="","",(VLOOKUP($A137,Cus!$A$2:$AH$1001,23,FALSE)))</f>
        <v/>
      </c>
      <c r="H137" s="3" t="str">
        <f t="shared" si="13"/>
        <v/>
      </c>
      <c r="I137" s="56" t="str">
        <f t="shared" si="14"/>
        <v/>
      </c>
      <c r="J137" s="3" t="str">
        <f t="shared" si="15"/>
        <v/>
      </c>
      <c r="K137" s="7" t="str">
        <f t="shared" si="16"/>
        <v/>
      </c>
    </row>
    <row r="138" spans="1:12">
      <c r="A138" s="1" t="str">
        <f>IF(Cus!$B138&lt;&gt;"",Cus!$A138,"")</f>
        <v/>
      </c>
      <c r="C138" s="16">
        <v>1</v>
      </c>
      <c r="D138" s="3" t="str">
        <f t="shared" si="12"/>
        <v/>
      </c>
      <c r="E138" s="3">
        <f>IF($C138=1,CommissionDD!$A$30,IF($C138=2,CommissionDD!$A$31,CommissionDD!$A$32))</f>
        <v>1500</v>
      </c>
      <c r="F138" s="3" t="str">
        <f t="shared" si="17"/>
        <v/>
      </c>
      <c r="G138" s="38" t="str">
        <f>IF($A138="","",(VLOOKUP($A138,Cus!$A$2:$AH$1001,23,FALSE)))</f>
        <v/>
      </c>
      <c r="H138" s="3" t="str">
        <f t="shared" si="13"/>
        <v/>
      </c>
      <c r="I138" s="56" t="str">
        <f t="shared" si="14"/>
        <v/>
      </c>
      <c r="J138" s="3" t="str">
        <f t="shared" si="15"/>
        <v/>
      </c>
      <c r="K138" s="7" t="str">
        <f t="shared" si="16"/>
        <v/>
      </c>
    </row>
    <row r="139" spans="1:12">
      <c r="A139" s="1" t="str">
        <f>IF(Cus!$B139&lt;&gt;"",Cus!$A139,"")</f>
        <v/>
      </c>
      <c r="C139" s="16">
        <v>1</v>
      </c>
      <c r="D139" s="3" t="str">
        <f t="shared" si="12"/>
        <v/>
      </c>
      <c r="E139" s="3">
        <f>IF($C139=1,CommissionDD!$A$30,IF($C139=2,CommissionDD!$A$31,CommissionDD!$A$32))</f>
        <v>1500</v>
      </c>
      <c r="F139" s="3" t="str">
        <f t="shared" si="17"/>
        <v/>
      </c>
      <c r="G139" s="38" t="str">
        <f>IF($A139="","",(VLOOKUP($A139,Cus!$A$2:$AH$1001,23,FALSE)))</f>
        <v/>
      </c>
      <c r="H139" s="3" t="str">
        <f t="shared" si="13"/>
        <v/>
      </c>
      <c r="I139" s="56" t="str">
        <f t="shared" si="14"/>
        <v/>
      </c>
      <c r="J139" s="3" t="str">
        <f t="shared" si="15"/>
        <v/>
      </c>
      <c r="K139" s="7" t="str">
        <f t="shared" si="16"/>
        <v/>
      </c>
    </row>
    <row r="140" spans="1:12">
      <c r="A140" s="1" t="str">
        <f>IF(Cus!$B140&lt;&gt;"",Cus!$A140,"")</f>
        <v/>
      </c>
      <c r="C140" s="16">
        <v>1</v>
      </c>
      <c r="D140" s="3" t="str">
        <f t="shared" si="12"/>
        <v/>
      </c>
      <c r="E140" s="3">
        <f>IF($C140=1,CommissionDD!$A$30,IF($C140=2,CommissionDD!$A$31,CommissionDD!$A$32))</f>
        <v>1500</v>
      </c>
      <c r="F140" s="3" t="str">
        <f t="shared" si="17"/>
        <v/>
      </c>
      <c r="G140" s="38" t="str">
        <f>IF($A140="","",(VLOOKUP($A140,Cus!$A$2:$AH$1001,23,FALSE)))</f>
        <v/>
      </c>
      <c r="H140" s="3" t="str">
        <f t="shared" si="13"/>
        <v/>
      </c>
      <c r="I140" s="56" t="str">
        <f t="shared" si="14"/>
        <v/>
      </c>
      <c r="J140" s="3" t="str">
        <f t="shared" si="15"/>
        <v/>
      </c>
      <c r="K140" s="7" t="str">
        <f t="shared" si="16"/>
        <v/>
      </c>
    </row>
    <row r="141" spans="1:12">
      <c r="A141" s="1" t="str">
        <f>IF(Cus!$B141&lt;&gt;"",Cus!$A141,"")</f>
        <v/>
      </c>
      <c r="C141" s="16">
        <v>1</v>
      </c>
      <c r="D141" s="3" t="str">
        <f t="shared" si="12"/>
        <v/>
      </c>
      <c r="E141" s="3">
        <f>IF($C141=1,CommissionDD!$A$30,IF($C141=2,CommissionDD!$A$31,CommissionDD!$A$32))</f>
        <v>1500</v>
      </c>
      <c r="F141" s="3" t="str">
        <f t="shared" si="17"/>
        <v/>
      </c>
      <c r="G141" s="38" t="str">
        <f>IF($A141="","",(VLOOKUP($A141,Cus!$A$2:$AH$1001,23,FALSE)))</f>
        <v/>
      </c>
      <c r="H141" s="3" t="str">
        <f t="shared" si="13"/>
        <v/>
      </c>
      <c r="I141" s="56" t="str">
        <f t="shared" si="14"/>
        <v/>
      </c>
      <c r="J141" s="3" t="str">
        <f t="shared" si="15"/>
        <v/>
      </c>
      <c r="K141" s="7" t="str">
        <f t="shared" si="16"/>
        <v/>
      </c>
    </row>
    <row r="142" spans="1:12">
      <c r="A142" s="1" t="str">
        <f>IF(Cus!$B142&lt;&gt;"",Cus!$A142,"")</f>
        <v/>
      </c>
      <c r="C142" s="16">
        <v>1</v>
      </c>
      <c r="D142" s="3" t="str">
        <f t="shared" si="12"/>
        <v/>
      </c>
      <c r="E142" s="3">
        <f>IF($C142=1,CommissionDD!$A$30,IF($C142=2,CommissionDD!$A$31,CommissionDD!$A$32))</f>
        <v>1500</v>
      </c>
      <c r="F142" s="3" t="str">
        <f t="shared" si="17"/>
        <v/>
      </c>
      <c r="G142" s="38" t="str">
        <f>IF($A142="","",(VLOOKUP($A142,Cus!$A$2:$AH$1001,23,FALSE)))</f>
        <v/>
      </c>
      <c r="H142" s="3" t="str">
        <f t="shared" si="13"/>
        <v/>
      </c>
      <c r="I142" s="56" t="str">
        <f t="shared" si="14"/>
        <v/>
      </c>
      <c r="J142" s="3" t="str">
        <f t="shared" si="15"/>
        <v/>
      </c>
      <c r="K142" s="7" t="str">
        <f t="shared" si="16"/>
        <v/>
      </c>
    </row>
    <row r="143" spans="1:12">
      <c r="A143" s="1" t="str">
        <f>IF(Cus!$B143&lt;&gt;"",Cus!$A143,"")</f>
        <v/>
      </c>
      <c r="C143" s="16">
        <v>1</v>
      </c>
      <c r="D143" s="3" t="str">
        <f t="shared" si="12"/>
        <v/>
      </c>
      <c r="E143" s="3">
        <f>IF($C143=1,CommissionDD!$A$30,IF($C143=2,CommissionDD!$A$31,CommissionDD!$A$32))</f>
        <v>1500</v>
      </c>
      <c r="F143" s="3" t="str">
        <f t="shared" si="17"/>
        <v/>
      </c>
      <c r="G143" s="38" t="str">
        <f>IF($A143="","",(VLOOKUP($A143,Cus!$A$2:$AH$1001,23,FALSE)))</f>
        <v/>
      </c>
      <c r="H143" s="3" t="str">
        <f t="shared" si="13"/>
        <v/>
      </c>
      <c r="I143" s="56" t="str">
        <f t="shared" si="14"/>
        <v/>
      </c>
      <c r="J143" s="3" t="str">
        <f t="shared" si="15"/>
        <v/>
      </c>
      <c r="K143" s="7" t="str">
        <f t="shared" si="16"/>
        <v/>
      </c>
    </row>
    <row r="144" spans="1:12">
      <c r="A144" s="1" t="str">
        <f>IF(Cus!$B144&lt;&gt;"",Cus!$A144,"")</f>
        <v/>
      </c>
      <c r="C144" s="16">
        <v>1</v>
      </c>
      <c r="D144" s="3" t="str">
        <f t="shared" si="12"/>
        <v/>
      </c>
      <c r="E144" s="3">
        <f>IF($C144=1,CommissionDD!$A$30,IF($C144=2,CommissionDD!$A$31,CommissionDD!$A$32))</f>
        <v>1500</v>
      </c>
      <c r="F144" s="3" t="str">
        <f t="shared" si="17"/>
        <v/>
      </c>
      <c r="G144" s="38" t="str">
        <f>IF($A144="","",(VLOOKUP($A144,Cus!$A$2:$AH$1001,23,FALSE)))</f>
        <v/>
      </c>
      <c r="H144" s="3" t="str">
        <f t="shared" si="13"/>
        <v/>
      </c>
      <c r="I144" s="56" t="str">
        <f t="shared" si="14"/>
        <v/>
      </c>
      <c r="J144" s="3" t="str">
        <f t="shared" si="15"/>
        <v/>
      </c>
      <c r="K144" s="7" t="str">
        <f t="shared" si="16"/>
        <v/>
      </c>
    </row>
    <row r="145" spans="1:11">
      <c r="A145" s="1" t="str">
        <f>IF(Cus!$B145&lt;&gt;"",Cus!$A145,"")</f>
        <v/>
      </c>
      <c r="C145" s="16">
        <v>1</v>
      </c>
      <c r="D145" s="3" t="str">
        <f t="shared" si="12"/>
        <v/>
      </c>
      <c r="E145" s="3">
        <f>IF($C145=1,CommissionDD!$A$30,IF($C145=2,CommissionDD!$A$31,CommissionDD!$A$32))</f>
        <v>1500</v>
      </c>
      <c r="F145" s="3" t="str">
        <f t="shared" si="17"/>
        <v/>
      </c>
      <c r="G145" s="38" t="str">
        <f>IF($A145="","",(VLOOKUP($A145,Cus!$A$2:$AH$1001,23,FALSE)))</f>
        <v/>
      </c>
      <c r="H145" s="3" t="str">
        <f t="shared" si="13"/>
        <v/>
      </c>
      <c r="I145" s="56" t="str">
        <f t="shared" si="14"/>
        <v/>
      </c>
      <c r="J145" s="3" t="str">
        <f t="shared" si="15"/>
        <v/>
      </c>
      <c r="K145" s="7" t="str">
        <f t="shared" si="16"/>
        <v/>
      </c>
    </row>
    <row r="146" spans="1:11">
      <c r="A146" s="1" t="str">
        <f>IF(Cus!$B146&lt;&gt;"",Cus!$A146,"")</f>
        <v/>
      </c>
      <c r="C146" s="16">
        <v>1</v>
      </c>
      <c r="D146" s="3" t="str">
        <f t="shared" si="12"/>
        <v/>
      </c>
      <c r="E146" s="3">
        <f>IF($C146=1,CommissionDD!$A$30,IF($C146=2,CommissionDD!$A$31,CommissionDD!$A$32))</f>
        <v>1500</v>
      </c>
      <c r="F146" s="3" t="str">
        <f t="shared" si="17"/>
        <v/>
      </c>
      <c r="G146" s="38" t="str">
        <f>IF($A146="","",(VLOOKUP($A146,Cus!$A$2:$AH$1001,23,FALSE)))</f>
        <v/>
      </c>
      <c r="H146" s="3" t="str">
        <f t="shared" si="13"/>
        <v/>
      </c>
      <c r="I146" s="56" t="str">
        <f t="shared" si="14"/>
        <v/>
      </c>
      <c r="J146" s="3" t="str">
        <f t="shared" si="15"/>
        <v/>
      </c>
      <c r="K146" s="7" t="str">
        <f t="shared" si="16"/>
        <v/>
      </c>
    </row>
    <row r="147" spans="1:11">
      <c r="A147" s="1" t="str">
        <f>IF(Cus!$B147&lt;&gt;"",Cus!$A147,"")</f>
        <v/>
      </c>
      <c r="C147" s="16">
        <v>1</v>
      </c>
      <c r="D147" s="3" t="str">
        <f t="shared" si="12"/>
        <v/>
      </c>
      <c r="E147" s="3">
        <f>IF($C147=1,CommissionDD!$A$30,IF($C147=2,CommissionDD!$A$31,CommissionDD!$A$32))</f>
        <v>1500</v>
      </c>
      <c r="F147" s="3" t="str">
        <f t="shared" si="17"/>
        <v/>
      </c>
      <c r="G147" s="38" t="str">
        <f>IF($A147="","",(VLOOKUP($A147,Cus!$A$2:$AH$1001,23,FALSE)))</f>
        <v/>
      </c>
      <c r="H147" s="3" t="str">
        <f t="shared" si="13"/>
        <v/>
      </c>
      <c r="I147" s="56" t="str">
        <f t="shared" si="14"/>
        <v/>
      </c>
      <c r="J147" s="3" t="str">
        <f t="shared" si="15"/>
        <v/>
      </c>
      <c r="K147" s="7" t="str">
        <f t="shared" si="16"/>
        <v/>
      </c>
    </row>
    <row r="148" spans="1:11">
      <c r="A148" s="1" t="str">
        <f>IF(Cus!$B148&lt;&gt;"",Cus!$A148,"")</f>
        <v/>
      </c>
      <c r="C148" s="16">
        <v>1</v>
      </c>
      <c r="D148" s="3" t="str">
        <f t="shared" si="12"/>
        <v/>
      </c>
      <c r="E148" s="3">
        <f>IF($C148=1,CommissionDD!$A$30,IF($C148=2,CommissionDD!$A$31,CommissionDD!$A$32))</f>
        <v>1500</v>
      </c>
      <c r="F148" s="3" t="str">
        <f t="shared" si="17"/>
        <v/>
      </c>
      <c r="G148" s="38" t="str">
        <f>IF($A148="","",(VLOOKUP($A148,Cus!$A$2:$AH$1001,23,FALSE)))</f>
        <v/>
      </c>
      <c r="H148" s="3" t="str">
        <f t="shared" si="13"/>
        <v/>
      </c>
      <c r="I148" s="56" t="str">
        <f t="shared" si="14"/>
        <v/>
      </c>
      <c r="J148" s="3" t="str">
        <f t="shared" si="15"/>
        <v/>
      </c>
      <c r="K148" s="7" t="str">
        <f t="shared" si="16"/>
        <v/>
      </c>
    </row>
    <row r="149" spans="1:11">
      <c r="A149" s="1" t="str">
        <f>IF(Cus!$B149&lt;&gt;"",Cus!$A149,"")</f>
        <v/>
      </c>
      <c r="C149" s="16">
        <v>1</v>
      </c>
      <c r="D149" s="3" t="str">
        <f t="shared" si="12"/>
        <v/>
      </c>
      <c r="E149" s="3">
        <f>IF($C149=1,CommissionDD!$A$30,IF($C149=2,CommissionDD!$A$31,CommissionDD!$A$32))</f>
        <v>1500</v>
      </c>
      <c r="F149" s="3" t="str">
        <f t="shared" si="17"/>
        <v/>
      </c>
      <c r="G149" s="38" t="str">
        <f>IF($A149="","",(VLOOKUP($A149,Cus!$A$2:$AH$1001,23,FALSE)))</f>
        <v/>
      </c>
      <c r="H149" s="3" t="str">
        <f t="shared" si="13"/>
        <v/>
      </c>
      <c r="I149" s="56" t="str">
        <f t="shared" si="14"/>
        <v/>
      </c>
      <c r="J149" s="3" t="str">
        <f t="shared" si="15"/>
        <v/>
      </c>
      <c r="K149" s="7" t="str">
        <f t="shared" si="16"/>
        <v/>
      </c>
    </row>
    <row r="150" spans="1:11">
      <c r="A150" s="1" t="str">
        <f>IF(Cus!$B150&lt;&gt;"",Cus!$A150,"")</f>
        <v/>
      </c>
      <c r="C150" s="16">
        <v>1</v>
      </c>
      <c r="D150" s="3" t="str">
        <f t="shared" si="12"/>
        <v/>
      </c>
      <c r="E150" s="3">
        <f>IF($C150=1,CommissionDD!$A$30,IF($C150=2,CommissionDD!$A$31,CommissionDD!$A$32))</f>
        <v>1500</v>
      </c>
      <c r="F150" s="3" t="str">
        <f t="shared" si="17"/>
        <v/>
      </c>
      <c r="G150" s="38" t="str">
        <f>IF($A150="","",(VLOOKUP($A150,Cus!$A$2:$AH$1001,23,FALSE)))</f>
        <v/>
      </c>
      <c r="H150" s="3" t="str">
        <f t="shared" si="13"/>
        <v/>
      </c>
      <c r="I150" s="56" t="str">
        <f t="shared" si="14"/>
        <v/>
      </c>
      <c r="J150" s="3" t="str">
        <f t="shared" si="15"/>
        <v/>
      </c>
      <c r="K150" s="7" t="str">
        <f t="shared" si="16"/>
        <v/>
      </c>
    </row>
    <row r="151" spans="1:11">
      <c r="A151" s="1" t="str">
        <f>IF(Cus!$B151&lt;&gt;"",Cus!$A151,"")</f>
        <v/>
      </c>
      <c r="C151" s="16">
        <v>1</v>
      </c>
      <c r="D151" s="3" t="str">
        <f t="shared" si="12"/>
        <v/>
      </c>
      <c r="E151" s="3">
        <f>IF($C151=1,CommissionDD!$A$30,IF($C151=2,CommissionDD!$A$31,CommissionDD!$A$32))</f>
        <v>1500</v>
      </c>
      <c r="F151" s="3" t="str">
        <f t="shared" si="17"/>
        <v/>
      </c>
      <c r="G151" s="38" t="str">
        <f>IF($A151="","",(VLOOKUP($A151,Cus!$A$2:$AH$1001,23,FALSE)))</f>
        <v/>
      </c>
      <c r="H151" s="3" t="str">
        <f t="shared" si="13"/>
        <v/>
      </c>
      <c r="I151" s="56" t="str">
        <f t="shared" si="14"/>
        <v/>
      </c>
      <c r="J151" s="3" t="str">
        <f t="shared" si="15"/>
        <v/>
      </c>
      <c r="K151" s="7" t="str">
        <f t="shared" si="16"/>
        <v/>
      </c>
    </row>
    <row r="152" spans="1:11">
      <c r="A152" s="1" t="str">
        <f>IF(Cus!$B152&lt;&gt;"",Cus!$A152,"")</f>
        <v/>
      </c>
      <c r="C152" s="16">
        <v>1</v>
      </c>
      <c r="D152" s="3" t="str">
        <f t="shared" si="12"/>
        <v/>
      </c>
      <c r="E152" s="3">
        <f>IF($C152=1,CommissionDD!$A$30,IF($C152=2,CommissionDD!$A$31,CommissionDD!$A$32))</f>
        <v>1500</v>
      </c>
      <c r="F152" s="3" t="str">
        <f t="shared" si="17"/>
        <v/>
      </c>
      <c r="G152" s="38" t="str">
        <f>IF($A152="","",(VLOOKUP($A152,Cus!$A$2:$AH$1001,23,FALSE)))</f>
        <v/>
      </c>
      <c r="H152" s="3" t="str">
        <f t="shared" si="13"/>
        <v/>
      </c>
      <c r="I152" s="56" t="str">
        <f t="shared" si="14"/>
        <v/>
      </c>
      <c r="J152" s="3" t="str">
        <f t="shared" si="15"/>
        <v/>
      </c>
      <c r="K152" s="7" t="str">
        <f t="shared" si="16"/>
        <v/>
      </c>
    </row>
    <row r="153" spans="1:11">
      <c r="A153" s="1" t="str">
        <f>IF(Cus!$B153&lt;&gt;"",Cus!$A153,"")</f>
        <v/>
      </c>
      <c r="C153" s="16">
        <v>1</v>
      </c>
      <c r="D153" s="3" t="str">
        <f t="shared" si="12"/>
        <v/>
      </c>
      <c r="E153" s="3">
        <f>IF($C153=1,CommissionDD!$A$30,IF($C153=2,CommissionDD!$A$31,CommissionDD!$A$32))</f>
        <v>1500</v>
      </c>
      <c r="F153" s="3" t="str">
        <f t="shared" si="17"/>
        <v/>
      </c>
      <c r="G153" s="38" t="str">
        <f>IF($A153="","",(VLOOKUP($A153,Cus!$A$2:$AH$1001,23,FALSE)))</f>
        <v/>
      </c>
      <c r="H153" s="3" t="str">
        <f t="shared" si="13"/>
        <v/>
      </c>
      <c r="I153" s="56" t="str">
        <f t="shared" si="14"/>
        <v/>
      </c>
      <c r="J153" s="3" t="str">
        <f t="shared" si="15"/>
        <v/>
      </c>
      <c r="K153" s="7" t="str">
        <f t="shared" si="16"/>
        <v/>
      </c>
    </row>
    <row r="154" spans="1:11">
      <c r="A154" s="1" t="str">
        <f>IF(Cus!$B154&lt;&gt;"",Cus!$A154,"")</f>
        <v/>
      </c>
      <c r="C154" s="16">
        <v>1</v>
      </c>
      <c r="D154" s="3" t="str">
        <f t="shared" si="12"/>
        <v/>
      </c>
      <c r="E154" s="3">
        <f>IF($C154=1,CommissionDD!$A$30,IF($C154=2,CommissionDD!$A$31,CommissionDD!$A$32))</f>
        <v>1500</v>
      </c>
      <c r="F154" s="3" t="str">
        <f t="shared" si="17"/>
        <v/>
      </c>
      <c r="G154" s="38" t="str">
        <f>IF($A154="","",(VLOOKUP($A154,Cus!$A$2:$AH$1001,23,FALSE)))</f>
        <v/>
      </c>
      <c r="H154" s="3" t="str">
        <f t="shared" si="13"/>
        <v/>
      </c>
      <c r="I154" s="56" t="str">
        <f t="shared" si="14"/>
        <v/>
      </c>
      <c r="J154" s="3" t="str">
        <f t="shared" si="15"/>
        <v/>
      </c>
      <c r="K154" s="7" t="str">
        <f t="shared" si="16"/>
        <v/>
      </c>
    </row>
    <row r="155" spans="1:11">
      <c r="A155" s="1" t="str">
        <f>IF(Cus!$B155&lt;&gt;"",Cus!$A155,"")</f>
        <v/>
      </c>
      <c r="C155" s="16">
        <v>1</v>
      </c>
      <c r="D155" s="3" t="str">
        <f t="shared" si="12"/>
        <v/>
      </c>
      <c r="E155" s="3">
        <f>IF($C155=1,CommissionDD!$A$30,IF($C155=2,CommissionDD!$A$31,CommissionDD!$A$32))</f>
        <v>1500</v>
      </c>
      <c r="F155" s="3" t="str">
        <f t="shared" si="17"/>
        <v/>
      </c>
      <c r="G155" s="38" t="str">
        <f>IF($A155="","",(VLOOKUP($A155,Cus!$A$2:$AH$1001,23,FALSE)))</f>
        <v/>
      </c>
      <c r="H155" s="3" t="str">
        <f t="shared" si="13"/>
        <v/>
      </c>
      <c r="I155" s="56" t="str">
        <f t="shared" si="14"/>
        <v/>
      </c>
      <c r="J155" s="3" t="str">
        <f t="shared" si="15"/>
        <v/>
      </c>
      <c r="K155" s="7" t="str">
        <f t="shared" si="16"/>
        <v/>
      </c>
    </row>
    <row r="156" spans="1:11">
      <c r="A156" s="1" t="str">
        <f>IF(Cus!$B156&lt;&gt;"",Cus!$A156,"")</f>
        <v/>
      </c>
      <c r="C156" s="16">
        <v>1</v>
      </c>
      <c r="D156" s="3" t="str">
        <f t="shared" si="12"/>
        <v/>
      </c>
      <c r="E156" s="3">
        <f>IF($C156=1,CommissionDD!$A$30,IF($C156=2,CommissionDD!$A$31,CommissionDD!$A$32))</f>
        <v>1500</v>
      </c>
      <c r="F156" s="3" t="str">
        <f t="shared" si="17"/>
        <v/>
      </c>
      <c r="G156" s="38" t="str">
        <f>IF($A156="","",(VLOOKUP($A156,Cus!$A$2:$AH$1001,23,FALSE)))</f>
        <v/>
      </c>
      <c r="H156" s="3" t="str">
        <f t="shared" si="13"/>
        <v/>
      </c>
      <c r="I156" s="56" t="str">
        <f t="shared" si="14"/>
        <v/>
      </c>
      <c r="J156" s="3" t="str">
        <f t="shared" si="15"/>
        <v/>
      </c>
      <c r="K156" s="7" t="str">
        <f t="shared" si="16"/>
        <v/>
      </c>
    </row>
    <row r="157" spans="1:11">
      <c r="A157" s="1" t="str">
        <f>IF(Cus!$B157&lt;&gt;"",Cus!$A157,"")</f>
        <v/>
      </c>
      <c r="C157" s="16">
        <v>1</v>
      </c>
      <c r="D157" s="3" t="str">
        <f t="shared" si="12"/>
        <v/>
      </c>
      <c r="E157" s="3">
        <f>IF($C157=1,CommissionDD!$A$30,IF($C157=2,CommissionDD!$A$31,CommissionDD!$A$32))</f>
        <v>1500</v>
      </c>
      <c r="F157" s="3" t="str">
        <f t="shared" si="17"/>
        <v/>
      </c>
      <c r="G157" s="38" t="str">
        <f>IF($A157="","",(VLOOKUP($A157,Cus!$A$2:$AH$1001,23,FALSE)))</f>
        <v/>
      </c>
      <c r="H157" s="3" t="str">
        <f t="shared" si="13"/>
        <v/>
      </c>
      <c r="I157" s="56" t="str">
        <f t="shared" si="14"/>
        <v/>
      </c>
      <c r="J157" s="3" t="str">
        <f t="shared" si="15"/>
        <v/>
      </c>
      <c r="K157" s="7" t="str">
        <f t="shared" si="16"/>
        <v/>
      </c>
    </row>
    <row r="158" spans="1:11">
      <c r="A158" s="1" t="str">
        <f>IF(Cus!$B158&lt;&gt;"",Cus!$A158,"")</f>
        <v/>
      </c>
      <c r="C158" s="16">
        <v>1</v>
      </c>
      <c r="D158" s="3" t="str">
        <f t="shared" si="12"/>
        <v/>
      </c>
      <c r="E158" s="3">
        <f>IF($C158=1,CommissionDD!$A$30,IF($C158=2,CommissionDD!$A$31,CommissionDD!$A$32))</f>
        <v>1500</v>
      </c>
      <c r="F158" s="3" t="str">
        <f t="shared" si="17"/>
        <v/>
      </c>
      <c r="G158" s="38" t="str">
        <f>IF($A158="","",(VLOOKUP($A158,Cus!$A$2:$AH$1001,23,FALSE)))</f>
        <v/>
      </c>
      <c r="H158" s="3" t="str">
        <f t="shared" si="13"/>
        <v/>
      </c>
      <c r="I158" s="56" t="str">
        <f t="shared" si="14"/>
        <v/>
      </c>
      <c r="J158" s="3" t="str">
        <f t="shared" si="15"/>
        <v/>
      </c>
      <c r="K158" s="7" t="str">
        <f t="shared" si="16"/>
        <v/>
      </c>
    </row>
    <row r="159" spans="1:11">
      <c r="A159" s="1" t="str">
        <f>IF(Cus!$B159&lt;&gt;"",Cus!$A159,"")</f>
        <v/>
      </c>
      <c r="C159" s="16">
        <v>1</v>
      </c>
      <c r="D159" s="3" t="str">
        <f t="shared" si="12"/>
        <v/>
      </c>
      <c r="E159" s="3">
        <f>IF($C159=1,CommissionDD!$A$30,IF($C159=2,CommissionDD!$A$31,CommissionDD!$A$32))</f>
        <v>1500</v>
      </c>
      <c r="F159" s="3" t="str">
        <f t="shared" si="17"/>
        <v/>
      </c>
      <c r="G159" s="38" t="str">
        <f>IF($A159="","",(VLOOKUP($A159,Cus!$A$2:$AH$1001,23,FALSE)))</f>
        <v/>
      </c>
      <c r="H159" s="3" t="str">
        <f t="shared" si="13"/>
        <v/>
      </c>
      <c r="I159" s="56" t="str">
        <f t="shared" si="14"/>
        <v/>
      </c>
      <c r="J159" s="3" t="str">
        <f t="shared" si="15"/>
        <v/>
      </c>
      <c r="K159" s="7" t="str">
        <f t="shared" si="16"/>
        <v/>
      </c>
    </row>
    <row r="160" spans="1:11">
      <c r="A160" s="1" t="str">
        <f>IF(Cus!$B160&lt;&gt;"",Cus!$A160,"")</f>
        <v/>
      </c>
      <c r="C160" s="16">
        <v>1</v>
      </c>
      <c r="D160" s="3" t="str">
        <f t="shared" si="12"/>
        <v/>
      </c>
      <c r="E160" s="3">
        <f>IF($C160=1,CommissionDD!$A$30,IF($C160=2,CommissionDD!$A$31,CommissionDD!$A$32))</f>
        <v>1500</v>
      </c>
      <c r="F160" s="3" t="str">
        <f t="shared" si="17"/>
        <v/>
      </c>
      <c r="G160" s="38" t="str">
        <f>IF($A160="","",(VLOOKUP($A160,Cus!$A$2:$AH$1001,23,FALSE)))</f>
        <v/>
      </c>
      <c r="H160" s="3" t="str">
        <f t="shared" si="13"/>
        <v/>
      </c>
      <c r="I160" s="56" t="str">
        <f t="shared" si="14"/>
        <v/>
      </c>
      <c r="J160" s="3" t="str">
        <f t="shared" si="15"/>
        <v/>
      </c>
      <c r="K160" s="7" t="str">
        <f t="shared" si="16"/>
        <v/>
      </c>
    </row>
    <row r="161" spans="1:12">
      <c r="A161" s="1" t="str">
        <f>IF(Cus!$B161&lt;&gt;"",Cus!$A161,"")</f>
        <v/>
      </c>
      <c r="C161" s="16">
        <v>1</v>
      </c>
      <c r="D161" s="3" t="str">
        <f t="shared" si="12"/>
        <v/>
      </c>
      <c r="E161" s="3">
        <f>IF($C161=1,CommissionDD!$A$30,IF($C161=2,CommissionDD!$A$31,CommissionDD!$A$32))</f>
        <v>1500</v>
      </c>
      <c r="F161" s="3" t="str">
        <f t="shared" si="17"/>
        <v/>
      </c>
      <c r="G161" s="38" t="str">
        <f>IF($A161="","",(VLOOKUP($A161,Cus!$A$2:$AH$1001,23,FALSE)))</f>
        <v/>
      </c>
      <c r="H161" s="3" t="str">
        <f t="shared" si="13"/>
        <v/>
      </c>
      <c r="I161" s="56" t="str">
        <f t="shared" si="14"/>
        <v/>
      </c>
      <c r="J161" s="3" t="str">
        <f t="shared" si="15"/>
        <v/>
      </c>
      <c r="K161" s="7" t="str">
        <f t="shared" si="16"/>
        <v/>
      </c>
    </row>
    <row r="162" spans="1:12">
      <c r="A162" s="1" t="str">
        <f>IF(Cus!$B162&lt;&gt;"",Cus!$A162,"")</f>
        <v/>
      </c>
      <c r="C162" s="16">
        <v>1</v>
      </c>
      <c r="D162" s="3" t="str">
        <f t="shared" si="12"/>
        <v/>
      </c>
      <c r="E162" s="3">
        <f>IF($C162=1,CommissionDD!$A$30,IF($C162=2,CommissionDD!$A$31,CommissionDD!$A$32))</f>
        <v>1500</v>
      </c>
      <c r="F162" s="3" t="str">
        <f t="shared" si="17"/>
        <v/>
      </c>
      <c r="G162" s="38" t="str">
        <f>IF($A162="","",(VLOOKUP($A162,Cus!$A$2:$AH$1001,23,FALSE)))</f>
        <v/>
      </c>
      <c r="H162" s="3" t="str">
        <f t="shared" si="13"/>
        <v/>
      </c>
      <c r="I162" s="56" t="str">
        <f t="shared" si="14"/>
        <v/>
      </c>
      <c r="J162" s="3" t="str">
        <f t="shared" si="15"/>
        <v/>
      </c>
      <c r="K162" s="7" t="str">
        <f t="shared" si="16"/>
        <v/>
      </c>
    </row>
    <row r="163" spans="1:12">
      <c r="A163" s="1" t="str">
        <f>IF(Cus!$B163&lt;&gt;"",Cus!$A163,"")</f>
        <v/>
      </c>
      <c r="C163" s="16">
        <v>1</v>
      </c>
      <c r="D163" s="3" t="str">
        <f t="shared" si="12"/>
        <v/>
      </c>
      <c r="E163" s="3">
        <f>IF($C163=1,CommissionDD!$A$30,IF($C163=2,CommissionDD!$A$31,CommissionDD!$A$32))</f>
        <v>1500</v>
      </c>
      <c r="F163" s="3" t="str">
        <f t="shared" si="17"/>
        <v/>
      </c>
      <c r="G163" s="38" t="str">
        <f>IF($A163="","",(VLOOKUP($A163,Cus!$A$2:$AH$1001,23,FALSE)))</f>
        <v/>
      </c>
      <c r="H163" s="3" t="str">
        <f t="shared" si="13"/>
        <v/>
      </c>
      <c r="I163" s="56" t="str">
        <f t="shared" si="14"/>
        <v/>
      </c>
      <c r="J163" s="3" t="str">
        <f t="shared" si="15"/>
        <v/>
      </c>
      <c r="K163" s="7" t="str">
        <f t="shared" si="16"/>
        <v/>
      </c>
    </row>
    <row r="164" spans="1:12">
      <c r="A164" s="1" t="str">
        <f>IF(Cus!$B164&lt;&gt;"",Cus!$A164,"")</f>
        <v/>
      </c>
      <c r="C164" s="16">
        <v>1</v>
      </c>
      <c r="D164" s="3" t="str">
        <f t="shared" si="12"/>
        <v/>
      </c>
      <c r="E164" s="3">
        <f>IF($C164=1,CommissionDD!$A$30,IF($C164=2,CommissionDD!$A$31,CommissionDD!$A$32))</f>
        <v>1500</v>
      </c>
      <c r="F164" s="3" t="str">
        <f t="shared" si="17"/>
        <v/>
      </c>
      <c r="G164" s="38" t="str">
        <f>IF($A164="","",(VLOOKUP($A164,Cus!$A$2:$AH$1001,23,FALSE)))</f>
        <v/>
      </c>
      <c r="H164" s="3" t="str">
        <f t="shared" si="13"/>
        <v/>
      </c>
      <c r="I164" s="56" t="str">
        <f t="shared" si="14"/>
        <v/>
      </c>
      <c r="J164" s="3" t="str">
        <f t="shared" si="15"/>
        <v/>
      </c>
      <c r="K164" s="7" t="str">
        <f t="shared" si="16"/>
        <v/>
      </c>
    </row>
    <row r="165" spans="1:12">
      <c r="A165" s="1" t="str">
        <f>IF(Cus!$B165&lt;&gt;"",Cus!$A165,"")</f>
        <v/>
      </c>
      <c r="C165" s="16">
        <v>1</v>
      </c>
      <c r="D165" s="3" t="str">
        <f t="shared" si="12"/>
        <v/>
      </c>
      <c r="E165" s="3">
        <f>IF($C165=1,CommissionDD!$A$30,IF($C165=2,CommissionDD!$A$31,CommissionDD!$A$32))</f>
        <v>1500</v>
      </c>
      <c r="F165" s="3" t="str">
        <f t="shared" si="17"/>
        <v/>
      </c>
      <c r="G165" s="38" t="str">
        <f>IF($A165="","",(VLOOKUP($A165,Cus!$A$2:$AH$1001,23,FALSE)))</f>
        <v/>
      </c>
      <c r="H165" s="3" t="str">
        <f t="shared" si="13"/>
        <v/>
      </c>
      <c r="I165" s="56" t="str">
        <f t="shared" si="14"/>
        <v/>
      </c>
      <c r="J165" s="3" t="str">
        <f t="shared" si="15"/>
        <v/>
      </c>
      <c r="K165" s="7" t="str">
        <f t="shared" si="16"/>
        <v/>
      </c>
    </row>
    <row r="166" spans="1:12">
      <c r="A166" s="1" t="str">
        <f>IF(Cus!$B166&lt;&gt;"",Cus!$A166,"")</f>
        <v/>
      </c>
      <c r="C166" s="16">
        <v>1</v>
      </c>
      <c r="D166" s="3" t="str">
        <f t="shared" si="12"/>
        <v/>
      </c>
      <c r="E166" s="3">
        <f>IF($C166=1,CommissionDD!$A$30,IF($C166=2,CommissionDD!$A$31,CommissionDD!$A$32))</f>
        <v>1500</v>
      </c>
      <c r="F166" s="3" t="str">
        <f t="shared" si="17"/>
        <v/>
      </c>
      <c r="G166" s="38" t="str">
        <f>IF($A166="","",(VLOOKUP($A166,Cus!$A$2:$AH$1001,23,FALSE)))</f>
        <v/>
      </c>
      <c r="H166" s="3" t="str">
        <f t="shared" si="13"/>
        <v/>
      </c>
      <c r="I166" s="56" t="str">
        <f t="shared" si="14"/>
        <v/>
      </c>
      <c r="J166" s="3" t="str">
        <f t="shared" si="15"/>
        <v/>
      </c>
      <c r="K166" s="7" t="str">
        <f t="shared" si="16"/>
        <v/>
      </c>
    </row>
    <row r="167" spans="1:12">
      <c r="A167" s="1" t="str">
        <f>IF(Cus!$B167&lt;&gt;"",Cus!$A167,"")</f>
        <v/>
      </c>
      <c r="C167" s="16">
        <v>1</v>
      </c>
      <c r="D167" s="3" t="str">
        <f t="shared" si="12"/>
        <v/>
      </c>
      <c r="E167" s="3">
        <f>IF($C167=1,CommissionDD!$A$30,IF($C167=2,CommissionDD!$A$31,CommissionDD!$A$32))</f>
        <v>1500</v>
      </c>
      <c r="F167" s="3" t="str">
        <f t="shared" si="17"/>
        <v/>
      </c>
      <c r="G167" s="38" t="str">
        <f>IF($A167="","",(VLOOKUP($A167,Cus!$A$2:$AH$1001,23,FALSE)))</f>
        <v/>
      </c>
      <c r="H167" s="3" t="str">
        <f t="shared" si="13"/>
        <v/>
      </c>
      <c r="I167" s="56" t="str">
        <f t="shared" si="14"/>
        <v/>
      </c>
      <c r="J167" s="3" t="str">
        <f t="shared" si="15"/>
        <v/>
      </c>
      <c r="K167" s="7" t="str">
        <f t="shared" si="16"/>
        <v/>
      </c>
    </row>
    <row r="168" spans="1:12">
      <c r="A168" s="1" t="str">
        <f>IF(Cus!$B168&lt;&gt;"",Cus!$A168,"")</f>
        <v/>
      </c>
      <c r="C168" s="16">
        <v>1</v>
      </c>
      <c r="D168" s="3" t="str">
        <f t="shared" si="12"/>
        <v/>
      </c>
      <c r="E168" s="3">
        <f>IF($C168=1,CommissionDD!$A$30,IF($C168=2,CommissionDD!$A$31,CommissionDD!$A$32))</f>
        <v>1500</v>
      </c>
      <c r="F168" s="3" t="str">
        <f t="shared" si="17"/>
        <v/>
      </c>
      <c r="G168" s="38" t="str">
        <f>IF($A168="","",(VLOOKUP($A168,Cus!$A$2:$AH$1001,23,FALSE)))</f>
        <v/>
      </c>
      <c r="H168" s="3" t="str">
        <f t="shared" si="13"/>
        <v/>
      </c>
      <c r="I168" s="56" t="str">
        <f t="shared" si="14"/>
        <v/>
      </c>
      <c r="J168" s="3" t="str">
        <f t="shared" si="15"/>
        <v/>
      </c>
      <c r="K168" s="7" t="str">
        <f t="shared" si="16"/>
        <v/>
      </c>
    </row>
    <row r="169" spans="1:12">
      <c r="A169" s="1" t="str">
        <f>IF(Cus!$B169&lt;&gt;"",Cus!$A169,"")</f>
        <v/>
      </c>
      <c r="C169" s="16">
        <v>1</v>
      </c>
      <c r="D169" s="3" t="str">
        <f t="shared" si="12"/>
        <v/>
      </c>
      <c r="E169" s="3">
        <f>IF($C169=1,CommissionDD!$A$30,IF($C169=2,CommissionDD!$A$31,CommissionDD!$A$32))</f>
        <v>1500</v>
      </c>
      <c r="F169" s="3" t="str">
        <f t="shared" si="17"/>
        <v/>
      </c>
      <c r="G169" s="38" t="str">
        <f>IF($A169="","",(VLOOKUP($A169,Cus!$A$2:$AH$1001,23,FALSE)))</f>
        <v/>
      </c>
      <c r="H169" s="3" t="str">
        <f t="shared" si="13"/>
        <v/>
      </c>
      <c r="I169" s="56" t="str">
        <f t="shared" si="14"/>
        <v/>
      </c>
      <c r="J169" s="3" t="str">
        <f t="shared" si="15"/>
        <v/>
      </c>
      <c r="K169" s="7" t="str">
        <f t="shared" si="16"/>
        <v/>
      </c>
    </row>
    <row r="170" spans="1:12">
      <c r="A170" s="1" t="str">
        <f>IF(Cus!$B170&lt;&gt;"",Cus!$A170,"")</f>
        <v/>
      </c>
      <c r="C170" s="16">
        <v>1</v>
      </c>
      <c r="D170" s="3" t="str">
        <f t="shared" si="12"/>
        <v/>
      </c>
      <c r="E170" s="3">
        <f>IF($C170=1,CommissionDD!$A$30,IF($C170=2,CommissionDD!$A$31,CommissionDD!$A$32))</f>
        <v>1500</v>
      </c>
      <c r="F170" s="3" t="str">
        <f t="shared" si="17"/>
        <v/>
      </c>
      <c r="G170" s="38" t="str">
        <f>IF($A170="","",(VLOOKUP($A170,Cus!$A$2:$AH$1001,23,FALSE)))</f>
        <v/>
      </c>
      <c r="H170" s="3" t="str">
        <f t="shared" si="13"/>
        <v/>
      </c>
      <c r="I170" s="56" t="str">
        <f t="shared" si="14"/>
        <v/>
      </c>
      <c r="J170" s="3" t="str">
        <f t="shared" si="15"/>
        <v/>
      </c>
      <c r="K170" s="7" t="str">
        <f t="shared" si="16"/>
        <v/>
      </c>
    </row>
    <row r="171" spans="1:12">
      <c r="A171" s="1" t="str">
        <f>IF(Cus!$B171&lt;&gt;"",Cus!$A171,"")</f>
        <v/>
      </c>
      <c r="C171" s="16">
        <v>1</v>
      </c>
      <c r="D171" s="3" t="str">
        <f t="shared" si="12"/>
        <v/>
      </c>
      <c r="E171" s="3">
        <f>IF($C171=1,CommissionDD!$A$30,IF($C171=2,CommissionDD!$A$31,CommissionDD!$A$32))</f>
        <v>1500</v>
      </c>
      <c r="F171" s="3" t="str">
        <f t="shared" si="17"/>
        <v/>
      </c>
      <c r="G171" s="38" t="str">
        <f>IF($A171="","",(VLOOKUP($A171,Cus!$A$2:$AH$1001,23,FALSE)))</f>
        <v/>
      </c>
      <c r="H171" s="3" t="str">
        <f t="shared" si="13"/>
        <v/>
      </c>
      <c r="I171" s="56" t="str">
        <f t="shared" si="14"/>
        <v/>
      </c>
      <c r="J171" s="3" t="str">
        <f t="shared" si="15"/>
        <v/>
      </c>
      <c r="K171" s="7" t="str">
        <f t="shared" si="16"/>
        <v/>
      </c>
    </row>
    <row r="172" spans="1:12">
      <c r="A172" s="1" t="str">
        <f>IF(Cus!$B172&lt;&gt;"",Cus!$A172,"")</f>
        <v/>
      </c>
      <c r="C172" s="16">
        <v>1</v>
      </c>
      <c r="D172" s="3" t="str">
        <f t="shared" si="12"/>
        <v/>
      </c>
      <c r="E172" s="3">
        <f>IF($C172=1,CommissionDD!$A$30,IF($C172=2,CommissionDD!$A$31,CommissionDD!$A$32))</f>
        <v>1500</v>
      </c>
      <c r="F172" s="3" t="str">
        <f t="shared" si="17"/>
        <v/>
      </c>
      <c r="G172" s="38" t="str">
        <f>IF($A172="","",(VLOOKUP($A172,Cus!$A$2:$AH$1001,23,FALSE)))</f>
        <v/>
      </c>
      <c r="H172" s="3" t="str">
        <f t="shared" si="13"/>
        <v/>
      </c>
      <c r="I172" s="56" t="str">
        <f t="shared" si="14"/>
        <v/>
      </c>
      <c r="J172" s="3" t="str">
        <f t="shared" si="15"/>
        <v/>
      </c>
      <c r="K172" s="7" t="str">
        <f t="shared" si="16"/>
        <v/>
      </c>
    </row>
    <row r="173" spans="1:12">
      <c r="A173" s="1" t="str">
        <f>IF(Cus!$B173&lt;&gt;"",Cus!$A173,"")</f>
        <v/>
      </c>
      <c r="C173" s="16">
        <v>1</v>
      </c>
      <c r="D173" s="3" t="str">
        <f t="shared" si="12"/>
        <v/>
      </c>
      <c r="E173" s="3">
        <f>IF($C173=1,CommissionDD!$A$30,IF($C173=2,CommissionDD!$A$31,CommissionDD!$A$32))</f>
        <v>1500</v>
      </c>
      <c r="F173" s="3" t="str">
        <f t="shared" si="17"/>
        <v/>
      </c>
      <c r="G173" s="38" t="str">
        <f>IF($A173="","",(VLOOKUP($A173,Cus!$A$2:$AH$1001,23,FALSE)))</f>
        <v/>
      </c>
      <c r="H173" s="3" t="str">
        <f t="shared" si="13"/>
        <v/>
      </c>
      <c r="I173" s="56" t="str">
        <f t="shared" si="14"/>
        <v/>
      </c>
      <c r="J173" s="3" t="str">
        <f t="shared" si="15"/>
        <v/>
      </c>
      <c r="K173" s="7" t="str">
        <f t="shared" si="16"/>
        <v/>
      </c>
    </row>
    <row r="174" spans="1:12">
      <c r="A174" s="1" t="str">
        <f>IF(Cus!$B174&lt;&gt;"",Cus!$A174,"")</f>
        <v/>
      </c>
      <c r="C174" s="16">
        <v>1</v>
      </c>
      <c r="D174" s="3" t="str">
        <f t="shared" si="12"/>
        <v/>
      </c>
      <c r="E174" s="3">
        <f>IF($C174=1,CommissionDD!$A$30,IF($C174=2,CommissionDD!$A$31,CommissionDD!$A$32))</f>
        <v>1500</v>
      </c>
      <c r="F174" s="3" t="str">
        <f t="shared" si="17"/>
        <v/>
      </c>
      <c r="G174" s="38" t="str">
        <f>IF($A174="","",(VLOOKUP($A174,Cus!$A$2:$AH$1001,23,FALSE)))</f>
        <v/>
      </c>
      <c r="H174" s="3" t="str">
        <f t="shared" si="13"/>
        <v/>
      </c>
      <c r="I174" s="56" t="str">
        <f t="shared" si="14"/>
        <v/>
      </c>
      <c r="J174" s="3" t="str">
        <f t="shared" si="15"/>
        <v/>
      </c>
      <c r="K174" s="7" t="str">
        <f t="shared" si="16"/>
        <v/>
      </c>
    </row>
    <row r="175" spans="1:12">
      <c r="A175" s="1" t="str">
        <f>IF(Cus!$B175&lt;&gt;"",Cus!$A175,"")</f>
        <v>K0000174</v>
      </c>
      <c r="B175" s="58">
        <v>1531953</v>
      </c>
      <c r="C175" s="16">
        <v>2</v>
      </c>
      <c r="D175" s="3">
        <f t="shared" si="12"/>
        <v>1500</v>
      </c>
      <c r="E175" s="3">
        <f>IF($C175=1,CommissionDD!$A$30,IF($C175=2,CommissionDD!$A$31,CommissionDD!$A$32))</f>
        <v>750</v>
      </c>
      <c r="F175" s="3">
        <f t="shared" si="17"/>
        <v>750</v>
      </c>
      <c r="G175" s="38">
        <f>IF($A175="","",(VLOOKUP($A175,Cus!$A$2:$AH$1001,23,FALSE)))</f>
        <v>41698</v>
      </c>
      <c r="H175" s="3">
        <f t="shared" si="13"/>
        <v>395</v>
      </c>
      <c r="I175" s="56">
        <f t="shared" si="14"/>
        <v>60</v>
      </c>
      <c r="J175" s="3">
        <f t="shared" si="15"/>
        <v>23700</v>
      </c>
      <c r="K175" s="7">
        <f t="shared" si="16"/>
        <v>41757</v>
      </c>
      <c r="L175" s="58">
        <v>887534317</v>
      </c>
    </row>
    <row r="176" spans="1:12">
      <c r="A176" s="1" t="str">
        <f>IF(Cus!$B176&lt;&gt;"",Cus!$A176,"")</f>
        <v>K0000175</v>
      </c>
      <c r="B176" s="58">
        <v>1531953</v>
      </c>
      <c r="C176" s="16">
        <v>2</v>
      </c>
      <c r="D176" s="3">
        <f t="shared" si="12"/>
        <v>1500</v>
      </c>
      <c r="E176" s="3">
        <f>IF($C176=1,CommissionDD!$A$30,IF($C176=2,CommissionDD!$A$31,CommissionDD!$A$32))</f>
        <v>750</v>
      </c>
      <c r="F176" s="3">
        <f t="shared" si="17"/>
        <v>750</v>
      </c>
      <c r="G176" s="38">
        <f>IF($A176="","",(VLOOKUP($A176,Cus!$A$2:$AH$1001,23,FALSE)))</f>
        <v>41670</v>
      </c>
      <c r="H176" s="3">
        <f t="shared" si="13"/>
        <v>395</v>
      </c>
      <c r="I176" s="56">
        <f t="shared" si="14"/>
        <v>60</v>
      </c>
      <c r="J176" s="3">
        <f t="shared" si="15"/>
        <v>23700</v>
      </c>
      <c r="K176" s="7">
        <f t="shared" si="16"/>
        <v>41729</v>
      </c>
      <c r="L176" s="58">
        <v>87532972</v>
      </c>
    </row>
    <row r="177" spans="1:11">
      <c r="A177" s="1" t="str">
        <f>IF(Cus!$B177&lt;&gt;"",Cus!$A177,"")</f>
        <v/>
      </c>
      <c r="C177" s="16">
        <v>1</v>
      </c>
      <c r="D177" s="3" t="str">
        <f t="shared" si="12"/>
        <v/>
      </c>
      <c r="E177" s="3">
        <f>IF($C177=1,CommissionDD!$A$30,IF($C177=2,CommissionDD!$A$31,CommissionDD!$A$32))</f>
        <v>1500</v>
      </c>
      <c r="F177" s="3" t="str">
        <f t="shared" si="17"/>
        <v/>
      </c>
      <c r="G177" s="38" t="str">
        <f>IF($A177="","",(VLOOKUP($A177,Cus!$A$2:$AH$1001,23,FALSE)))</f>
        <v/>
      </c>
      <c r="H177" s="3" t="str">
        <f t="shared" si="13"/>
        <v/>
      </c>
      <c r="I177" s="56" t="str">
        <f t="shared" si="14"/>
        <v/>
      </c>
      <c r="J177" s="3" t="str">
        <f t="shared" si="15"/>
        <v/>
      </c>
      <c r="K177" s="7" t="str">
        <f t="shared" si="16"/>
        <v/>
      </c>
    </row>
    <row r="178" spans="1:11">
      <c r="A178" s="1" t="str">
        <f>IF(Cus!$B178&lt;&gt;"",Cus!$A178,"")</f>
        <v/>
      </c>
      <c r="C178" s="16">
        <v>1</v>
      </c>
      <c r="D178" s="3" t="str">
        <f t="shared" si="12"/>
        <v/>
      </c>
      <c r="E178" s="3">
        <f>IF($C178=1,CommissionDD!$A$30,IF($C178=2,CommissionDD!$A$31,CommissionDD!$A$32))</f>
        <v>1500</v>
      </c>
      <c r="F178" s="3" t="str">
        <f t="shared" si="17"/>
        <v/>
      </c>
      <c r="G178" s="38" t="str">
        <f>IF($A178="","",(VLOOKUP($A178,Cus!$A$2:$AH$1001,23,FALSE)))</f>
        <v/>
      </c>
      <c r="H178" s="3" t="str">
        <f t="shared" si="13"/>
        <v/>
      </c>
      <c r="I178" s="56" t="str">
        <f t="shared" si="14"/>
        <v/>
      </c>
      <c r="J178" s="3" t="str">
        <f t="shared" si="15"/>
        <v/>
      </c>
      <c r="K178" s="7" t="str">
        <f t="shared" si="16"/>
        <v/>
      </c>
    </row>
    <row r="179" spans="1:11">
      <c r="A179" s="1" t="str">
        <f>IF(Cus!$B179&lt;&gt;"",Cus!$A179,"")</f>
        <v/>
      </c>
      <c r="C179" s="16">
        <v>1</v>
      </c>
      <c r="D179" s="3" t="str">
        <f t="shared" si="12"/>
        <v/>
      </c>
      <c r="E179" s="3">
        <f>IF($C179=1,CommissionDD!$A$30,IF($C179=2,CommissionDD!$A$31,CommissionDD!$A$32))</f>
        <v>1500</v>
      </c>
      <c r="F179" s="3" t="str">
        <f t="shared" si="17"/>
        <v/>
      </c>
      <c r="G179" s="38" t="str">
        <f>IF($A179="","",(VLOOKUP($A179,Cus!$A$2:$AH$1001,23,FALSE)))</f>
        <v/>
      </c>
      <c r="H179" s="3" t="str">
        <f t="shared" si="13"/>
        <v/>
      </c>
      <c r="I179" s="56" t="str">
        <f t="shared" si="14"/>
        <v/>
      </c>
      <c r="J179" s="3" t="str">
        <f t="shared" si="15"/>
        <v/>
      </c>
      <c r="K179" s="7" t="str">
        <f t="shared" si="16"/>
        <v/>
      </c>
    </row>
    <row r="180" spans="1:11">
      <c r="A180" s="1" t="str">
        <f>IF(Cus!$B180&lt;&gt;"",Cus!$A180,"")</f>
        <v/>
      </c>
      <c r="C180" s="16">
        <v>1</v>
      </c>
      <c r="D180" s="3" t="str">
        <f t="shared" si="12"/>
        <v/>
      </c>
      <c r="E180" s="3">
        <f>IF($C180=1,CommissionDD!$A$30,IF($C180=2,CommissionDD!$A$31,CommissionDD!$A$32))</f>
        <v>1500</v>
      </c>
      <c r="F180" s="3" t="str">
        <f t="shared" si="17"/>
        <v/>
      </c>
      <c r="G180" s="38" t="str">
        <f>IF($A180="","",(VLOOKUP($A180,Cus!$A$2:$AH$1001,23,FALSE)))</f>
        <v/>
      </c>
      <c r="H180" s="3" t="str">
        <f t="shared" si="13"/>
        <v/>
      </c>
      <c r="I180" s="56" t="str">
        <f t="shared" si="14"/>
        <v/>
      </c>
      <c r="J180" s="3" t="str">
        <f t="shared" si="15"/>
        <v/>
      </c>
      <c r="K180" s="7" t="str">
        <f t="shared" si="16"/>
        <v/>
      </c>
    </row>
    <row r="181" spans="1:11">
      <c r="A181" s="1" t="str">
        <f>IF(Cus!$B181&lt;&gt;"",Cus!$A181,"")</f>
        <v/>
      </c>
      <c r="C181" s="16">
        <v>1</v>
      </c>
      <c r="D181" s="3" t="str">
        <f t="shared" si="12"/>
        <v/>
      </c>
      <c r="E181" s="3">
        <f>IF($C181=1,CommissionDD!$A$30,IF($C181=2,CommissionDD!$A$31,CommissionDD!$A$32))</f>
        <v>1500</v>
      </c>
      <c r="F181" s="3" t="str">
        <f t="shared" si="17"/>
        <v/>
      </c>
      <c r="G181" s="38" t="str">
        <f>IF($A181="","",(VLOOKUP($A181,Cus!$A$2:$AH$1001,23,FALSE)))</f>
        <v/>
      </c>
      <c r="H181" s="3" t="str">
        <f t="shared" si="13"/>
        <v/>
      </c>
      <c r="I181" s="56" t="str">
        <f t="shared" si="14"/>
        <v/>
      </c>
      <c r="J181" s="3" t="str">
        <f t="shared" si="15"/>
        <v/>
      </c>
      <c r="K181" s="7" t="str">
        <f t="shared" si="16"/>
        <v/>
      </c>
    </row>
    <row r="182" spans="1:11">
      <c r="A182" s="1" t="str">
        <f>IF(Cus!$B182&lt;&gt;"",Cus!$A182,"")</f>
        <v/>
      </c>
      <c r="C182" s="16">
        <v>1</v>
      </c>
      <c r="D182" s="3" t="str">
        <f t="shared" si="12"/>
        <v/>
      </c>
      <c r="E182" s="3">
        <f>IF($C182=1,CommissionDD!$A$30,IF($C182=2,CommissionDD!$A$31,CommissionDD!$A$32))</f>
        <v>1500</v>
      </c>
      <c r="F182" s="3" t="str">
        <f t="shared" si="17"/>
        <v/>
      </c>
      <c r="G182" s="38" t="str">
        <f>IF($A182="","",(VLOOKUP($A182,Cus!$A$2:$AH$1001,23,FALSE)))</f>
        <v/>
      </c>
      <c r="H182" s="3" t="str">
        <f t="shared" si="13"/>
        <v/>
      </c>
      <c r="I182" s="56" t="str">
        <f t="shared" si="14"/>
        <v/>
      </c>
      <c r="J182" s="3" t="str">
        <f t="shared" si="15"/>
        <v/>
      </c>
      <c r="K182" s="7" t="str">
        <f t="shared" si="16"/>
        <v/>
      </c>
    </row>
    <row r="183" spans="1:11">
      <c r="A183" s="1" t="str">
        <f>IF(Cus!$B183&lt;&gt;"",Cus!$A183,"")</f>
        <v/>
      </c>
      <c r="C183" s="16">
        <v>1</v>
      </c>
      <c r="D183" s="3" t="str">
        <f t="shared" si="12"/>
        <v/>
      </c>
      <c r="E183" s="3">
        <f>IF($C183=1,CommissionDD!$A$30,IF($C183=2,CommissionDD!$A$31,CommissionDD!$A$32))</f>
        <v>1500</v>
      </c>
      <c r="F183" s="3" t="str">
        <f t="shared" si="17"/>
        <v/>
      </c>
      <c r="G183" s="38" t="str">
        <f>IF($A183="","",(VLOOKUP($A183,Cus!$A$2:$AH$1001,23,FALSE)))</f>
        <v/>
      </c>
      <c r="H183" s="3" t="str">
        <f t="shared" si="13"/>
        <v/>
      </c>
      <c r="I183" s="56" t="str">
        <f t="shared" si="14"/>
        <v/>
      </c>
      <c r="J183" s="3" t="str">
        <f t="shared" si="15"/>
        <v/>
      </c>
      <c r="K183" s="7" t="str">
        <f t="shared" si="16"/>
        <v/>
      </c>
    </row>
    <row r="184" spans="1:11">
      <c r="A184" s="1" t="str">
        <f>IF(Cus!$B184&lt;&gt;"",Cus!$A184,"")</f>
        <v>K0000183</v>
      </c>
      <c r="B184" s="58">
        <v>1531953</v>
      </c>
      <c r="C184" s="16">
        <v>2</v>
      </c>
      <c r="D184" s="3">
        <f t="shared" si="12"/>
        <v>1500</v>
      </c>
      <c r="E184" s="3">
        <f>IF($C184=1,CommissionDD!$A$30,IF($C184=2,CommissionDD!$A$31,CommissionDD!$A$32))</f>
        <v>750</v>
      </c>
      <c r="F184" s="3">
        <f t="shared" si="17"/>
        <v>750</v>
      </c>
      <c r="G184" s="38">
        <f>IF($A184="","",(VLOOKUP($A184,Cus!$A$2:$AH$1001,23,FALSE)))</f>
        <v>41666</v>
      </c>
      <c r="H184" s="3">
        <f t="shared" si="13"/>
        <v>395</v>
      </c>
      <c r="I184" s="56">
        <f t="shared" si="14"/>
        <v>60</v>
      </c>
      <c r="J184" s="3">
        <f t="shared" si="15"/>
        <v>23700</v>
      </c>
      <c r="K184" s="7">
        <f t="shared" si="16"/>
        <v>41725</v>
      </c>
    </row>
    <row r="185" spans="1:11">
      <c r="A185" s="1" t="str">
        <f>IF(Cus!$B185&lt;&gt;"",Cus!$A185,"")</f>
        <v/>
      </c>
      <c r="C185" s="16">
        <v>1</v>
      </c>
      <c r="D185" s="3" t="str">
        <f t="shared" si="12"/>
        <v/>
      </c>
      <c r="E185" s="3">
        <f>IF($C185=1,CommissionDD!$A$30,IF($C185=2,CommissionDD!$A$31,CommissionDD!$A$32))</f>
        <v>1500</v>
      </c>
      <c r="F185" s="3" t="str">
        <f t="shared" si="17"/>
        <v/>
      </c>
      <c r="G185" s="38" t="str">
        <f>IF($A185="","",(VLOOKUP($A185,Cus!$A$2:$AH$1001,23,FALSE)))</f>
        <v/>
      </c>
      <c r="H185" s="3" t="str">
        <f t="shared" si="13"/>
        <v/>
      </c>
      <c r="I185" s="56" t="str">
        <f t="shared" si="14"/>
        <v/>
      </c>
      <c r="J185" s="3" t="str">
        <f t="shared" si="15"/>
        <v/>
      </c>
      <c r="K185" s="7" t="str">
        <f t="shared" si="16"/>
        <v/>
      </c>
    </row>
    <row r="186" spans="1:11">
      <c r="A186" s="1" t="str">
        <f>IF(Cus!$B186&lt;&gt;"",Cus!$A186,"")</f>
        <v/>
      </c>
      <c r="C186" s="16">
        <v>1</v>
      </c>
      <c r="D186" s="3" t="str">
        <f t="shared" si="12"/>
        <v/>
      </c>
      <c r="E186" s="3">
        <f>IF($C186=1,CommissionDD!$A$30,IF($C186=2,CommissionDD!$A$31,CommissionDD!$A$32))</f>
        <v>1500</v>
      </c>
      <c r="F186" s="3" t="str">
        <f t="shared" si="17"/>
        <v/>
      </c>
      <c r="G186" s="38" t="str">
        <f>IF($A186="","",(VLOOKUP($A186,Cus!$A$2:$AH$1001,23,FALSE)))</f>
        <v/>
      </c>
      <c r="H186" s="3" t="str">
        <f t="shared" si="13"/>
        <v/>
      </c>
      <c r="I186" s="56" t="str">
        <f t="shared" si="14"/>
        <v/>
      </c>
      <c r="J186" s="3" t="str">
        <f t="shared" si="15"/>
        <v/>
      </c>
      <c r="K186" s="7" t="str">
        <f t="shared" si="16"/>
        <v/>
      </c>
    </row>
    <row r="187" spans="1:11">
      <c r="A187" s="1" t="str">
        <f>IF(Cus!$B187&lt;&gt;"",Cus!$A187,"")</f>
        <v/>
      </c>
      <c r="C187" s="16">
        <v>1</v>
      </c>
      <c r="D187" s="3" t="str">
        <f t="shared" si="12"/>
        <v/>
      </c>
      <c r="E187" s="3">
        <f>IF($C187=1,CommissionDD!$A$30,IF($C187=2,CommissionDD!$A$31,CommissionDD!$A$32))</f>
        <v>1500</v>
      </c>
      <c r="F187" s="3" t="str">
        <f t="shared" si="17"/>
        <v/>
      </c>
      <c r="G187" s="38" t="str">
        <f>IF($A187="","",(VLOOKUP($A187,Cus!$A$2:$AH$1001,23,FALSE)))</f>
        <v/>
      </c>
      <c r="H187" s="3" t="str">
        <f t="shared" si="13"/>
        <v/>
      </c>
      <c r="I187" s="56" t="str">
        <f t="shared" si="14"/>
        <v/>
      </c>
      <c r="J187" s="3" t="str">
        <f t="shared" si="15"/>
        <v/>
      </c>
      <c r="K187" s="7" t="str">
        <f t="shared" si="16"/>
        <v/>
      </c>
    </row>
    <row r="188" spans="1:11">
      <c r="A188" s="1" t="str">
        <f>IF(Cus!$B188&lt;&gt;"",Cus!$A188,"")</f>
        <v/>
      </c>
      <c r="C188" s="16">
        <v>1</v>
      </c>
      <c r="D188" s="3" t="str">
        <f t="shared" si="12"/>
        <v/>
      </c>
      <c r="E188" s="3">
        <f>IF($C188=1,CommissionDD!$A$30,IF($C188=2,CommissionDD!$A$31,CommissionDD!$A$32))</f>
        <v>1500</v>
      </c>
      <c r="F188" s="3" t="str">
        <f t="shared" si="17"/>
        <v/>
      </c>
      <c r="G188" s="38" t="str">
        <f>IF($A188="","",(VLOOKUP($A188,Cus!$A$2:$AH$1001,23,FALSE)))</f>
        <v/>
      </c>
      <c r="H188" s="3" t="str">
        <f t="shared" si="13"/>
        <v/>
      </c>
      <c r="I188" s="56" t="str">
        <f t="shared" si="14"/>
        <v/>
      </c>
      <c r="J188" s="3" t="str">
        <f t="shared" si="15"/>
        <v/>
      </c>
      <c r="K188" s="7" t="str">
        <f t="shared" si="16"/>
        <v/>
      </c>
    </row>
    <row r="189" spans="1:11">
      <c r="A189" s="1" t="str">
        <f>IF(Cus!$B189&lt;&gt;"",Cus!$A189,"")</f>
        <v/>
      </c>
      <c r="C189" s="16">
        <v>1</v>
      </c>
      <c r="D189" s="3" t="str">
        <f t="shared" si="12"/>
        <v/>
      </c>
      <c r="E189" s="3">
        <f>IF($C189=1,CommissionDD!$A$30,IF($C189=2,CommissionDD!$A$31,CommissionDD!$A$32))</f>
        <v>1500</v>
      </c>
      <c r="F189" s="3" t="str">
        <f t="shared" si="17"/>
        <v/>
      </c>
      <c r="G189" s="38" t="str">
        <f>IF($A189="","",(VLOOKUP($A189,Cus!$A$2:$AH$1001,23,FALSE)))</f>
        <v/>
      </c>
      <c r="H189" s="3" t="str">
        <f t="shared" si="13"/>
        <v/>
      </c>
      <c r="I189" s="56" t="str">
        <f t="shared" si="14"/>
        <v/>
      </c>
      <c r="J189" s="3" t="str">
        <f t="shared" si="15"/>
        <v/>
      </c>
      <c r="K189" s="7" t="str">
        <f t="shared" si="16"/>
        <v/>
      </c>
    </row>
    <row r="190" spans="1:11">
      <c r="A190" s="1" t="str">
        <f>IF(Cus!$B190&lt;&gt;"",Cus!$A190,"")</f>
        <v/>
      </c>
      <c r="C190" s="16">
        <v>1</v>
      </c>
      <c r="D190" s="3" t="str">
        <f t="shared" si="12"/>
        <v/>
      </c>
      <c r="E190" s="3">
        <f>IF($C190=1,CommissionDD!$A$30,IF($C190=2,CommissionDD!$A$31,CommissionDD!$A$32))</f>
        <v>1500</v>
      </c>
      <c r="F190" s="3" t="str">
        <f t="shared" si="17"/>
        <v/>
      </c>
      <c r="G190" s="38" t="str">
        <f>IF($A190="","",(VLOOKUP($A190,Cus!$A$2:$AH$1001,23,FALSE)))</f>
        <v/>
      </c>
      <c r="H190" s="3" t="str">
        <f t="shared" si="13"/>
        <v/>
      </c>
      <c r="I190" s="56" t="str">
        <f t="shared" si="14"/>
        <v/>
      </c>
      <c r="J190" s="3" t="str">
        <f t="shared" si="15"/>
        <v/>
      </c>
      <c r="K190" s="7" t="str">
        <f t="shared" si="16"/>
        <v/>
      </c>
    </row>
    <row r="191" spans="1:11">
      <c r="A191" s="1" t="str">
        <f>IF(Cus!$B191&lt;&gt;"",Cus!$A191,"")</f>
        <v/>
      </c>
      <c r="C191" s="16">
        <v>1</v>
      </c>
      <c r="D191" s="3" t="str">
        <f t="shared" si="12"/>
        <v/>
      </c>
      <c r="E191" s="3">
        <f>IF($C191=1,CommissionDD!$A$30,IF($C191=2,CommissionDD!$A$31,CommissionDD!$A$32))</f>
        <v>1500</v>
      </c>
      <c r="F191" s="3" t="str">
        <f t="shared" si="17"/>
        <v/>
      </c>
      <c r="G191" s="38" t="str">
        <f>IF($A191="","",(VLOOKUP($A191,Cus!$A$2:$AH$1001,23,FALSE)))</f>
        <v/>
      </c>
      <c r="H191" s="3" t="str">
        <f t="shared" si="13"/>
        <v/>
      </c>
      <c r="I191" s="56" t="str">
        <f t="shared" si="14"/>
        <v/>
      </c>
      <c r="J191" s="3" t="str">
        <f t="shared" si="15"/>
        <v/>
      </c>
      <c r="K191" s="7" t="str">
        <f t="shared" si="16"/>
        <v/>
      </c>
    </row>
    <row r="192" spans="1:11">
      <c r="A192" s="1" t="str">
        <f>IF(Cus!$B192&lt;&gt;"",Cus!$A192,"")</f>
        <v/>
      </c>
      <c r="C192" s="16">
        <v>1</v>
      </c>
      <c r="D192" s="3" t="str">
        <f t="shared" si="12"/>
        <v/>
      </c>
      <c r="E192" s="3">
        <f>IF($C192=1,CommissionDD!$A$30,IF($C192=2,CommissionDD!$A$31,CommissionDD!$A$32))</f>
        <v>1500</v>
      </c>
      <c r="F192" s="3" t="str">
        <f t="shared" si="17"/>
        <v/>
      </c>
      <c r="G192" s="38" t="str">
        <f>IF($A192="","",(VLOOKUP($A192,Cus!$A$2:$AH$1001,23,FALSE)))</f>
        <v/>
      </c>
      <c r="H192" s="3" t="str">
        <f t="shared" si="13"/>
        <v/>
      </c>
      <c r="I192" s="56" t="str">
        <f t="shared" si="14"/>
        <v/>
      </c>
      <c r="J192" s="3" t="str">
        <f t="shared" si="15"/>
        <v/>
      </c>
      <c r="K192" s="7" t="str">
        <f t="shared" si="16"/>
        <v/>
      </c>
    </row>
    <row r="193" spans="1:11">
      <c r="A193" s="1" t="str">
        <f>IF(Cus!$B193&lt;&gt;"",Cus!$A193,"")</f>
        <v/>
      </c>
      <c r="C193" s="16">
        <v>1</v>
      </c>
      <c r="D193" s="3" t="str">
        <f t="shared" si="12"/>
        <v/>
      </c>
      <c r="E193" s="3">
        <f>IF($C193=1,CommissionDD!$A$30,IF($C193=2,CommissionDD!$A$31,CommissionDD!$A$32))</f>
        <v>1500</v>
      </c>
      <c r="F193" s="3" t="str">
        <f t="shared" si="17"/>
        <v/>
      </c>
      <c r="G193" s="38" t="str">
        <f>IF($A193="","",(VLOOKUP($A193,Cus!$A$2:$AH$1001,23,FALSE)))</f>
        <v/>
      </c>
      <c r="H193" s="3" t="str">
        <f t="shared" si="13"/>
        <v/>
      </c>
      <c r="I193" s="56" t="str">
        <f t="shared" si="14"/>
        <v/>
      </c>
      <c r="J193" s="3" t="str">
        <f t="shared" si="15"/>
        <v/>
      </c>
      <c r="K193" s="7" t="str">
        <f t="shared" si="16"/>
        <v/>
      </c>
    </row>
    <row r="194" spans="1:11">
      <c r="A194" s="1" t="str">
        <f>IF(Cus!$B194&lt;&gt;"",Cus!$A194,"")</f>
        <v/>
      </c>
      <c r="C194" s="16">
        <v>1</v>
      </c>
      <c r="D194" s="3" t="str">
        <f t="shared" ref="D194:D257" si="18">IF($A194="","",1500)</f>
        <v/>
      </c>
      <c r="E194" s="3">
        <f>IF($C194=1,CommissionDD!$A$30,IF($C194=2,CommissionDD!$A$31,CommissionDD!$A$32))</f>
        <v>1500</v>
      </c>
      <c r="F194" s="3" t="str">
        <f t="shared" si="17"/>
        <v/>
      </c>
      <c r="G194" s="38" t="str">
        <f>IF($A194="","",(VLOOKUP($A194,Cus!$A$2:$AH$1001,23,FALSE)))</f>
        <v/>
      </c>
      <c r="H194" s="3" t="str">
        <f t="shared" ref="H194:H257" si="19">IF($A194="","",395)</f>
        <v/>
      </c>
      <c r="I194" s="56" t="str">
        <f t="shared" ref="I194:I257" si="20">IF($A194="","",60)</f>
        <v/>
      </c>
      <c r="J194" s="3" t="str">
        <f t="shared" ref="J194:J257" si="21">IF($A194="","",$H194*$I194)</f>
        <v/>
      </c>
      <c r="K194" s="7" t="str">
        <f t="shared" ref="K194:K257" si="22">IF($G194="","",(DATE(YEAR($G194),MONTH($G194)+$C194,MIN(DAY($G194)))))</f>
        <v/>
      </c>
    </row>
    <row r="195" spans="1:11">
      <c r="A195" s="1" t="str">
        <f>IF(Cus!$B195&lt;&gt;"",Cus!$A195,"")</f>
        <v/>
      </c>
      <c r="C195" s="16">
        <v>1</v>
      </c>
      <c r="D195" s="3" t="str">
        <f t="shared" si="18"/>
        <v/>
      </c>
      <c r="E195" s="3">
        <f>IF($C195=1,CommissionDD!$A$30,IF($C195=2,CommissionDD!$A$31,CommissionDD!$A$32))</f>
        <v>1500</v>
      </c>
      <c r="F195" s="3" t="str">
        <f t="shared" ref="F195:F258" si="23">IF($A195="","",$D195-$E195)</f>
        <v/>
      </c>
      <c r="G195" s="38" t="str">
        <f>IF($A195="","",(VLOOKUP($A195,Cus!$A$2:$AH$1001,23,FALSE)))</f>
        <v/>
      </c>
      <c r="H195" s="3" t="str">
        <f t="shared" si="19"/>
        <v/>
      </c>
      <c r="I195" s="56" t="str">
        <f t="shared" si="20"/>
        <v/>
      </c>
      <c r="J195" s="3" t="str">
        <f t="shared" si="21"/>
        <v/>
      </c>
      <c r="K195" s="7" t="str">
        <f t="shared" si="22"/>
        <v/>
      </c>
    </row>
    <row r="196" spans="1:11">
      <c r="A196" s="1" t="str">
        <f>IF(Cus!$B196&lt;&gt;"",Cus!$A196,"")</f>
        <v/>
      </c>
      <c r="C196" s="16">
        <v>1</v>
      </c>
      <c r="D196" s="3" t="str">
        <f t="shared" si="18"/>
        <v/>
      </c>
      <c r="E196" s="3">
        <f>IF($C196=1,CommissionDD!$A$30,IF($C196=2,CommissionDD!$A$31,CommissionDD!$A$32))</f>
        <v>1500</v>
      </c>
      <c r="F196" s="3" t="str">
        <f t="shared" si="23"/>
        <v/>
      </c>
      <c r="G196" s="38" t="str">
        <f>IF($A196="","",(VLOOKUP($A196,Cus!$A$2:$AH$1001,23,FALSE)))</f>
        <v/>
      </c>
      <c r="H196" s="3" t="str">
        <f t="shared" si="19"/>
        <v/>
      </c>
      <c r="I196" s="56" t="str">
        <f t="shared" si="20"/>
        <v/>
      </c>
      <c r="J196" s="3" t="str">
        <f t="shared" si="21"/>
        <v/>
      </c>
      <c r="K196" s="7" t="str">
        <f t="shared" si="22"/>
        <v/>
      </c>
    </row>
    <row r="197" spans="1:11">
      <c r="A197" s="1" t="str">
        <f>IF(Cus!$B197&lt;&gt;"",Cus!$A197,"")</f>
        <v/>
      </c>
      <c r="C197" s="16">
        <v>1</v>
      </c>
      <c r="D197" s="3" t="str">
        <f t="shared" si="18"/>
        <v/>
      </c>
      <c r="E197" s="3">
        <f>IF($C197=1,CommissionDD!$A$30,IF($C197=2,CommissionDD!$A$31,CommissionDD!$A$32))</f>
        <v>1500</v>
      </c>
      <c r="F197" s="3" t="str">
        <f t="shared" si="23"/>
        <v/>
      </c>
      <c r="G197" s="38" t="str">
        <f>IF($A197="","",(VLOOKUP($A197,Cus!$A$2:$AH$1001,23,FALSE)))</f>
        <v/>
      </c>
      <c r="H197" s="3" t="str">
        <f t="shared" si="19"/>
        <v/>
      </c>
      <c r="I197" s="56" t="str">
        <f t="shared" si="20"/>
        <v/>
      </c>
      <c r="J197" s="3" t="str">
        <f t="shared" si="21"/>
        <v/>
      </c>
      <c r="K197" s="7" t="str">
        <f t="shared" si="22"/>
        <v/>
      </c>
    </row>
    <row r="198" spans="1:11">
      <c r="A198" s="1" t="str">
        <f>IF(Cus!$B198&lt;&gt;"",Cus!$A198,"")</f>
        <v/>
      </c>
      <c r="C198" s="16">
        <v>1</v>
      </c>
      <c r="D198" s="3" t="str">
        <f t="shared" si="18"/>
        <v/>
      </c>
      <c r="E198" s="3">
        <f>IF($C198=1,CommissionDD!$A$30,IF($C198=2,CommissionDD!$A$31,CommissionDD!$A$32))</f>
        <v>1500</v>
      </c>
      <c r="F198" s="3" t="str">
        <f t="shared" si="23"/>
        <v/>
      </c>
      <c r="G198" s="38" t="str">
        <f>IF($A198="","",(VLOOKUP($A198,Cus!$A$2:$AH$1001,23,FALSE)))</f>
        <v/>
      </c>
      <c r="H198" s="3" t="str">
        <f t="shared" si="19"/>
        <v/>
      </c>
      <c r="I198" s="56" t="str">
        <f t="shared" si="20"/>
        <v/>
      </c>
      <c r="J198" s="3" t="str">
        <f t="shared" si="21"/>
        <v/>
      </c>
      <c r="K198" s="7" t="str">
        <f t="shared" si="22"/>
        <v/>
      </c>
    </row>
    <row r="199" spans="1:11">
      <c r="A199" s="1" t="str">
        <f>IF(Cus!$B199&lt;&gt;"",Cus!$A199,"")</f>
        <v/>
      </c>
      <c r="C199" s="16">
        <v>1</v>
      </c>
      <c r="D199" s="3" t="str">
        <f t="shared" si="18"/>
        <v/>
      </c>
      <c r="E199" s="3">
        <f>IF($C199=1,CommissionDD!$A$30,IF($C199=2,CommissionDD!$A$31,CommissionDD!$A$32))</f>
        <v>1500</v>
      </c>
      <c r="F199" s="3" t="str">
        <f t="shared" si="23"/>
        <v/>
      </c>
      <c r="G199" s="38" t="str">
        <f>IF($A199="","",(VLOOKUP($A199,Cus!$A$2:$AH$1001,23,FALSE)))</f>
        <v/>
      </c>
      <c r="H199" s="3" t="str">
        <f t="shared" si="19"/>
        <v/>
      </c>
      <c r="I199" s="56" t="str">
        <f t="shared" si="20"/>
        <v/>
      </c>
      <c r="J199" s="3" t="str">
        <f t="shared" si="21"/>
        <v/>
      </c>
      <c r="K199" s="7" t="str">
        <f t="shared" si="22"/>
        <v/>
      </c>
    </row>
    <row r="200" spans="1:11">
      <c r="A200" s="1" t="str">
        <f>IF(Cus!$B200&lt;&gt;"",Cus!$A200,"")</f>
        <v/>
      </c>
      <c r="C200" s="16">
        <v>1</v>
      </c>
      <c r="D200" s="3" t="str">
        <f t="shared" si="18"/>
        <v/>
      </c>
      <c r="E200" s="3">
        <f>IF($C200=1,CommissionDD!$A$30,IF($C200=2,CommissionDD!$A$31,CommissionDD!$A$32))</f>
        <v>1500</v>
      </c>
      <c r="F200" s="3" t="str">
        <f t="shared" si="23"/>
        <v/>
      </c>
      <c r="G200" s="38" t="str">
        <f>IF($A200="","",(VLOOKUP($A200,Cus!$A$2:$AH$1001,23,FALSE)))</f>
        <v/>
      </c>
      <c r="H200" s="3" t="str">
        <f t="shared" si="19"/>
        <v/>
      </c>
      <c r="I200" s="56" t="str">
        <f t="shared" si="20"/>
        <v/>
      </c>
      <c r="J200" s="3" t="str">
        <f t="shared" si="21"/>
        <v/>
      </c>
      <c r="K200" s="7" t="str">
        <f t="shared" si="22"/>
        <v/>
      </c>
    </row>
    <row r="201" spans="1:11">
      <c r="A201" s="1" t="str">
        <f>IF(Cus!$B201&lt;&gt;"",Cus!$A201,"")</f>
        <v/>
      </c>
      <c r="C201" s="16">
        <v>1</v>
      </c>
      <c r="D201" s="3" t="str">
        <f t="shared" si="18"/>
        <v/>
      </c>
      <c r="E201" s="3">
        <f>IF($C201=1,CommissionDD!$A$30,IF($C201=2,CommissionDD!$A$31,CommissionDD!$A$32))</f>
        <v>1500</v>
      </c>
      <c r="F201" s="3" t="str">
        <f t="shared" si="23"/>
        <v/>
      </c>
      <c r="G201" s="38" t="str">
        <f>IF($A201="","",(VLOOKUP($A201,Cus!$A$2:$AH$1001,23,FALSE)))</f>
        <v/>
      </c>
      <c r="H201" s="3" t="str">
        <f t="shared" si="19"/>
        <v/>
      </c>
      <c r="I201" s="56" t="str">
        <f t="shared" si="20"/>
        <v/>
      </c>
      <c r="J201" s="3" t="str">
        <f t="shared" si="21"/>
        <v/>
      </c>
      <c r="K201" s="7" t="str">
        <f t="shared" si="22"/>
        <v/>
      </c>
    </row>
    <row r="202" spans="1:11">
      <c r="A202" s="1" t="str">
        <f>IF(Cus!$B202&lt;&gt;"",Cus!$A202,"")</f>
        <v/>
      </c>
      <c r="C202" s="16">
        <v>1</v>
      </c>
      <c r="D202" s="3" t="str">
        <f t="shared" si="18"/>
        <v/>
      </c>
      <c r="E202" s="3">
        <f>IF($C202=1,CommissionDD!$A$30,IF($C202=2,CommissionDD!$A$31,CommissionDD!$A$32))</f>
        <v>1500</v>
      </c>
      <c r="F202" s="3" t="str">
        <f t="shared" si="23"/>
        <v/>
      </c>
      <c r="G202" s="38" t="str">
        <f>IF($A202="","",(VLOOKUP($A202,Cus!$A$2:$AH$1001,23,FALSE)))</f>
        <v/>
      </c>
      <c r="H202" s="3" t="str">
        <f t="shared" si="19"/>
        <v/>
      </c>
      <c r="I202" s="56" t="str">
        <f t="shared" si="20"/>
        <v/>
      </c>
      <c r="J202" s="3" t="str">
        <f t="shared" si="21"/>
        <v/>
      </c>
      <c r="K202" s="7" t="str">
        <f t="shared" si="22"/>
        <v/>
      </c>
    </row>
    <row r="203" spans="1:11">
      <c r="A203" s="1" t="str">
        <f>IF(Cus!$B203&lt;&gt;"",Cus!$A203,"")</f>
        <v/>
      </c>
      <c r="C203" s="16">
        <v>1</v>
      </c>
      <c r="D203" s="3" t="str">
        <f t="shared" si="18"/>
        <v/>
      </c>
      <c r="E203" s="3">
        <f>IF($C203=1,CommissionDD!$A$30,IF($C203=2,CommissionDD!$A$31,CommissionDD!$A$32))</f>
        <v>1500</v>
      </c>
      <c r="F203" s="3" t="str">
        <f t="shared" si="23"/>
        <v/>
      </c>
      <c r="G203" s="38" t="str">
        <f>IF($A203="","",(VLOOKUP($A203,Cus!$A$2:$AH$1001,23,FALSE)))</f>
        <v/>
      </c>
      <c r="H203" s="3" t="str">
        <f t="shared" si="19"/>
        <v/>
      </c>
      <c r="I203" s="56" t="str">
        <f t="shared" si="20"/>
        <v/>
      </c>
      <c r="J203" s="3" t="str">
        <f t="shared" si="21"/>
        <v/>
      </c>
      <c r="K203" s="7" t="str">
        <f t="shared" si="22"/>
        <v/>
      </c>
    </row>
    <row r="204" spans="1:11">
      <c r="A204" s="1" t="str">
        <f>IF(Cus!$B204&lt;&gt;"",Cus!$A204,"")</f>
        <v/>
      </c>
      <c r="C204" s="16">
        <v>1</v>
      </c>
      <c r="D204" s="3" t="str">
        <f t="shared" si="18"/>
        <v/>
      </c>
      <c r="E204" s="3">
        <f>IF($C204=1,CommissionDD!$A$30,IF($C204=2,CommissionDD!$A$31,CommissionDD!$A$32))</f>
        <v>1500</v>
      </c>
      <c r="F204" s="3" t="str">
        <f t="shared" si="23"/>
        <v/>
      </c>
      <c r="G204" s="38" t="str">
        <f>IF($A204="","",(VLOOKUP($A204,Cus!$A$2:$AH$1001,23,FALSE)))</f>
        <v/>
      </c>
      <c r="H204" s="3" t="str">
        <f t="shared" si="19"/>
        <v/>
      </c>
      <c r="I204" s="56" t="str">
        <f t="shared" si="20"/>
        <v/>
      </c>
      <c r="J204" s="3" t="str">
        <f t="shared" si="21"/>
        <v/>
      </c>
      <c r="K204" s="7" t="str">
        <f t="shared" si="22"/>
        <v/>
      </c>
    </row>
    <row r="205" spans="1:11">
      <c r="A205" s="1" t="str">
        <f>IF(Cus!$B205&lt;&gt;"",Cus!$A205,"")</f>
        <v/>
      </c>
      <c r="C205" s="16">
        <v>1</v>
      </c>
      <c r="D205" s="3" t="str">
        <f t="shared" si="18"/>
        <v/>
      </c>
      <c r="E205" s="3">
        <f>IF($C205=1,CommissionDD!$A$30,IF($C205=2,CommissionDD!$A$31,CommissionDD!$A$32))</f>
        <v>1500</v>
      </c>
      <c r="F205" s="3" t="str">
        <f t="shared" si="23"/>
        <v/>
      </c>
      <c r="G205" s="38" t="str">
        <f>IF($A205="","",(VLOOKUP($A205,Cus!$A$2:$AH$1001,23,FALSE)))</f>
        <v/>
      </c>
      <c r="H205" s="3" t="str">
        <f t="shared" si="19"/>
        <v/>
      </c>
      <c r="I205" s="56" t="str">
        <f t="shared" si="20"/>
        <v/>
      </c>
      <c r="J205" s="3" t="str">
        <f t="shared" si="21"/>
        <v/>
      </c>
      <c r="K205" s="7" t="str">
        <f t="shared" si="22"/>
        <v/>
      </c>
    </row>
    <row r="206" spans="1:11">
      <c r="A206" s="1" t="str">
        <f>IF(Cus!$B206&lt;&gt;"",Cus!$A206,"")</f>
        <v/>
      </c>
      <c r="C206" s="16">
        <v>1</v>
      </c>
      <c r="D206" s="3" t="str">
        <f t="shared" si="18"/>
        <v/>
      </c>
      <c r="E206" s="3">
        <f>IF($C206=1,CommissionDD!$A$30,IF($C206=2,CommissionDD!$A$31,CommissionDD!$A$32))</f>
        <v>1500</v>
      </c>
      <c r="F206" s="3" t="str">
        <f t="shared" si="23"/>
        <v/>
      </c>
      <c r="G206" s="38" t="str">
        <f>IF($A206="","",(VLOOKUP($A206,Cus!$A$2:$AH$1001,23,FALSE)))</f>
        <v/>
      </c>
      <c r="H206" s="3" t="str">
        <f t="shared" si="19"/>
        <v/>
      </c>
      <c r="I206" s="56" t="str">
        <f t="shared" si="20"/>
        <v/>
      </c>
      <c r="J206" s="3" t="str">
        <f t="shared" si="21"/>
        <v/>
      </c>
      <c r="K206" s="7" t="str">
        <f t="shared" si="22"/>
        <v/>
      </c>
    </row>
    <row r="207" spans="1:11">
      <c r="A207" s="1" t="str">
        <f>IF(Cus!$B207&lt;&gt;"",Cus!$A207,"")</f>
        <v/>
      </c>
      <c r="C207" s="16">
        <v>1</v>
      </c>
      <c r="D207" s="3" t="str">
        <f t="shared" si="18"/>
        <v/>
      </c>
      <c r="E207" s="3">
        <f>IF($C207=1,CommissionDD!$A$30,IF($C207=2,CommissionDD!$A$31,CommissionDD!$A$32))</f>
        <v>1500</v>
      </c>
      <c r="F207" s="3" t="str">
        <f t="shared" si="23"/>
        <v/>
      </c>
      <c r="G207" s="38" t="str">
        <f>IF($A207="","",(VLOOKUP($A207,Cus!$A$2:$AH$1001,23,FALSE)))</f>
        <v/>
      </c>
      <c r="H207" s="3" t="str">
        <f t="shared" si="19"/>
        <v/>
      </c>
      <c r="I207" s="56" t="str">
        <f t="shared" si="20"/>
        <v/>
      </c>
      <c r="J207" s="3" t="str">
        <f t="shared" si="21"/>
        <v/>
      </c>
      <c r="K207" s="7" t="str">
        <f t="shared" si="22"/>
        <v/>
      </c>
    </row>
    <row r="208" spans="1:11">
      <c r="A208" s="1" t="str">
        <f>IF(Cus!$B208&lt;&gt;"",Cus!$A208,"")</f>
        <v/>
      </c>
      <c r="C208" s="16">
        <v>1</v>
      </c>
      <c r="D208" s="3" t="str">
        <f t="shared" si="18"/>
        <v/>
      </c>
      <c r="E208" s="3">
        <f>IF($C208=1,CommissionDD!$A$30,IF($C208=2,CommissionDD!$A$31,CommissionDD!$A$32))</f>
        <v>1500</v>
      </c>
      <c r="F208" s="3" t="str">
        <f t="shared" si="23"/>
        <v/>
      </c>
      <c r="G208" s="38" t="str">
        <f>IF($A208="","",(VLOOKUP($A208,Cus!$A$2:$AH$1001,23,FALSE)))</f>
        <v/>
      </c>
      <c r="H208" s="3" t="str">
        <f t="shared" si="19"/>
        <v/>
      </c>
      <c r="I208" s="56" t="str">
        <f t="shared" si="20"/>
        <v/>
      </c>
      <c r="J208" s="3" t="str">
        <f t="shared" si="21"/>
        <v/>
      </c>
      <c r="K208" s="7" t="str">
        <f t="shared" si="22"/>
        <v/>
      </c>
    </row>
    <row r="209" spans="1:12">
      <c r="A209" s="1" t="str">
        <f>IF(Cus!$B209&lt;&gt;"",Cus!$A209,"")</f>
        <v>K0000208</v>
      </c>
      <c r="B209" s="31">
        <v>1531987</v>
      </c>
      <c r="C209" s="16">
        <v>1</v>
      </c>
      <c r="D209" s="3">
        <f t="shared" si="18"/>
        <v>1500</v>
      </c>
      <c r="E209" s="3">
        <f>IF($C209=1,CommissionDD!$A$30,IF($C209=2,CommissionDD!$A$31,CommissionDD!$A$32))</f>
        <v>1500</v>
      </c>
      <c r="F209" s="3">
        <f t="shared" si="23"/>
        <v>0</v>
      </c>
      <c r="G209" s="38">
        <f>IF($A209="","",(VLOOKUP($A209,Cus!$A$2:$AH$1001,23,FALSE)))</f>
        <v>41670</v>
      </c>
      <c r="H209" s="3">
        <f t="shared" si="19"/>
        <v>395</v>
      </c>
      <c r="I209" s="56">
        <f t="shared" si="20"/>
        <v>60</v>
      </c>
      <c r="J209" s="3">
        <f t="shared" si="21"/>
        <v>23700</v>
      </c>
      <c r="K209" s="7">
        <f t="shared" si="22"/>
        <v>41701</v>
      </c>
      <c r="L209" s="31">
        <v>85820136</v>
      </c>
    </row>
    <row r="210" spans="1:12">
      <c r="A210" s="1" t="str">
        <f>IF(Cus!$B210&lt;&gt;"",Cus!$A210,"")</f>
        <v/>
      </c>
      <c r="C210" s="16">
        <v>1</v>
      </c>
      <c r="D210" s="3" t="str">
        <f t="shared" si="18"/>
        <v/>
      </c>
      <c r="E210" s="3">
        <f>IF($C210=1,CommissionDD!$A$30,IF($C210=2,CommissionDD!$A$31,CommissionDD!$A$32))</f>
        <v>1500</v>
      </c>
      <c r="F210" s="3" t="str">
        <f t="shared" si="23"/>
        <v/>
      </c>
      <c r="G210" s="38" t="str">
        <f>IF($A210="","",(VLOOKUP($A210,Cus!$A$2:$AH$1001,23,FALSE)))</f>
        <v/>
      </c>
      <c r="H210" s="3" t="str">
        <f t="shared" si="19"/>
        <v/>
      </c>
      <c r="I210" s="56" t="str">
        <f t="shared" si="20"/>
        <v/>
      </c>
      <c r="J210" s="3" t="str">
        <f t="shared" si="21"/>
        <v/>
      </c>
      <c r="K210" s="7" t="str">
        <f t="shared" si="22"/>
        <v/>
      </c>
    </row>
    <row r="211" spans="1:12">
      <c r="A211" s="1" t="str">
        <f>IF(Cus!$B211&lt;&gt;"",Cus!$A211,"")</f>
        <v/>
      </c>
      <c r="C211" s="16">
        <v>1</v>
      </c>
      <c r="D211" s="3" t="str">
        <f t="shared" si="18"/>
        <v/>
      </c>
      <c r="E211" s="3">
        <f>IF($C211=1,CommissionDD!$A$30,IF($C211=2,CommissionDD!$A$31,CommissionDD!$A$32))</f>
        <v>1500</v>
      </c>
      <c r="F211" s="3" t="str">
        <f t="shared" si="23"/>
        <v/>
      </c>
      <c r="G211" s="38" t="str">
        <f>IF($A211="","",(VLOOKUP($A211,Cus!$A$2:$AH$1001,23,FALSE)))</f>
        <v/>
      </c>
      <c r="H211" s="3" t="str">
        <f t="shared" si="19"/>
        <v/>
      </c>
      <c r="I211" s="56" t="str">
        <f t="shared" si="20"/>
        <v/>
      </c>
      <c r="J211" s="3" t="str">
        <f t="shared" si="21"/>
        <v/>
      </c>
      <c r="K211" s="7" t="str">
        <f t="shared" si="22"/>
        <v/>
      </c>
    </row>
    <row r="212" spans="1:12">
      <c r="A212" s="1" t="str">
        <f>IF(Cus!$B212&lt;&gt;"",Cus!$A212,"")</f>
        <v/>
      </c>
      <c r="C212" s="16">
        <v>1</v>
      </c>
      <c r="D212" s="3" t="str">
        <f t="shared" si="18"/>
        <v/>
      </c>
      <c r="E212" s="3">
        <f>IF($C212=1,CommissionDD!$A$30,IF($C212=2,CommissionDD!$A$31,CommissionDD!$A$32))</f>
        <v>1500</v>
      </c>
      <c r="F212" s="3" t="str">
        <f t="shared" si="23"/>
        <v/>
      </c>
      <c r="G212" s="38" t="str">
        <f>IF($A212="","",(VLOOKUP($A212,Cus!$A$2:$AH$1001,23,FALSE)))</f>
        <v/>
      </c>
      <c r="H212" s="3" t="str">
        <f t="shared" si="19"/>
        <v/>
      </c>
      <c r="I212" s="56" t="str">
        <f t="shared" si="20"/>
        <v/>
      </c>
      <c r="J212" s="3" t="str">
        <f t="shared" si="21"/>
        <v/>
      </c>
      <c r="K212" s="7" t="str">
        <f t="shared" si="22"/>
        <v/>
      </c>
    </row>
    <row r="213" spans="1:12">
      <c r="A213" s="1" t="str">
        <f>IF(Cus!$B213&lt;&gt;"",Cus!$A213,"")</f>
        <v/>
      </c>
      <c r="C213" s="16">
        <v>1</v>
      </c>
      <c r="D213" s="3" t="str">
        <f t="shared" si="18"/>
        <v/>
      </c>
      <c r="E213" s="3">
        <f>IF($C213=1,CommissionDD!$A$30,IF($C213=2,CommissionDD!$A$31,CommissionDD!$A$32))</f>
        <v>1500</v>
      </c>
      <c r="F213" s="3" t="str">
        <f t="shared" si="23"/>
        <v/>
      </c>
      <c r="G213" s="38" t="str">
        <f>IF($A213="","",(VLOOKUP($A213,Cus!$A$2:$AH$1001,23,FALSE)))</f>
        <v/>
      </c>
      <c r="H213" s="3" t="str">
        <f t="shared" si="19"/>
        <v/>
      </c>
      <c r="I213" s="56" t="str">
        <f t="shared" si="20"/>
        <v/>
      </c>
      <c r="J213" s="3" t="str">
        <f t="shared" si="21"/>
        <v/>
      </c>
      <c r="K213" s="7" t="str">
        <f t="shared" si="22"/>
        <v/>
      </c>
    </row>
    <row r="214" spans="1:12">
      <c r="A214" s="1" t="str">
        <f>IF(Cus!$B214&lt;&gt;"",Cus!$A214,"")</f>
        <v/>
      </c>
      <c r="C214" s="16">
        <v>1</v>
      </c>
      <c r="D214" s="3" t="str">
        <f t="shared" si="18"/>
        <v/>
      </c>
      <c r="E214" s="3">
        <f>IF($C214=1,CommissionDD!$A$30,IF($C214=2,CommissionDD!$A$31,CommissionDD!$A$32))</f>
        <v>1500</v>
      </c>
      <c r="F214" s="3" t="str">
        <f t="shared" si="23"/>
        <v/>
      </c>
      <c r="G214" s="38" t="str">
        <f>IF($A214="","",(VLOOKUP($A214,Cus!$A$2:$AH$1001,23,FALSE)))</f>
        <v/>
      </c>
      <c r="H214" s="3" t="str">
        <f t="shared" si="19"/>
        <v/>
      </c>
      <c r="I214" s="56" t="str">
        <f t="shared" si="20"/>
        <v/>
      </c>
      <c r="J214" s="3" t="str">
        <f t="shared" si="21"/>
        <v/>
      </c>
      <c r="K214" s="7" t="str">
        <f t="shared" si="22"/>
        <v/>
      </c>
    </row>
    <row r="215" spans="1:12">
      <c r="A215" s="1" t="str">
        <f>IF(Cus!$B215&lt;&gt;"",Cus!$A215,"")</f>
        <v/>
      </c>
      <c r="C215" s="16">
        <v>1</v>
      </c>
      <c r="D215" s="3" t="str">
        <f t="shared" si="18"/>
        <v/>
      </c>
      <c r="E215" s="3">
        <f>IF($C215=1,CommissionDD!$A$30,IF($C215=2,CommissionDD!$A$31,CommissionDD!$A$32))</f>
        <v>1500</v>
      </c>
      <c r="F215" s="3" t="str">
        <f t="shared" si="23"/>
        <v/>
      </c>
      <c r="G215" s="38" t="str">
        <f>IF($A215="","",(VLOOKUP($A215,Cus!$A$2:$AH$1001,23,FALSE)))</f>
        <v/>
      </c>
      <c r="H215" s="3" t="str">
        <f t="shared" si="19"/>
        <v/>
      </c>
      <c r="I215" s="56" t="str">
        <f t="shared" si="20"/>
        <v/>
      </c>
      <c r="J215" s="3" t="str">
        <f t="shared" si="21"/>
        <v/>
      </c>
      <c r="K215" s="7" t="str">
        <f t="shared" si="22"/>
        <v/>
      </c>
    </row>
    <row r="216" spans="1:12">
      <c r="A216" s="1" t="str">
        <f>IF(Cus!$B216&lt;&gt;"",Cus!$A216,"")</f>
        <v/>
      </c>
      <c r="C216" s="16">
        <v>1</v>
      </c>
      <c r="D216" s="3" t="str">
        <f t="shared" si="18"/>
        <v/>
      </c>
      <c r="E216" s="3">
        <f>IF($C216=1,CommissionDD!$A$30,IF($C216=2,CommissionDD!$A$31,CommissionDD!$A$32))</f>
        <v>1500</v>
      </c>
      <c r="F216" s="3" t="str">
        <f t="shared" si="23"/>
        <v/>
      </c>
      <c r="G216" s="38" t="str">
        <f>IF($A216="","",(VLOOKUP($A216,Cus!$A$2:$AH$1001,23,FALSE)))</f>
        <v/>
      </c>
      <c r="H216" s="3" t="str">
        <f t="shared" si="19"/>
        <v/>
      </c>
      <c r="I216" s="56" t="str">
        <f t="shared" si="20"/>
        <v/>
      </c>
      <c r="J216" s="3" t="str">
        <f t="shared" si="21"/>
        <v/>
      </c>
      <c r="K216" s="7" t="str">
        <f t="shared" si="22"/>
        <v/>
      </c>
    </row>
    <row r="217" spans="1:12">
      <c r="A217" s="1" t="str">
        <f>IF(Cus!$B217&lt;&gt;"",Cus!$A217,"")</f>
        <v/>
      </c>
      <c r="C217" s="16">
        <v>1</v>
      </c>
      <c r="D217" s="3" t="str">
        <f t="shared" si="18"/>
        <v/>
      </c>
      <c r="E217" s="3">
        <f>IF($C217=1,CommissionDD!$A$30,IF($C217=2,CommissionDD!$A$31,CommissionDD!$A$32))</f>
        <v>1500</v>
      </c>
      <c r="F217" s="3" t="str">
        <f t="shared" si="23"/>
        <v/>
      </c>
      <c r="G217" s="38" t="str">
        <f>IF($A217="","",(VLOOKUP($A217,Cus!$A$2:$AH$1001,23,FALSE)))</f>
        <v/>
      </c>
      <c r="H217" s="3" t="str">
        <f t="shared" si="19"/>
        <v/>
      </c>
      <c r="I217" s="56" t="str">
        <f t="shared" si="20"/>
        <v/>
      </c>
      <c r="J217" s="3" t="str">
        <f t="shared" si="21"/>
        <v/>
      </c>
      <c r="K217" s="7" t="str">
        <f t="shared" si="22"/>
        <v/>
      </c>
    </row>
    <row r="218" spans="1:12">
      <c r="A218" s="1" t="str">
        <f>IF(Cus!$B218&lt;&gt;"",Cus!$A218,"")</f>
        <v/>
      </c>
      <c r="C218" s="16">
        <v>1</v>
      </c>
      <c r="D218" s="3" t="str">
        <f t="shared" si="18"/>
        <v/>
      </c>
      <c r="E218" s="3">
        <f>IF($C218=1,CommissionDD!$A$30,IF($C218=2,CommissionDD!$A$31,CommissionDD!$A$32))</f>
        <v>1500</v>
      </c>
      <c r="F218" s="3" t="str">
        <f t="shared" si="23"/>
        <v/>
      </c>
      <c r="G218" s="38" t="str">
        <f>IF($A218="","",(VLOOKUP($A218,Cus!$A$2:$AH$1001,23,FALSE)))</f>
        <v/>
      </c>
      <c r="H218" s="3" t="str">
        <f t="shared" si="19"/>
        <v/>
      </c>
      <c r="I218" s="56" t="str">
        <f t="shared" si="20"/>
        <v/>
      </c>
      <c r="J218" s="3" t="str">
        <f t="shared" si="21"/>
        <v/>
      </c>
      <c r="K218" s="7" t="str">
        <f t="shared" si="22"/>
        <v/>
      </c>
    </row>
    <row r="219" spans="1:12">
      <c r="A219" s="1" t="str">
        <f>IF(Cus!$B219&lt;&gt;"",Cus!$A219,"")</f>
        <v/>
      </c>
      <c r="C219" s="16">
        <v>1</v>
      </c>
      <c r="D219" s="3" t="str">
        <f t="shared" si="18"/>
        <v/>
      </c>
      <c r="E219" s="3">
        <f>IF($C219=1,CommissionDD!$A$30,IF($C219=2,CommissionDD!$A$31,CommissionDD!$A$32))</f>
        <v>1500</v>
      </c>
      <c r="F219" s="3" t="str">
        <f t="shared" si="23"/>
        <v/>
      </c>
      <c r="G219" s="38" t="str">
        <f>IF($A219="","",(VLOOKUP($A219,Cus!$A$2:$AH$1001,23,FALSE)))</f>
        <v/>
      </c>
      <c r="H219" s="3" t="str">
        <f t="shared" si="19"/>
        <v/>
      </c>
      <c r="I219" s="56" t="str">
        <f t="shared" si="20"/>
        <v/>
      </c>
      <c r="J219" s="3" t="str">
        <f t="shared" si="21"/>
        <v/>
      </c>
      <c r="K219" s="7" t="str">
        <f t="shared" si="22"/>
        <v/>
      </c>
    </row>
    <row r="220" spans="1:12">
      <c r="A220" s="1" t="str">
        <f>IF(Cus!$B220&lt;&gt;"",Cus!$A220,"")</f>
        <v/>
      </c>
      <c r="C220" s="16">
        <v>1</v>
      </c>
      <c r="D220" s="3" t="str">
        <f t="shared" si="18"/>
        <v/>
      </c>
      <c r="E220" s="3">
        <f>IF($C220=1,CommissionDD!$A$30,IF($C220=2,CommissionDD!$A$31,CommissionDD!$A$32))</f>
        <v>1500</v>
      </c>
      <c r="F220" s="3" t="str">
        <f t="shared" si="23"/>
        <v/>
      </c>
      <c r="G220" s="38" t="str">
        <f>IF($A220="","",(VLOOKUP($A220,Cus!$A$2:$AH$1001,23,FALSE)))</f>
        <v/>
      </c>
      <c r="H220" s="3" t="str">
        <f t="shared" si="19"/>
        <v/>
      </c>
      <c r="I220" s="56" t="str">
        <f t="shared" si="20"/>
        <v/>
      </c>
      <c r="J220" s="3" t="str">
        <f t="shared" si="21"/>
        <v/>
      </c>
      <c r="K220" s="7" t="str">
        <f t="shared" si="22"/>
        <v/>
      </c>
    </row>
    <row r="221" spans="1:12">
      <c r="A221" s="1" t="str">
        <f>IF(Cus!$B221&lt;&gt;"",Cus!$A221,"")</f>
        <v/>
      </c>
      <c r="C221" s="16">
        <v>1</v>
      </c>
      <c r="D221" s="3" t="str">
        <f t="shared" si="18"/>
        <v/>
      </c>
      <c r="E221" s="3">
        <f>IF($C221=1,CommissionDD!$A$30,IF($C221=2,CommissionDD!$A$31,CommissionDD!$A$32))</f>
        <v>1500</v>
      </c>
      <c r="F221" s="3" t="str">
        <f t="shared" si="23"/>
        <v/>
      </c>
      <c r="G221" s="38" t="str">
        <f>IF($A221="","",(VLOOKUP($A221,Cus!$A$2:$AH$1001,23,FALSE)))</f>
        <v/>
      </c>
      <c r="H221" s="3" t="str">
        <f t="shared" si="19"/>
        <v/>
      </c>
      <c r="I221" s="56" t="str">
        <f t="shared" si="20"/>
        <v/>
      </c>
      <c r="J221" s="3" t="str">
        <f t="shared" si="21"/>
        <v/>
      </c>
      <c r="K221" s="7" t="str">
        <f t="shared" si="22"/>
        <v/>
      </c>
    </row>
    <row r="222" spans="1:12">
      <c r="A222" s="1" t="str">
        <f>IF(Cus!$B222&lt;&gt;"",Cus!$A222,"")</f>
        <v/>
      </c>
      <c r="C222" s="16">
        <v>1</v>
      </c>
      <c r="D222" s="3" t="str">
        <f t="shared" si="18"/>
        <v/>
      </c>
      <c r="E222" s="3">
        <f>IF($C222=1,CommissionDD!$A$30,IF($C222=2,CommissionDD!$A$31,CommissionDD!$A$32))</f>
        <v>1500</v>
      </c>
      <c r="F222" s="3" t="str">
        <f t="shared" si="23"/>
        <v/>
      </c>
      <c r="G222" s="38" t="str">
        <f>IF($A222="","",(VLOOKUP($A222,Cus!$A$2:$AH$1001,23,FALSE)))</f>
        <v/>
      </c>
      <c r="H222" s="3" t="str">
        <f t="shared" si="19"/>
        <v/>
      </c>
      <c r="I222" s="56" t="str">
        <f t="shared" si="20"/>
        <v/>
      </c>
      <c r="J222" s="3" t="str">
        <f t="shared" si="21"/>
        <v/>
      </c>
      <c r="K222" s="7" t="str">
        <f t="shared" si="22"/>
        <v/>
      </c>
    </row>
    <row r="223" spans="1:12">
      <c r="A223" s="1" t="str">
        <f>IF(Cus!$B223&lt;&gt;"",Cus!$A223,"")</f>
        <v/>
      </c>
      <c r="C223" s="16">
        <v>1</v>
      </c>
      <c r="D223" s="3" t="str">
        <f t="shared" si="18"/>
        <v/>
      </c>
      <c r="E223" s="3">
        <f>IF($C223=1,CommissionDD!$A$30,IF($C223=2,CommissionDD!$A$31,CommissionDD!$A$32))</f>
        <v>1500</v>
      </c>
      <c r="F223" s="3" t="str">
        <f t="shared" si="23"/>
        <v/>
      </c>
      <c r="G223" s="38" t="str">
        <f>IF($A223="","",(VLOOKUP($A223,Cus!$A$2:$AH$1001,23,FALSE)))</f>
        <v/>
      </c>
      <c r="H223" s="3" t="str">
        <f t="shared" si="19"/>
        <v/>
      </c>
      <c r="I223" s="56" t="str">
        <f t="shared" si="20"/>
        <v/>
      </c>
      <c r="J223" s="3" t="str">
        <f t="shared" si="21"/>
        <v/>
      </c>
      <c r="K223" s="7" t="str">
        <f t="shared" si="22"/>
        <v/>
      </c>
    </row>
    <row r="224" spans="1:12">
      <c r="A224" s="1" t="str">
        <f>IF(Cus!$B224&lt;&gt;"",Cus!$A224,"")</f>
        <v/>
      </c>
      <c r="C224" s="16">
        <v>1</v>
      </c>
      <c r="D224" s="3" t="str">
        <f t="shared" si="18"/>
        <v/>
      </c>
      <c r="E224" s="3">
        <f>IF($C224=1,CommissionDD!$A$30,IF($C224=2,CommissionDD!$A$31,CommissionDD!$A$32))</f>
        <v>1500</v>
      </c>
      <c r="F224" s="3" t="str">
        <f t="shared" si="23"/>
        <v/>
      </c>
      <c r="G224" s="38" t="str">
        <f>IF($A224="","",(VLOOKUP($A224,Cus!$A$2:$AH$1001,23,FALSE)))</f>
        <v/>
      </c>
      <c r="H224" s="3" t="str">
        <f t="shared" si="19"/>
        <v/>
      </c>
      <c r="I224" s="56" t="str">
        <f t="shared" si="20"/>
        <v/>
      </c>
      <c r="J224" s="3" t="str">
        <f t="shared" si="21"/>
        <v/>
      </c>
      <c r="K224" s="7" t="str">
        <f t="shared" si="22"/>
        <v/>
      </c>
    </row>
    <row r="225" spans="1:12">
      <c r="A225" s="1" t="str">
        <f>IF(Cus!$B225&lt;&gt;"",Cus!$A225,"")</f>
        <v/>
      </c>
      <c r="C225" s="16">
        <v>1</v>
      </c>
      <c r="D225" s="3" t="str">
        <f t="shared" si="18"/>
        <v/>
      </c>
      <c r="E225" s="3">
        <f>IF($C225=1,CommissionDD!$A$30,IF($C225=2,CommissionDD!$A$31,CommissionDD!$A$32))</f>
        <v>1500</v>
      </c>
      <c r="F225" s="3" t="str">
        <f t="shared" si="23"/>
        <v/>
      </c>
      <c r="G225" s="38" t="str">
        <f>IF($A225="","",(VLOOKUP($A225,Cus!$A$2:$AH$1001,23,FALSE)))</f>
        <v/>
      </c>
      <c r="H225" s="3" t="str">
        <f t="shared" si="19"/>
        <v/>
      </c>
      <c r="I225" s="56" t="str">
        <f t="shared" si="20"/>
        <v/>
      </c>
      <c r="J225" s="3" t="str">
        <f t="shared" si="21"/>
        <v/>
      </c>
      <c r="K225" s="7" t="str">
        <f t="shared" si="22"/>
        <v/>
      </c>
    </row>
    <row r="226" spans="1:12">
      <c r="A226" s="1" t="str">
        <f>IF(Cus!$B226&lt;&gt;"",Cus!$A226,"")</f>
        <v/>
      </c>
      <c r="C226" s="16">
        <v>1</v>
      </c>
      <c r="D226" s="3" t="str">
        <f t="shared" si="18"/>
        <v/>
      </c>
      <c r="E226" s="3">
        <f>IF($C226=1,CommissionDD!$A$30,IF($C226=2,CommissionDD!$A$31,CommissionDD!$A$32))</f>
        <v>1500</v>
      </c>
      <c r="F226" s="3" t="str">
        <f t="shared" si="23"/>
        <v/>
      </c>
      <c r="G226" s="38" t="str">
        <f>IF($A226="","",(VLOOKUP($A226,Cus!$A$2:$AH$1001,23,FALSE)))</f>
        <v/>
      </c>
      <c r="H226" s="3" t="str">
        <f t="shared" si="19"/>
        <v/>
      </c>
      <c r="I226" s="56" t="str">
        <f t="shared" si="20"/>
        <v/>
      </c>
      <c r="J226" s="3" t="str">
        <f t="shared" si="21"/>
        <v/>
      </c>
      <c r="K226" s="7" t="str">
        <f t="shared" si="22"/>
        <v/>
      </c>
    </row>
    <row r="227" spans="1:12">
      <c r="A227" s="1" t="str">
        <f>IF(Cus!$B227&lt;&gt;"",Cus!$A227,"")</f>
        <v/>
      </c>
      <c r="C227" s="16">
        <v>1</v>
      </c>
      <c r="D227" s="3" t="str">
        <f t="shared" si="18"/>
        <v/>
      </c>
      <c r="E227" s="3">
        <f>IF($C227=1,CommissionDD!$A$30,IF($C227=2,CommissionDD!$A$31,CommissionDD!$A$32))</f>
        <v>1500</v>
      </c>
      <c r="F227" s="3" t="str">
        <f t="shared" si="23"/>
        <v/>
      </c>
      <c r="G227" s="38" t="str">
        <f>IF($A227="","",(VLOOKUP($A227,Cus!$A$2:$AH$1001,23,FALSE)))</f>
        <v/>
      </c>
      <c r="H227" s="3" t="str">
        <f t="shared" si="19"/>
        <v/>
      </c>
      <c r="I227" s="56" t="str">
        <f t="shared" si="20"/>
        <v/>
      </c>
      <c r="J227" s="3" t="str">
        <f t="shared" si="21"/>
        <v/>
      </c>
      <c r="K227" s="7" t="str">
        <f t="shared" si="22"/>
        <v/>
      </c>
    </row>
    <row r="228" spans="1:12">
      <c r="A228" s="1" t="str">
        <f>IF(Cus!$B228&lt;&gt;"",Cus!$A228,"")</f>
        <v/>
      </c>
      <c r="C228" s="16">
        <v>1</v>
      </c>
      <c r="D228" s="3" t="str">
        <f t="shared" si="18"/>
        <v/>
      </c>
      <c r="E228" s="3">
        <f>IF($C228=1,CommissionDD!$A$30,IF($C228=2,CommissionDD!$A$31,CommissionDD!$A$32))</f>
        <v>1500</v>
      </c>
      <c r="F228" s="3" t="str">
        <f t="shared" si="23"/>
        <v/>
      </c>
      <c r="G228" s="38" t="str">
        <f>IF($A228="","",(VLOOKUP($A228,Cus!$A$2:$AH$1001,23,FALSE)))</f>
        <v/>
      </c>
      <c r="H228" s="3" t="str">
        <f t="shared" si="19"/>
        <v/>
      </c>
      <c r="I228" s="56" t="str">
        <f t="shared" si="20"/>
        <v/>
      </c>
      <c r="J228" s="3" t="str">
        <f t="shared" si="21"/>
        <v/>
      </c>
      <c r="K228" s="7" t="str">
        <f t="shared" si="22"/>
        <v/>
      </c>
    </row>
    <row r="229" spans="1:12">
      <c r="A229" s="1" t="str">
        <f>IF(Cus!$B229&lt;&gt;"",Cus!$A229,"")</f>
        <v/>
      </c>
      <c r="C229" s="16">
        <v>1</v>
      </c>
      <c r="D229" s="3" t="str">
        <f t="shared" si="18"/>
        <v/>
      </c>
      <c r="E229" s="3">
        <f>IF($C229=1,CommissionDD!$A$30,IF($C229=2,CommissionDD!$A$31,CommissionDD!$A$32))</f>
        <v>1500</v>
      </c>
      <c r="F229" s="3" t="str">
        <f t="shared" si="23"/>
        <v/>
      </c>
      <c r="G229" s="38" t="str">
        <f>IF($A229="","",(VLOOKUP($A229,Cus!$A$2:$AH$1001,23,FALSE)))</f>
        <v/>
      </c>
      <c r="H229" s="3" t="str">
        <f t="shared" si="19"/>
        <v/>
      </c>
      <c r="I229" s="56" t="str">
        <f t="shared" si="20"/>
        <v/>
      </c>
      <c r="J229" s="3" t="str">
        <f t="shared" si="21"/>
        <v/>
      </c>
      <c r="K229" s="7" t="str">
        <f t="shared" si="22"/>
        <v/>
      </c>
    </row>
    <row r="230" spans="1:12">
      <c r="A230" s="1" t="str">
        <f>IF(Cus!$B230&lt;&gt;"",Cus!$A230,"")</f>
        <v/>
      </c>
      <c r="C230" s="16">
        <v>1</v>
      </c>
      <c r="D230" s="3" t="str">
        <f t="shared" si="18"/>
        <v/>
      </c>
      <c r="E230" s="3">
        <f>IF($C230=1,CommissionDD!$A$30,IF($C230=2,CommissionDD!$A$31,CommissionDD!$A$32))</f>
        <v>1500</v>
      </c>
      <c r="F230" s="3" t="str">
        <f t="shared" si="23"/>
        <v/>
      </c>
      <c r="G230" s="38" t="str">
        <f>IF($A230="","",(VLOOKUP($A230,Cus!$A$2:$AH$1001,23,FALSE)))</f>
        <v/>
      </c>
      <c r="H230" s="3" t="str">
        <f t="shared" si="19"/>
        <v/>
      </c>
      <c r="I230" s="56" t="str">
        <f t="shared" si="20"/>
        <v/>
      </c>
      <c r="J230" s="3" t="str">
        <f t="shared" si="21"/>
        <v/>
      </c>
      <c r="K230" s="7" t="str">
        <f t="shared" si="22"/>
        <v/>
      </c>
    </row>
    <row r="231" spans="1:12">
      <c r="A231" s="1" t="str">
        <f>IF(Cus!$B231&lt;&gt;"",Cus!$A231,"")</f>
        <v/>
      </c>
      <c r="C231" s="16">
        <v>1</v>
      </c>
      <c r="D231" s="3" t="str">
        <f t="shared" si="18"/>
        <v/>
      </c>
      <c r="E231" s="3">
        <f>IF($C231=1,CommissionDD!$A$30,IF($C231=2,CommissionDD!$A$31,CommissionDD!$A$32))</f>
        <v>1500</v>
      </c>
      <c r="F231" s="3" t="str">
        <f t="shared" si="23"/>
        <v/>
      </c>
      <c r="G231" s="38" t="str">
        <f>IF($A231="","",(VLOOKUP($A231,Cus!$A$2:$AH$1001,23,FALSE)))</f>
        <v/>
      </c>
      <c r="H231" s="3" t="str">
        <f t="shared" si="19"/>
        <v/>
      </c>
      <c r="I231" s="56" t="str">
        <f t="shared" si="20"/>
        <v/>
      </c>
      <c r="J231" s="3" t="str">
        <f t="shared" si="21"/>
        <v/>
      </c>
      <c r="K231" s="7" t="str">
        <f t="shared" si="22"/>
        <v/>
      </c>
    </row>
    <row r="232" spans="1:12">
      <c r="A232" s="1" t="str">
        <f>IF(Cus!$B232&lt;&gt;"",Cus!$A232,"")</f>
        <v>K0000231</v>
      </c>
      <c r="B232" s="58">
        <v>1531953</v>
      </c>
      <c r="C232" s="16">
        <v>2</v>
      </c>
      <c r="D232" s="3">
        <f t="shared" si="18"/>
        <v>1500</v>
      </c>
      <c r="E232" s="3">
        <f>IF($C232=1,CommissionDD!$A$30,IF($C232=2,CommissionDD!$A$31,CommissionDD!$A$32))</f>
        <v>750</v>
      </c>
      <c r="F232" s="3">
        <f t="shared" si="23"/>
        <v>750</v>
      </c>
      <c r="G232" s="38">
        <f>IF($A232="","",(VLOOKUP($A232,Cus!$A$2:$AH$1001,23,FALSE)))</f>
        <v>41613</v>
      </c>
      <c r="H232" s="3">
        <f t="shared" si="19"/>
        <v>395</v>
      </c>
      <c r="I232" s="56">
        <f t="shared" si="20"/>
        <v>60</v>
      </c>
      <c r="J232" s="3">
        <f t="shared" si="21"/>
        <v>23700</v>
      </c>
      <c r="K232" s="7">
        <f t="shared" si="22"/>
        <v>41675</v>
      </c>
      <c r="L232" s="58">
        <v>86581965</v>
      </c>
    </row>
    <row r="233" spans="1:12">
      <c r="A233" s="1" t="str">
        <f>IF(Cus!$B233&lt;&gt;"",Cus!$A233,"")</f>
        <v/>
      </c>
      <c r="C233" s="16">
        <v>1</v>
      </c>
      <c r="D233" s="3" t="str">
        <f t="shared" si="18"/>
        <v/>
      </c>
      <c r="E233" s="3">
        <f>IF($C233=1,CommissionDD!$A$30,IF($C233=2,CommissionDD!$A$31,CommissionDD!$A$32))</f>
        <v>1500</v>
      </c>
      <c r="F233" s="3" t="str">
        <f t="shared" si="23"/>
        <v/>
      </c>
      <c r="G233" s="38" t="str">
        <f>IF($A233="","",(VLOOKUP($A233,Cus!$A$2:$AH$1001,23,FALSE)))</f>
        <v/>
      </c>
      <c r="H233" s="3" t="str">
        <f t="shared" si="19"/>
        <v/>
      </c>
      <c r="I233" s="56" t="str">
        <f t="shared" si="20"/>
        <v/>
      </c>
      <c r="J233" s="3" t="str">
        <f t="shared" si="21"/>
        <v/>
      </c>
      <c r="K233" s="7" t="str">
        <f t="shared" si="22"/>
        <v/>
      </c>
    </row>
    <row r="234" spans="1:12">
      <c r="A234" s="1" t="str">
        <f>IF(Cus!$B234&lt;&gt;"",Cus!$A234,"")</f>
        <v/>
      </c>
      <c r="C234" s="16">
        <v>1</v>
      </c>
      <c r="D234" s="3" t="str">
        <f t="shared" si="18"/>
        <v/>
      </c>
      <c r="E234" s="3">
        <f>IF($C234=1,CommissionDD!$A$30,IF($C234=2,CommissionDD!$A$31,CommissionDD!$A$32))</f>
        <v>1500</v>
      </c>
      <c r="F234" s="3" t="str">
        <f t="shared" si="23"/>
        <v/>
      </c>
      <c r="G234" s="38" t="str">
        <f>IF($A234="","",(VLOOKUP($A234,Cus!$A$2:$AH$1001,23,FALSE)))</f>
        <v/>
      </c>
      <c r="H234" s="3" t="str">
        <f t="shared" si="19"/>
        <v/>
      </c>
      <c r="I234" s="56" t="str">
        <f t="shared" si="20"/>
        <v/>
      </c>
      <c r="J234" s="3" t="str">
        <f t="shared" si="21"/>
        <v/>
      </c>
      <c r="K234" s="7" t="str">
        <f t="shared" si="22"/>
        <v/>
      </c>
    </row>
    <row r="235" spans="1:12">
      <c r="A235" s="1" t="str">
        <f>IF(Cus!$B235&lt;&gt;"",Cus!$A235,"")</f>
        <v/>
      </c>
      <c r="C235" s="16">
        <v>1</v>
      </c>
      <c r="D235" s="3" t="str">
        <f t="shared" si="18"/>
        <v/>
      </c>
      <c r="E235" s="3">
        <f>IF($C235=1,CommissionDD!$A$30,IF($C235=2,CommissionDD!$A$31,CommissionDD!$A$32))</f>
        <v>1500</v>
      </c>
      <c r="F235" s="3" t="str">
        <f t="shared" si="23"/>
        <v/>
      </c>
      <c r="G235" s="38" t="str">
        <f>IF($A235="","",(VLOOKUP($A235,Cus!$A$2:$AH$1001,23,FALSE)))</f>
        <v/>
      </c>
      <c r="H235" s="3" t="str">
        <f t="shared" si="19"/>
        <v/>
      </c>
      <c r="I235" s="56" t="str">
        <f t="shared" si="20"/>
        <v/>
      </c>
      <c r="J235" s="3" t="str">
        <f t="shared" si="21"/>
        <v/>
      </c>
      <c r="K235" s="7" t="str">
        <f t="shared" si="22"/>
        <v/>
      </c>
    </row>
    <row r="236" spans="1:12">
      <c r="A236" s="1" t="str">
        <f>IF(Cus!$B236&lt;&gt;"",Cus!$A236,"")</f>
        <v/>
      </c>
      <c r="C236" s="16">
        <v>1</v>
      </c>
      <c r="D236" s="3" t="str">
        <f t="shared" si="18"/>
        <v/>
      </c>
      <c r="E236" s="3">
        <f>IF($C236=1,CommissionDD!$A$30,IF($C236=2,CommissionDD!$A$31,CommissionDD!$A$32))</f>
        <v>1500</v>
      </c>
      <c r="F236" s="3" t="str">
        <f t="shared" si="23"/>
        <v/>
      </c>
      <c r="G236" s="38" t="str">
        <f>IF($A236="","",(VLOOKUP($A236,Cus!$A$2:$AH$1001,23,FALSE)))</f>
        <v/>
      </c>
      <c r="H236" s="3" t="str">
        <f t="shared" si="19"/>
        <v/>
      </c>
      <c r="I236" s="56" t="str">
        <f t="shared" si="20"/>
        <v/>
      </c>
      <c r="J236" s="3" t="str">
        <f t="shared" si="21"/>
        <v/>
      </c>
      <c r="K236" s="7" t="str">
        <f t="shared" si="22"/>
        <v/>
      </c>
    </row>
    <row r="237" spans="1:12">
      <c r="A237" s="1" t="str">
        <f>IF(Cus!$B237&lt;&gt;"",Cus!$A237,"")</f>
        <v/>
      </c>
      <c r="C237" s="16">
        <v>1</v>
      </c>
      <c r="D237" s="3" t="str">
        <f t="shared" si="18"/>
        <v/>
      </c>
      <c r="E237" s="3">
        <f>IF($C237=1,CommissionDD!$A$30,IF($C237=2,CommissionDD!$A$31,CommissionDD!$A$32))</f>
        <v>1500</v>
      </c>
      <c r="F237" s="3" t="str">
        <f t="shared" si="23"/>
        <v/>
      </c>
      <c r="G237" s="38" t="str">
        <f>IF($A237="","",(VLOOKUP($A237,Cus!$A$2:$AH$1001,23,FALSE)))</f>
        <v/>
      </c>
      <c r="H237" s="3" t="str">
        <f t="shared" si="19"/>
        <v/>
      </c>
      <c r="I237" s="56" t="str">
        <f t="shared" si="20"/>
        <v/>
      </c>
      <c r="J237" s="3" t="str">
        <f t="shared" si="21"/>
        <v/>
      </c>
      <c r="K237" s="7" t="str">
        <f t="shared" si="22"/>
        <v/>
      </c>
    </row>
    <row r="238" spans="1:12">
      <c r="A238" s="1" t="str">
        <f>IF(Cus!$B238&lt;&gt;"",Cus!$A238,"")</f>
        <v/>
      </c>
      <c r="C238" s="16">
        <v>1</v>
      </c>
      <c r="D238" s="3" t="str">
        <f t="shared" si="18"/>
        <v/>
      </c>
      <c r="E238" s="3">
        <f>IF($C238=1,CommissionDD!$A$30,IF($C238=2,CommissionDD!$A$31,CommissionDD!$A$32))</f>
        <v>1500</v>
      </c>
      <c r="F238" s="3" t="str">
        <f t="shared" si="23"/>
        <v/>
      </c>
      <c r="G238" s="38" t="str">
        <f>IF($A238="","",(VLOOKUP($A238,Cus!$A$2:$AH$1001,23,FALSE)))</f>
        <v/>
      </c>
      <c r="H238" s="3" t="str">
        <f t="shared" si="19"/>
        <v/>
      </c>
      <c r="I238" s="56" t="str">
        <f t="shared" si="20"/>
        <v/>
      </c>
      <c r="J238" s="3" t="str">
        <f t="shared" si="21"/>
        <v/>
      </c>
      <c r="K238" s="7" t="str">
        <f t="shared" si="22"/>
        <v/>
      </c>
    </row>
    <row r="239" spans="1:12">
      <c r="A239" s="1" t="str">
        <f>IF(Cus!$B239&lt;&gt;"",Cus!$A239,"")</f>
        <v/>
      </c>
      <c r="C239" s="16">
        <v>1</v>
      </c>
      <c r="D239" s="3" t="str">
        <f t="shared" si="18"/>
        <v/>
      </c>
      <c r="E239" s="3">
        <f>IF($C239=1,CommissionDD!$A$30,IF($C239=2,CommissionDD!$A$31,CommissionDD!$A$32))</f>
        <v>1500</v>
      </c>
      <c r="F239" s="3" t="str">
        <f t="shared" si="23"/>
        <v/>
      </c>
      <c r="G239" s="38" t="str">
        <f>IF($A239="","",(VLOOKUP($A239,Cus!$A$2:$AH$1001,23,FALSE)))</f>
        <v/>
      </c>
      <c r="H239" s="3" t="str">
        <f t="shared" si="19"/>
        <v/>
      </c>
      <c r="I239" s="56" t="str">
        <f t="shared" si="20"/>
        <v/>
      </c>
      <c r="J239" s="3" t="str">
        <f t="shared" si="21"/>
        <v/>
      </c>
      <c r="K239" s="7" t="str">
        <f t="shared" si="22"/>
        <v/>
      </c>
    </row>
    <row r="240" spans="1:12">
      <c r="A240" s="1" t="str">
        <f>IF(Cus!$B240&lt;&gt;"",Cus!$A240,"")</f>
        <v/>
      </c>
      <c r="C240" s="16">
        <v>1</v>
      </c>
      <c r="D240" s="3" t="str">
        <f t="shared" si="18"/>
        <v/>
      </c>
      <c r="E240" s="3">
        <f>IF($C240=1,CommissionDD!$A$30,IF($C240=2,CommissionDD!$A$31,CommissionDD!$A$32))</f>
        <v>1500</v>
      </c>
      <c r="F240" s="3" t="str">
        <f t="shared" si="23"/>
        <v/>
      </c>
      <c r="G240" s="38" t="str">
        <f>IF($A240="","",(VLOOKUP($A240,Cus!$A$2:$AH$1001,23,FALSE)))</f>
        <v/>
      </c>
      <c r="H240" s="3" t="str">
        <f t="shared" si="19"/>
        <v/>
      </c>
      <c r="I240" s="56" t="str">
        <f t="shared" si="20"/>
        <v/>
      </c>
      <c r="J240" s="3" t="str">
        <f t="shared" si="21"/>
        <v/>
      </c>
      <c r="K240" s="7" t="str">
        <f t="shared" si="22"/>
        <v/>
      </c>
    </row>
    <row r="241" spans="1:11">
      <c r="A241" s="1" t="str">
        <f>IF(Cus!$B241&lt;&gt;"",Cus!$A241,"")</f>
        <v/>
      </c>
      <c r="C241" s="16">
        <v>1</v>
      </c>
      <c r="D241" s="3" t="str">
        <f t="shared" si="18"/>
        <v/>
      </c>
      <c r="E241" s="3">
        <f>IF($C241=1,CommissionDD!$A$30,IF($C241=2,CommissionDD!$A$31,CommissionDD!$A$32))</f>
        <v>1500</v>
      </c>
      <c r="F241" s="3" t="str">
        <f t="shared" si="23"/>
        <v/>
      </c>
      <c r="G241" s="38" t="str">
        <f>IF($A241="","",(VLOOKUP($A241,Cus!$A$2:$AH$1001,23,FALSE)))</f>
        <v/>
      </c>
      <c r="H241" s="3" t="str">
        <f t="shared" si="19"/>
        <v/>
      </c>
      <c r="I241" s="56" t="str">
        <f t="shared" si="20"/>
        <v/>
      </c>
      <c r="J241" s="3" t="str">
        <f t="shared" si="21"/>
        <v/>
      </c>
      <c r="K241" s="7" t="str">
        <f t="shared" si="22"/>
        <v/>
      </c>
    </row>
    <row r="242" spans="1:11">
      <c r="A242" s="1" t="str">
        <f>IF(Cus!$B242&lt;&gt;"",Cus!$A242,"")</f>
        <v/>
      </c>
      <c r="C242" s="16">
        <v>1</v>
      </c>
      <c r="D242" s="3" t="str">
        <f t="shared" si="18"/>
        <v/>
      </c>
      <c r="E242" s="3">
        <f>IF($C242=1,CommissionDD!$A$30,IF($C242=2,CommissionDD!$A$31,CommissionDD!$A$32))</f>
        <v>1500</v>
      </c>
      <c r="F242" s="3" t="str">
        <f t="shared" si="23"/>
        <v/>
      </c>
      <c r="G242" s="38" t="str">
        <f>IF($A242="","",(VLOOKUP($A242,Cus!$A$2:$AH$1001,23,FALSE)))</f>
        <v/>
      </c>
      <c r="H242" s="3" t="str">
        <f t="shared" si="19"/>
        <v/>
      </c>
      <c r="I242" s="56" t="str">
        <f t="shared" si="20"/>
        <v/>
      </c>
      <c r="J242" s="3" t="str">
        <f t="shared" si="21"/>
        <v/>
      </c>
      <c r="K242" s="7" t="str">
        <f t="shared" si="22"/>
        <v/>
      </c>
    </row>
    <row r="243" spans="1:11">
      <c r="A243" s="1" t="str">
        <f>IF(Cus!$B243&lt;&gt;"",Cus!$A243,"")</f>
        <v/>
      </c>
      <c r="C243" s="16">
        <v>1</v>
      </c>
      <c r="D243" s="3" t="str">
        <f t="shared" si="18"/>
        <v/>
      </c>
      <c r="E243" s="3">
        <f>IF($C243=1,CommissionDD!$A$30,IF($C243=2,CommissionDD!$A$31,CommissionDD!$A$32))</f>
        <v>1500</v>
      </c>
      <c r="F243" s="3" t="str">
        <f t="shared" si="23"/>
        <v/>
      </c>
      <c r="G243" s="38" t="str">
        <f>IF($A243="","",(VLOOKUP($A243,Cus!$A$2:$AH$1001,23,FALSE)))</f>
        <v/>
      </c>
      <c r="H243" s="3" t="str">
        <f t="shared" si="19"/>
        <v/>
      </c>
      <c r="I243" s="56" t="str">
        <f t="shared" si="20"/>
        <v/>
      </c>
      <c r="J243" s="3" t="str">
        <f t="shared" si="21"/>
        <v/>
      </c>
      <c r="K243" s="7" t="str">
        <f t="shared" si="22"/>
        <v/>
      </c>
    </row>
    <row r="244" spans="1:11">
      <c r="A244" s="1" t="str">
        <f>IF(Cus!$B244&lt;&gt;"",Cus!$A244,"")</f>
        <v/>
      </c>
      <c r="C244" s="16">
        <v>1</v>
      </c>
      <c r="D244" s="3" t="str">
        <f t="shared" si="18"/>
        <v/>
      </c>
      <c r="E244" s="3">
        <f>IF($C244=1,CommissionDD!$A$30,IF($C244=2,CommissionDD!$A$31,CommissionDD!$A$32))</f>
        <v>1500</v>
      </c>
      <c r="F244" s="3" t="str">
        <f t="shared" si="23"/>
        <v/>
      </c>
      <c r="G244" s="38" t="str">
        <f>IF($A244="","",(VLOOKUP($A244,Cus!$A$2:$AH$1001,23,FALSE)))</f>
        <v/>
      </c>
      <c r="H244" s="3" t="str">
        <f t="shared" si="19"/>
        <v/>
      </c>
      <c r="I244" s="56" t="str">
        <f t="shared" si="20"/>
        <v/>
      </c>
      <c r="J244" s="3" t="str">
        <f t="shared" si="21"/>
        <v/>
      </c>
      <c r="K244" s="7" t="str">
        <f t="shared" si="22"/>
        <v/>
      </c>
    </row>
    <row r="245" spans="1:11">
      <c r="A245" s="1" t="str">
        <f>IF(Cus!$B245&lt;&gt;"",Cus!$A245,"")</f>
        <v/>
      </c>
      <c r="C245" s="16">
        <v>1</v>
      </c>
      <c r="D245" s="3" t="str">
        <f t="shared" si="18"/>
        <v/>
      </c>
      <c r="E245" s="3">
        <f>IF($C245=1,CommissionDD!$A$30,IF($C245=2,CommissionDD!$A$31,CommissionDD!$A$32))</f>
        <v>1500</v>
      </c>
      <c r="F245" s="3" t="str">
        <f t="shared" si="23"/>
        <v/>
      </c>
      <c r="G245" s="38" t="str">
        <f>IF($A245="","",(VLOOKUP($A245,Cus!$A$2:$AH$1001,23,FALSE)))</f>
        <v/>
      </c>
      <c r="H245" s="3" t="str">
        <f t="shared" si="19"/>
        <v/>
      </c>
      <c r="I245" s="56" t="str">
        <f t="shared" si="20"/>
        <v/>
      </c>
      <c r="J245" s="3" t="str">
        <f t="shared" si="21"/>
        <v/>
      </c>
      <c r="K245" s="7" t="str">
        <f t="shared" si="22"/>
        <v/>
      </c>
    </row>
    <row r="246" spans="1:11">
      <c r="A246" s="1" t="str">
        <f>IF(Cus!$B246&lt;&gt;"",Cus!$A246,"")</f>
        <v/>
      </c>
      <c r="C246" s="16">
        <v>1</v>
      </c>
      <c r="D246" s="3" t="str">
        <f t="shared" si="18"/>
        <v/>
      </c>
      <c r="E246" s="3">
        <f>IF($C246=1,CommissionDD!$A$30,IF($C246=2,CommissionDD!$A$31,CommissionDD!$A$32))</f>
        <v>1500</v>
      </c>
      <c r="F246" s="3" t="str">
        <f t="shared" si="23"/>
        <v/>
      </c>
      <c r="G246" s="38" t="str">
        <f>IF($A246="","",(VLOOKUP($A246,Cus!$A$2:$AH$1001,23,FALSE)))</f>
        <v/>
      </c>
      <c r="H246" s="3" t="str">
        <f t="shared" si="19"/>
        <v/>
      </c>
      <c r="I246" s="56" t="str">
        <f t="shared" si="20"/>
        <v/>
      </c>
      <c r="J246" s="3" t="str">
        <f t="shared" si="21"/>
        <v/>
      </c>
      <c r="K246" s="7" t="str">
        <f t="shared" si="22"/>
        <v/>
      </c>
    </row>
    <row r="247" spans="1:11">
      <c r="A247" s="1" t="str">
        <f>IF(Cus!$B247&lt;&gt;"",Cus!$A247,"")</f>
        <v/>
      </c>
      <c r="C247" s="16">
        <v>1</v>
      </c>
      <c r="D247" s="3" t="str">
        <f t="shared" si="18"/>
        <v/>
      </c>
      <c r="E247" s="3">
        <f>IF($C247=1,CommissionDD!$A$30,IF($C247=2,CommissionDD!$A$31,CommissionDD!$A$32))</f>
        <v>1500</v>
      </c>
      <c r="F247" s="3" t="str">
        <f t="shared" si="23"/>
        <v/>
      </c>
      <c r="G247" s="38" t="str">
        <f>IF($A247="","",(VLOOKUP($A247,Cus!$A$2:$AH$1001,23,FALSE)))</f>
        <v/>
      </c>
      <c r="H247" s="3" t="str">
        <f t="shared" si="19"/>
        <v/>
      </c>
      <c r="I247" s="56" t="str">
        <f t="shared" si="20"/>
        <v/>
      </c>
      <c r="J247" s="3" t="str">
        <f t="shared" si="21"/>
        <v/>
      </c>
      <c r="K247" s="7" t="str">
        <f t="shared" si="22"/>
        <v/>
      </c>
    </row>
    <row r="248" spans="1:11">
      <c r="A248" s="1" t="str">
        <f>IF(Cus!$B248&lt;&gt;"",Cus!$A248,"")</f>
        <v/>
      </c>
      <c r="C248" s="16">
        <v>1</v>
      </c>
      <c r="D248" s="3" t="str">
        <f t="shared" si="18"/>
        <v/>
      </c>
      <c r="E248" s="3">
        <f>IF($C248=1,CommissionDD!$A$30,IF($C248=2,CommissionDD!$A$31,CommissionDD!$A$32))</f>
        <v>1500</v>
      </c>
      <c r="F248" s="3" t="str">
        <f t="shared" si="23"/>
        <v/>
      </c>
      <c r="G248" s="38" t="str">
        <f>IF($A248="","",(VLOOKUP($A248,Cus!$A$2:$AH$1001,23,FALSE)))</f>
        <v/>
      </c>
      <c r="H248" s="3" t="str">
        <f t="shared" si="19"/>
        <v/>
      </c>
      <c r="I248" s="56" t="str">
        <f t="shared" si="20"/>
        <v/>
      </c>
      <c r="J248" s="3" t="str">
        <f t="shared" si="21"/>
        <v/>
      </c>
      <c r="K248" s="7" t="str">
        <f t="shared" si="22"/>
        <v/>
      </c>
    </row>
    <row r="249" spans="1:11">
      <c r="A249" s="1" t="str">
        <f>IF(Cus!$B249&lt;&gt;"",Cus!$A249,"")</f>
        <v/>
      </c>
      <c r="C249" s="16">
        <v>1</v>
      </c>
      <c r="D249" s="3" t="str">
        <f t="shared" si="18"/>
        <v/>
      </c>
      <c r="E249" s="3">
        <f>IF($C249=1,CommissionDD!$A$30,IF($C249=2,CommissionDD!$A$31,CommissionDD!$A$32))</f>
        <v>1500</v>
      </c>
      <c r="F249" s="3" t="str">
        <f t="shared" si="23"/>
        <v/>
      </c>
      <c r="G249" s="38" t="str">
        <f>IF($A249="","",(VLOOKUP($A249,Cus!$A$2:$AH$1001,23,FALSE)))</f>
        <v/>
      </c>
      <c r="H249" s="3" t="str">
        <f t="shared" si="19"/>
        <v/>
      </c>
      <c r="I249" s="56" t="str">
        <f t="shared" si="20"/>
        <v/>
      </c>
      <c r="J249" s="3" t="str">
        <f t="shared" si="21"/>
        <v/>
      </c>
      <c r="K249" s="7" t="str">
        <f t="shared" si="22"/>
        <v/>
      </c>
    </row>
    <row r="250" spans="1:11">
      <c r="A250" s="1" t="str">
        <f>IF(Cus!$B250&lt;&gt;"",Cus!$A250,"")</f>
        <v/>
      </c>
      <c r="C250" s="16">
        <v>1</v>
      </c>
      <c r="D250" s="3" t="str">
        <f t="shared" si="18"/>
        <v/>
      </c>
      <c r="E250" s="3">
        <f>IF($C250=1,CommissionDD!$A$30,IF($C250=2,CommissionDD!$A$31,CommissionDD!$A$32))</f>
        <v>1500</v>
      </c>
      <c r="F250" s="3" t="str">
        <f t="shared" si="23"/>
        <v/>
      </c>
      <c r="G250" s="38" t="str">
        <f>IF($A250="","",(VLOOKUP($A250,Cus!$A$2:$AH$1001,23,FALSE)))</f>
        <v/>
      </c>
      <c r="H250" s="3" t="str">
        <f t="shared" si="19"/>
        <v/>
      </c>
      <c r="I250" s="56" t="str">
        <f t="shared" si="20"/>
        <v/>
      </c>
      <c r="J250" s="3" t="str">
        <f t="shared" si="21"/>
        <v/>
      </c>
      <c r="K250" s="7" t="str">
        <f t="shared" si="22"/>
        <v/>
      </c>
    </row>
    <row r="251" spans="1:11">
      <c r="A251" s="1" t="str">
        <f>IF(Cus!$B251&lt;&gt;"",Cus!$A251,"")</f>
        <v/>
      </c>
      <c r="C251" s="16">
        <v>1</v>
      </c>
      <c r="D251" s="3" t="str">
        <f t="shared" si="18"/>
        <v/>
      </c>
      <c r="E251" s="3">
        <f>IF($C251=1,CommissionDD!$A$30,IF($C251=2,CommissionDD!$A$31,CommissionDD!$A$32))</f>
        <v>1500</v>
      </c>
      <c r="F251" s="3" t="str">
        <f t="shared" si="23"/>
        <v/>
      </c>
      <c r="G251" s="38" t="str">
        <f>IF($A251="","",(VLOOKUP($A251,Cus!$A$2:$AH$1001,23,FALSE)))</f>
        <v/>
      </c>
      <c r="H251" s="3" t="str">
        <f t="shared" si="19"/>
        <v/>
      </c>
      <c r="I251" s="56" t="str">
        <f t="shared" si="20"/>
        <v/>
      </c>
      <c r="J251" s="3" t="str">
        <f t="shared" si="21"/>
        <v/>
      </c>
      <c r="K251" s="7" t="str">
        <f t="shared" si="22"/>
        <v/>
      </c>
    </row>
    <row r="252" spans="1:11">
      <c r="A252" s="1" t="str">
        <f>IF(Cus!$B252&lt;&gt;"",Cus!$A252,"")</f>
        <v/>
      </c>
      <c r="C252" s="16">
        <v>1</v>
      </c>
      <c r="D252" s="3" t="str">
        <f t="shared" si="18"/>
        <v/>
      </c>
      <c r="E252" s="3">
        <f>IF($C252=1,CommissionDD!$A$30,IF($C252=2,CommissionDD!$A$31,CommissionDD!$A$32))</f>
        <v>1500</v>
      </c>
      <c r="F252" s="3" t="str">
        <f t="shared" si="23"/>
        <v/>
      </c>
      <c r="G252" s="38" t="str">
        <f>IF($A252="","",(VLOOKUP($A252,Cus!$A$2:$AH$1001,23,FALSE)))</f>
        <v/>
      </c>
      <c r="H252" s="3" t="str">
        <f t="shared" si="19"/>
        <v/>
      </c>
      <c r="I252" s="56" t="str">
        <f t="shared" si="20"/>
        <v/>
      </c>
      <c r="J252" s="3" t="str">
        <f t="shared" si="21"/>
        <v/>
      </c>
      <c r="K252" s="7" t="str">
        <f t="shared" si="22"/>
        <v/>
      </c>
    </row>
    <row r="253" spans="1:11">
      <c r="A253" s="1" t="str">
        <f>IF(Cus!$B253&lt;&gt;"",Cus!$A253,"")</f>
        <v/>
      </c>
      <c r="C253" s="16">
        <v>1</v>
      </c>
      <c r="D253" s="3" t="str">
        <f t="shared" si="18"/>
        <v/>
      </c>
      <c r="E253" s="3">
        <f>IF($C253=1,CommissionDD!$A$30,IF($C253=2,CommissionDD!$A$31,CommissionDD!$A$32))</f>
        <v>1500</v>
      </c>
      <c r="F253" s="3" t="str">
        <f t="shared" si="23"/>
        <v/>
      </c>
      <c r="G253" s="38" t="str">
        <f>IF($A253="","",(VLOOKUP($A253,Cus!$A$2:$AH$1001,23,FALSE)))</f>
        <v/>
      </c>
      <c r="H253" s="3" t="str">
        <f t="shared" si="19"/>
        <v/>
      </c>
      <c r="I253" s="56" t="str">
        <f t="shared" si="20"/>
        <v/>
      </c>
      <c r="J253" s="3" t="str">
        <f t="shared" si="21"/>
        <v/>
      </c>
      <c r="K253" s="7" t="str">
        <f t="shared" si="22"/>
        <v/>
      </c>
    </row>
    <row r="254" spans="1:11">
      <c r="A254" s="1" t="str">
        <f>IF(Cus!$B254&lt;&gt;"",Cus!$A254,"")</f>
        <v/>
      </c>
      <c r="C254" s="16">
        <v>1</v>
      </c>
      <c r="D254" s="3" t="str">
        <f t="shared" si="18"/>
        <v/>
      </c>
      <c r="E254" s="3">
        <f>IF($C254=1,CommissionDD!$A$30,IF($C254=2,CommissionDD!$A$31,CommissionDD!$A$32))</f>
        <v>1500</v>
      </c>
      <c r="F254" s="3" t="str">
        <f t="shared" si="23"/>
        <v/>
      </c>
      <c r="G254" s="38" t="str">
        <f>IF($A254="","",(VLOOKUP($A254,Cus!$A$2:$AH$1001,23,FALSE)))</f>
        <v/>
      </c>
      <c r="H254" s="3" t="str">
        <f t="shared" si="19"/>
        <v/>
      </c>
      <c r="I254" s="56" t="str">
        <f t="shared" si="20"/>
        <v/>
      </c>
      <c r="J254" s="3" t="str">
        <f t="shared" si="21"/>
        <v/>
      </c>
      <c r="K254" s="7" t="str">
        <f t="shared" si="22"/>
        <v/>
      </c>
    </row>
    <row r="255" spans="1:11">
      <c r="A255" s="1" t="str">
        <f>IF(Cus!$B255&lt;&gt;"",Cus!$A255,"")</f>
        <v/>
      </c>
      <c r="C255" s="16">
        <v>1</v>
      </c>
      <c r="D255" s="3" t="str">
        <f t="shared" si="18"/>
        <v/>
      </c>
      <c r="E255" s="3">
        <f>IF($C255=1,CommissionDD!$A$30,IF($C255=2,CommissionDD!$A$31,CommissionDD!$A$32))</f>
        <v>1500</v>
      </c>
      <c r="F255" s="3" t="str">
        <f t="shared" si="23"/>
        <v/>
      </c>
      <c r="G255" s="38" t="str">
        <f>IF($A255="","",(VLOOKUP($A255,Cus!$A$2:$AH$1001,23,FALSE)))</f>
        <v/>
      </c>
      <c r="H255" s="3" t="str">
        <f t="shared" si="19"/>
        <v/>
      </c>
      <c r="I255" s="56" t="str">
        <f t="shared" si="20"/>
        <v/>
      </c>
      <c r="J255" s="3" t="str">
        <f t="shared" si="21"/>
        <v/>
      </c>
      <c r="K255" s="7" t="str">
        <f t="shared" si="22"/>
        <v/>
      </c>
    </row>
    <row r="256" spans="1:11">
      <c r="A256" s="1" t="str">
        <f>IF(Cus!$B256&lt;&gt;"",Cus!$A256,"")</f>
        <v/>
      </c>
      <c r="C256" s="16">
        <v>1</v>
      </c>
      <c r="D256" s="3" t="str">
        <f t="shared" si="18"/>
        <v/>
      </c>
      <c r="E256" s="3">
        <f>IF($C256=1,CommissionDD!$A$30,IF($C256=2,CommissionDD!$A$31,CommissionDD!$A$32))</f>
        <v>1500</v>
      </c>
      <c r="F256" s="3" t="str">
        <f t="shared" si="23"/>
        <v/>
      </c>
      <c r="G256" s="38" t="str">
        <f>IF($A256="","",(VLOOKUP($A256,Cus!$A$2:$AH$1001,23,FALSE)))</f>
        <v/>
      </c>
      <c r="H256" s="3" t="str">
        <f t="shared" si="19"/>
        <v/>
      </c>
      <c r="I256" s="56" t="str">
        <f t="shared" si="20"/>
        <v/>
      </c>
      <c r="J256" s="3" t="str">
        <f t="shared" si="21"/>
        <v/>
      </c>
      <c r="K256" s="7" t="str">
        <f t="shared" si="22"/>
        <v/>
      </c>
    </row>
    <row r="257" spans="1:12">
      <c r="A257" s="1" t="str">
        <f>IF(Cus!$B257&lt;&gt;"",Cus!$A257,"")</f>
        <v/>
      </c>
      <c r="C257" s="16">
        <v>1</v>
      </c>
      <c r="D257" s="3" t="str">
        <f t="shared" si="18"/>
        <v/>
      </c>
      <c r="E257" s="3">
        <f>IF($C257=1,CommissionDD!$A$30,IF($C257=2,CommissionDD!$A$31,CommissionDD!$A$32))</f>
        <v>1500</v>
      </c>
      <c r="F257" s="3" t="str">
        <f t="shared" si="23"/>
        <v/>
      </c>
      <c r="G257" s="38" t="str">
        <f>IF($A257="","",(VLOOKUP($A257,Cus!$A$2:$AH$1001,23,FALSE)))</f>
        <v/>
      </c>
      <c r="H257" s="3" t="str">
        <f t="shared" si="19"/>
        <v/>
      </c>
      <c r="I257" s="56" t="str">
        <f t="shared" si="20"/>
        <v/>
      </c>
      <c r="J257" s="3" t="str">
        <f t="shared" si="21"/>
        <v/>
      </c>
      <c r="K257" s="7" t="str">
        <f t="shared" si="22"/>
        <v/>
      </c>
    </row>
    <row r="258" spans="1:12">
      <c r="A258" s="1" t="str">
        <f>IF(Cus!$B258&lt;&gt;"",Cus!$A258,"")</f>
        <v/>
      </c>
      <c r="C258" s="16">
        <v>1</v>
      </c>
      <c r="D258" s="3" t="str">
        <f t="shared" ref="D258:D321" si="24">IF($A258="","",1500)</f>
        <v/>
      </c>
      <c r="E258" s="3">
        <f>IF($C258=1,CommissionDD!$A$30,IF($C258=2,CommissionDD!$A$31,CommissionDD!$A$32))</f>
        <v>1500</v>
      </c>
      <c r="F258" s="3" t="str">
        <f t="shared" si="23"/>
        <v/>
      </c>
      <c r="G258" s="38" t="str">
        <f>IF($A258="","",(VLOOKUP($A258,Cus!$A$2:$AH$1001,23,FALSE)))</f>
        <v/>
      </c>
      <c r="H258" s="3" t="str">
        <f t="shared" ref="H258:H321" si="25">IF($A258="","",395)</f>
        <v/>
      </c>
      <c r="I258" s="56" t="str">
        <f t="shared" ref="I258:I321" si="26">IF($A258="","",60)</f>
        <v/>
      </c>
      <c r="J258" s="3" t="str">
        <f t="shared" ref="J258:J321" si="27">IF($A258="","",$H258*$I258)</f>
        <v/>
      </c>
      <c r="K258" s="7" t="str">
        <f t="shared" ref="K258:K321" si="28">IF($G258="","",(DATE(YEAR($G258),MONTH($G258)+$C258,MIN(DAY($G258)))))</f>
        <v/>
      </c>
    </row>
    <row r="259" spans="1:12">
      <c r="A259" s="1" t="str">
        <f>IF(Cus!$B259&lt;&gt;"",Cus!$A259,"")</f>
        <v>K0000258</v>
      </c>
      <c r="B259" s="58">
        <v>1531953</v>
      </c>
      <c r="C259" s="16">
        <v>2</v>
      </c>
      <c r="D259" s="3">
        <f t="shared" si="24"/>
        <v>1500</v>
      </c>
      <c r="E259" s="3">
        <f>IF($C259=1,CommissionDD!$A$30,IF($C259=2,CommissionDD!$A$31,CommissionDD!$A$32))</f>
        <v>750</v>
      </c>
      <c r="F259" s="3">
        <f t="shared" ref="F259:F322" si="29">IF($A259="","",$D259-$E259)</f>
        <v>750</v>
      </c>
      <c r="G259" s="38">
        <f>IF($A259="","",(VLOOKUP($A259,Cus!$A$2:$AH$1001,23,FALSE)))</f>
        <v>41644</v>
      </c>
      <c r="H259" s="3">
        <f t="shared" si="25"/>
        <v>395</v>
      </c>
      <c r="I259" s="56">
        <f t="shared" si="26"/>
        <v>60</v>
      </c>
      <c r="J259" s="3">
        <f t="shared" si="27"/>
        <v>23700</v>
      </c>
      <c r="K259" s="7">
        <f t="shared" si="28"/>
        <v>41703</v>
      </c>
      <c r="L259" s="58">
        <v>87167359</v>
      </c>
    </row>
    <row r="260" spans="1:12">
      <c r="A260" s="1" t="str">
        <f>IF(Cus!$B260&lt;&gt;"",Cus!$A260,"")</f>
        <v/>
      </c>
      <c r="C260" s="16">
        <v>1</v>
      </c>
      <c r="D260" s="3" t="str">
        <f t="shared" si="24"/>
        <v/>
      </c>
      <c r="E260" s="3">
        <f>IF($C260=1,CommissionDD!$A$30,IF($C260=2,CommissionDD!$A$31,CommissionDD!$A$32))</f>
        <v>1500</v>
      </c>
      <c r="F260" s="3" t="str">
        <f t="shared" si="29"/>
        <v/>
      </c>
      <c r="G260" s="38" t="str">
        <f>IF($A260="","",(VLOOKUP($A260,Cus!$A$2:$AH$1001,23,FALSE)))</f>
        <v/>
      </c>
      <c r="H260" s="3" t="str">
        <f t="shared" si="25"/>
        <v/>
      </c>
      <c r="I260" s="56" t="str">
        <f t="shared" si="26"/>
        <v/>
      </c>
      <c r="J260" s="3" t="str">
        <f t="shared" si="27"/>
        <v/>
      </c>
      <c r="K260" s="7" t="str">
        <f t="shared" si="28"/>
        <v/>
      </c>
    </row>
    <row r="261" spans="1:12">
      <c r="A261" s="1" t="str">
        <f>IF(Cus!$B261&lt;&gt;"",Cus!$A261,"")</f>
        <v/>
      </c>
      <c r="C261" s="16">
        <v>1</v>
      </c>
      <c r="D261" s="3" t="str">
        <f t="shared" si="24"/>
        <v/>
      </c>
      <c r="E261" s="3">
        <f>IF($C261=1,CommissionDD!$A$30,IF($C261=2,CommissionDD!$A$31,CommissionDD!$A$32))</f>
        <v>1500</v>
      </c>
      <c r="F261" s="3" t="str">
        <f t="shared" si="29"/>
        <v/>
      </c>
      <c r="G261" s="38" t="str">
        <f>IF($A261="","",(VLOOKUP($A261,Cus!$A$2:$AH$1001,23,FALSE)))</f>
        <v/>
      </c>
      <c r="H261" s="3" t="str">
        <f t="shared" si="25"/>
        <v/>
      </c>
      <c r="I261" s="56" t="str">
        <f t="shared" si="26"/>
        <v/>
      </c>
      <c r="J261" s="3" t="str">
        <f t="shared" si="27"/>
        <v/>
      </c>
      <c r="K261" s="7" t="str">
        <f t="shared" si="28"/>
        <v/>
      </c>
    </row>
    <row r="262" spans="1:12">
      <c r="A262" s="1" t="str">
        <f>IF(Cus!$B262&lt;&gt;"",Cus!$A262,"")</f>
        <v/>
      </c>
      <c r="C262" s="16">
        <v>1</v>
      </c>
      <c r="D262" s="3" t="str">
        <f t="shared" si="24"/>
        <v/>
      </c>
      <c r="E262" s="3">
        <f>IF($C262=1,CommissionDD!$A$30,IF($C262=2,CommissionDD!$A$31,CommissionDD!$A$32))</f>
        <v>1500</v>
      </c>
      <c r="F262" s="3" t="str">
        <f t="shared" si="29"/>
        <v/>
      </c>
      <c r="G262" s="38" t="str">
        <f>IF($A262="","",(VLOOKUP($A262,Cus!$A$2:$AH$1001,23,FALSE)))</f>
        <v/>
      </c>
      <c r="H262" s="3" t="str">
        <f t="shared" si="25"/>
        <v/>
      </c>
      <c r="I262" s="56" t="str">
        <f t="shared" si="26"/>
        <v/>
      </c>
      <c r="J262" s="3" t="str">
        <f t="shared" si="27"/>
        <v/>
      </c>
      <c r="K262" s="7" t="str">
        <f t="shared" si="28"/>
        <v/>
      </c>
    </row>
    <row r="263" spans="1:12">
      <c r="A263" s="1" t="str">
        <f>IF(Cus!$B263&lt;&gt;"",Cus!$A263,"")</f>
        <v>K0000262</v>
      </c>
      <c r="B263" s="31">
        <v>1531987</v>
      </c>
      <c r="C263" s="16">
        <v>1</v>
      </c>
      <c r="D263" s="3">
        <f t="shared" si="24"/>
        <v>1500</v>
      </c>
      <c r="E263" s="3">
        <f>IF($C263=1,CommissionDD!$A$30,IF($C263=2,CommissionDD!$A$31,CommissionDD!$A$32))</f>
        <v>1500</v>
      </c>
      <c r="F263" s="3">
        <f t="shared" si="29"/>
        <v>0</v>
      </c>
      <c r="G263" s="38">
        <f>IF($A263="","",(VLOOKUP($A263,Cus!$A$2:$AH$1001,23,FALSE)))</f>
        <v>41644</v>
      </c>
      <c r="H263" s="3">
        <f t="shared" si="25"/>
        <v>395</v>
      </c>
      <c r="I263" s="56">
        <f t="shared" si="26"/>
        <v>60</v>
      </c>
      <c r="J263" s="3">
        <f t="shared" si="27"/>
        <v>23700</v>
      </c>
      <c r="K263" s="7">
        <f t="shared" si="28"/>
        <v>41675</v>
      </c>
      <c r="L263" s="31">
        <v>85920218</v>
      </c>
    </row>
    <row r="264" spans="1:12">
      <c r="A264" s="1" t="str">
        <f>IF(Cus!$B264&lt;&gt;"",Cus!$A264,"")</f>
        <v/>
      </c>
      <c r="C264" s="16">
        <v>1</v>
      </c>
      <c r="D264" s="3" t="str">
        <f t="shared" si="24"/>
        <v/>
      </c>
      <c r="E264" s="3">
        <f>IF($C264=1,CommissionDD!$A$30,IF($C264=2,CommissionDD!$A$31,CommissionDD!$A$32))</f>
        <v>1500</v>
      </c>
      <c r="F264" s="3" t="str">
        <f t="shared" si="29"/>
        <v/>
      </c>
      <c r="G264" s="38" t="str">
        <f>IF($A264="","",(VLOOKUP($A264,Cus!$A$2:$AH$1001,23,FALSE)))</f>
        <v/>
      </c>
      <c r="H264" s="3" t="str">
        <f t="shared" si="25"/>
        <v/>
      </c>
      <c r="I264" s="56" t="str">
        <f t="shared" si="26"/>
        <v/>
      </c>
      <c r="J264" s="3" t="str">
        <f t="shared" si="27"/>
        <v/>
      </c>
      <c r="K264" s="7" t="str">
        <f t="shared" si="28"/>
        <v/>
      </c>
    </row>
    <row r="265" spans="1:12">
      <c r="A265" s="1" t="str">
        <f>IF(Cus!$B265&lt;&gt;"",Cus!$A265,"")</f>
        <v/>
      </c>
      <c r="C265" s="16">
        <v>1</v>
      </c>
      <c r="D265" s="3" t="str">
        <f t="shared" si="24"/>
        <v/>
      </c>
      <c r="E265" s="3">
        <f>IF($C265=1,CommissionDD!$A$30,IF($C265=2,CommissionDD!$A$31,CommissionDD!$A$32))</f>
        <v>1500</v>
      </c>
      <c r="F265" s="3" t="str">
        <f t="shared" si="29"/>
        <v/>
      </c>
      <c r="G265" s="38" t="str">
        <f>IF($A265="","",(VLOOKUP($A265,Cus!$A$2:$AH$1001,23,FALSE)))</f>
        <v/>
      </c>
      <c r="H265" s="3" t="str">
        <f t="shared" si="25"/>
        <v/>
      </c>
      <c r="I265" s="56" t="str">
        <f t="shared" si="26"/>
        <v/>
      </c>
      <c r="J265" s="3" t="str">
        <f t="shared" si="27"/>
        <v/>
      </c>
      <c r="K265" s="7" t="str">
        <f t="shared" si="28"/>
        <v/>
      </c>
    </row>
    <row r="266" spans="1:12">
      <c r="A266" s="1" t="str">
        <f>IF(Cus!$B266&lt;&gt;"",Cus!$A266,"")</f>
        <v/>
      </c>
      <c r="C266" s="16">
        <v>1</v>
      </c>
      <c r="D266" s="3" t="str">
        <f t="shared" si="24"/>
        <v/>
      </c>
      <c r="E266" s="3">
        <f>IF($C266=1,CommissionDD!$A$30,IF($C266=2,CommissionDD!$A$31,CommissionDD!$A$32))</f>
        <v>1500</v>
      </c>
      <c r="F266" s="3" t="str">
        <f t="shared" si="29"/>
        <v/>
      </c>
      <c r="G266" s="38" t="str">
        <f>IF($A266="","",(VLOOKUP($A266,Cus!$A$2:$AH$1001,23,FALSE)))</f>
        <v/>
      </c>
      <c r="H266" s="3" t="str">
        <f t="shared" si="25"/>
        <v/>
      </c>
      <c r="I266" s="56" t="str">
        <f t="shared" si="26"/>
        <v/>
      </c>
      <c r="J266" s="3" t="str">
        <f t="shared" si="27"/>
        <v/>
      </c>
      <c r="K266" s="7" t="str">
        <f t="shared" si="28"/>
        <v/>
      </c>
    </row>
    <row r="267" spans="1:12">
      <c r="A267" s="1" t="str">
        <f>IF(Cus!$B267&lt;&gt;"",Cus!$A267,"")</f>
        <v>K0000266</v>
      </c>
      <c r="C267" s="16">
        <v>1</v>
      </c>
      <c r="D267" s="3">
        <f t="shared" si="24"/>
        <v>1500</v>
      </c>
      <c r="E267" s="3">
        <f>IF($C267=1,CommissionDD!$A$30,IF($C267=2,CommissionDD!$A$31,CommissionDD!$A$32))</f>
        <v>1500</v>
      </c>
      <c r="F267" s="3">
        <f t="shared" si="29"/>
        <v>0</v>
      </c>
      <c r="G267" s="38">
        <f>IF($A267="","",(VLOOKUP($A267,Cus!$A$2:$AH$1001,23,FALSE)))</f>
        <v>41644</v>
      </c>
      <c r="H267" s="3">
        <f t="shared" si="25"/>
        <v>395</v>
      </c>
      <c r="I267" s="56">
        <f t="shared" si="26"/>
        <v>60</v>
      </c>
      <c r="J267" s="3">
        <f t="shared" si="27"/>
        <v>23700</v>
      </c>
      <c r="K267" s="7">
        <f t="shared" si="28"/>
        <v>41675</v>
      </c>
    </row>
    <row r="268" spans="1:12">
      <c r="A268" s="1" t="str">
        <f>IF(Cus!$B268&lt;&gt;"",Cus!$A268,"")</f>
        <v/>
      </c>
      <c r="C268" s="16">
        <v>1</v>
      </c>
      <c r="D268" s="3" t="str">
        <f t="shared" si="24"/>
        <v/>
      </c>
      <c r="E268" s="3">
        <f>IF($C268=1,CommissionDD!$A$30,IF($C268=2,CommissionDD!$A$31,CommissionDD!$A$32))</f>
        <v>1500</v>
      </c>
      <c r="F268" s="3" t="str">
        <f t="shared" si="29"/>
        <v/>
      </c>
      <c r="G268" s="38" t="str">
        <f>IF($A268="","",(VLOOKUP($A268,Cus!$A$2:$AH$1001,23,FALSE)))</f>
        <v/>
      </c>
      <c r="H268" s="3" t="str">
        <f t="shared" si="25"/>
        <v/>
      </c>
      <c r="I268" s="56" t="str">
        <f t="shared" si="26"/>
        <v/>
      </c>
      <c r="J268" s="3" t="str">
        <f t="shared" si="27"/>
        <v/>
      </c>
      <c r="K268" s="7" t="str">
        <f t="shared" si="28"/>
        <v/>
      </c>
    </row>
    <row r="269" spans="1:12">
      <c r="A269" s="1" t="str">
        <f>IF(Cus!$B269&lt;&gt;"",Cus!$A269,"")</f>
        <v/>
      </c>
      <c r="C269" s="16">
        <v>1</v>
      </c>
      <c r="D269" s="3" t="str">
        <f t="shared" si="24"/>
        <v/>
      </c>
      <c r="E269" s="3">
        <f>IF($C269=1,CommissionDD!$A$30,IF($C269=2,CommissionDD!$A$31,CommissionDD!$A$32))</f>
        <v>1500</v>
      </c>
      <c r="F269" s="3" t="str">
        <f t="shared" si="29"/>
        <v/>
      </c>
      <c r="G269" s="38" t="str">
        <f>IF($A269="","",(VLOOKUP($A269,Cus!$A$2:$AH$1001,23,FALSE)))</f>
        <v/>
      </c>
      <c r="H269" s="3" t="str">
        <f t="shared" si="25"/>
        <v/>
      </c>
      <c r="I269" s="56" t="str">
        <f t="shared" si="26"/>
        <v/>
      </c>
      <c r="J269" s="3" t="str">
        <f t="shared" si="27"/>
        <v/>
      </c>
      <c r="K269" s="7" t="str">
        <f t="shared" si="28"/>
        <v/>
      </c>
    </row>
    <row r="270" spans="1:12">
      <c r="A270" s="1" t="str">
        <f>IF(Cus!$B270&lt;&gt;"",Cus!$A270,"")</f>
        <v/>
      </c>
      <c r="C270" s="16">
        <v>1</v>
      </c>
      <c r="D270" s="3" t="str">
        <f t="shared" si="24"/>
        <v/>
      </c>
      <c r="E270" s="3">
        <f>IF($C270=1,CommissionDD!$A$30,IF($C270=2,CommissionDD!$A$31,CommissionDD!$A$32))</f>
        <v>1500</v>
      </c>
      <c r="F270" s="3" t="str">
        <f t="shared" si="29"/>
        <v/>
      </c>
      <c r="G270" s="38" t="str">
        <f>IF($A270="","",(VLOOKUP($A270,Cus!$A$2:$AH$1001,23,FALSE)))</f>
        <v/>
      </c>
      <c r="H270" s="3" t="str">
        <f t="shared" si="25"/>
        <v/>
      </c>
      <c r="I270" s="56" t="str">
        <f t="shared" si="26"/>
        <v/>
      </c>
      <c r="J270" s="3" t="str">
        <f t="shared" si="27"/>
        <v/>
      </c>
      <c r="K270" s="7" t="str">
        <f t="shared" si="28"/>
        <v/>
      </c>
    </row>
    <row r="271" spans="1:12">
      <c r="A271" s="1" t="str">
        <f>IF(Cus!$B271&lt;&gt;"",Cus!$A271,"")</f>
        <v/>
      </c>
      <c r="C271" s="16">
        <v>1</v>
      </c>
      <c r="D271" s="3" t="str">
        <f t="shared" si="24"/>
        <v/>
      </c>
      <c r="E271" s="3">
        <f>IF($C271=1,CommissionDD!$A$30,IF($C271=2,CommissionDD!$A$31,CommissionDD!$A$32))</f>
        <v>1500</v>
      </c>
      <c r="F271" s="3" t="str">
        <f t="shared" si="29"/>
        <v/>
      </c>
      <c r="G271" s="38" t="str">
        <f>IF($A271="","",(VLOOKUP($A271,Cus!$A$2:$AH$1001,23,FALSE)))</f>
        <v/>
      </c>
      <c r="H271" s="3" t="str">
        <f t="shared" si="25"/>
        <v/>
      </c>
      <c r="I271" s="56" t="str">
        <f t="shared" si="26"/>
        <v/>
      </c>
      <c r="J271" s="3" t="str">
        <f t="shared" si="27"/>
        <v/>
      </c>
      <c r="K271" s="7" t="str">
        <f t="shared" si="28"/>
        <v/>
      </c>
    </row>
    <row r="272" spans="1:12">
      <c r="A272" s="1" t="str">
        <f>IF(Cus!$B272&lt;&gt;"",Cus!$A272,"")</f>
        <v>K0000271</v>
      </c>
      <c r="B272" s="31">
        <v>1531987</v>
      </c>
      <c r="C272" s="16">
        <v>1</v>
      </c>
      <c r="D272" s="3">
        <f t="shared" si="24"/>
        <v>1500</v>
      </c>
      <c r="E272" s="3">
        <f>IF($C272=1,CommissionDD!$A$30,IF($C272=2,CommissionDD!$A$31,CommissionDD!$A$32))</f>
        <v>1500</v>
      </c>
      <c r="F272" s="3">
        <f t="shared" si="29"/>
        <v>0</v>
      </c>
      <c r="G272" s="38">
        <f>IF($A272="","",(VLOOKUP($A272,Cus!$A$2:$AH$1001,23,FALSE)))</f>
        <v>41670</v>
      </c>
      <c r="H272" s="3">
        <f t="shared" si="25"/>
        <v>395</v>
      </c>
      <c r="I272" s="56">
        <f t="shared" si="26"/>
        <v>60</v>
      </c>
      <c r="J272" s="3">
        <f t="shared" si="27"/>
        <v>23700</v>
      </c>
      <c r="K272" s="7">
        <f t="shared" si="28"/>
        <v>41701</v>
      </c>
      <c r="L272" s="31">
        <v>85920183</v>
      </c>
    </row>
    <row r="273" spans="1:12">
      <c r="A273" s="1" t="str">
        <f>IF(Cus!$B273&lt;&gt;"",Cus!$A273,"")</f>
        <v/>
      </c>
      <c r="C273" s="16">
        <v>1</v>
      </c>
      <c r="D273" s="3" t="str">
        <f t="shared" si="24"/>
        <v/>
      </c>
      <c r="E273" s="3">
        <f>IF($C273=1,CommissionDD!$A$30,IF($C273=2,CommissionDD!$A$31,CommissionDD!$A$32))</f>
        <v>1500</v>
      </c>
      <c r="F273" s="3" t="str">
        <f t="shared" si="29"/>
        <v/>
      </c>
      <c r="G273" s="38" t="str">
        <f>IF($A273="","",(VLOOKUP($A273,Cus!$A$2:$AH$1001,23,FALSE)))</f>
        <v/>
      </c>
      <c r="H273" s="3" t="str">
        <f t="shared" si="25"/>
        <v/>
      </c>
      <c r="I273" s="56" t="str">
        <f t="shared" si="26"/>
        <v/>
      </c>
      <c r="J273" s="3" t="str">
        <f t="shared" si="27"/>
        <v/>
      </c>
      <c r="K273" s="7" t="str">
        <f t="shared" si="28"/>
        <v/>
      </c>
    </row>
    <row r="274" spans="1:12">
      <c r="A274" s="1" t="str">
        <f>IF(Cus!$B274&lt;&gt;"",Cus!$A274,"")</f>
        <v/>
      </c>
      <c r="C274" s="16">
        <v>1</v>
      </c>
      <c r="D274" s="3" t="str">
        <f t="shared" si="24"/>
        <v/>
      </c>
      <c r="E274" s="3">
        <f>IF($C274=1,CommissionDD!$A$30,IF($C274=2,CommissionDD!$A$31,CommissionDD!$A$32))</f>
        <v>1500</v>
      </c>
      <c r="F274" s="3" t="str">
        <f t="shared" si="29"/>
        <v/>
      </c>
      <c r="G274" s="38" t="str">
        <f>IF($A274="","",(VLOOKUP($A274,Cus!$A$2:$AH$1001,23,FALSE)))</f>
        <v/>
      </c>
      <c r="H274" s="3" t="str">
        <f t="shared" si="25"/>
        <v/>
      </c>
      <c r="I274" s="56" t="str">
        <f t="shared" si="26"/>
        <v/>
      </c>
      <c r="J274" s="3" t="str">
        <f t="shared" si="27"/>
        <v/>
      </c>
      <c r="K274" s="7" t="str">
        <f t="shared" si="28"/>
        <v/>
      </c>
    </row>
    <row r="275" spans="1:12">
      <c r="A275" s="1" t="str">
        <f>IF(Cus!$B275&lt;&gt;"",Cus!$A275,"")</f>
        <v/>
      </c>
      <c r="C275" s="16">
        <v>1</v>
      </c>
      <c r="D275" s="3" t="str">
        <f t="shared" si="24"/>
        <v/>
      </c>
      <c r="E275" s="3">
        <f>IF($C275=1,CommissionDD!$A$30,IF($C275=2,CommissionDD!$A$31,CommissionDD!$A$32))</f>
        <v>1500</v>
      </c>
      <c r="F275" s="3" t="str">
        <f t="shared" si="29"/>
        <v/>
      </c>
      <c r="G275" s="38" t="str">
        <f>IF($A275="","",(VLOOKUP($A275,Cus!$A$2:$AH$1001,23,FALSE)))</f>
        <v/>
      </c>
      <c r="H275" s="3" t="str">
        <f t="shared" si="25"/>
        <v/>
      </c>
      <c r="I275" s="56" t="str">
        <f t="shared" si="26"/>
        <v/>
      </c>
      <c r="J275" s="3" t="str">
        <f t="shared" si="27"/>
        <v/>
      </c>
      <c r="K275" s="7" t="str">
        <f t="shared" si="28"/>
        <v/>
      </c>
    </row>
    <row r="276" spans="1:12">
      <c r="A276" s="1" t="str">
        <f>IF(Cus!$B276&lt;&gt;"",Cus!$A276,"")</f>
        <v/>
      </c>
      <c r="C276" s="16">
        <v>1</v>
      </c>
      <c r="D276" s="3" t="str">
        <f t="shared" si="24"/>
        <v/>
      </c>
      <c r="E276" s="3">
        <f>IF($C276=1,CommissionDD!$A$30,IF($C276=2,CommissionDD!$A$31,CommissionDD!$A$32))</f>
        <v>1500</v>
      </c>
      <c r="F276" s="3" t="str">
        <f t="shared" si="29"/>
        <v/>
      </c>
      <c r="G276" s="38" t="str">
        <f>IF($A276="","",(VLOOKUP($A276,Cus!$A$2:$AH$1001,23,FALSE)))</f>
        <v/>
      </c>
      <c r="H276" s="3" t="str">
        <f t="shared" si="25"/>
        <v/>
      </c>
      <c r="I276" s="56" t="str">
        <f t="shared" si="26"/>
        <v/>
      </c>
      <c r="J276" s="3" t="str">
        <f t="shared" si="27"/>
        <v/>
      </c>
      <c r="K276" s="7" t="str">
        <f t="shared" si="28"/>
        <v/>
      </c>
    </row>
    <row r="277" spans="1:12">
      <c r="A277" s="1" t="str">
        <f>IF(Cus!$B277&lt;&gt;"",Cus!$A277,"")</f>
        <v/>
      </c>
      <c r="C277" s="16">
        <v>1</v>
      </c>
      <c r="D277" s="3" t="str">
        <f t="shared" si="24"/>
        <v/>
      </c>
      <c r="E277" s="3">
        <f>IF($C277=1,CommissionDD!$A$30,IF($C277=2,CommissionDD!$A$31,CommissionDD!$A$32))</f>
        <v>1500</v>
      </c>
      <c r="F277" s="3" t="str">
        <f t="shared" si="29"/>
        <v/>
      </c>
      <c r="G277" s="38" t="str">
        <f>IF($A277="","",(VLOOKUP($A277,Cus!$A$2:$AH$1001,23,FALSE)))</f>
        <v/>
      </c>
      <c r="H277" s="3" t="str">
        <f t="shared" si="25"/>
        <v/>
      </c>
      <c r="I277" s="56" t="str">
        <f t="shared" si="26"/>
        <v/>
      </c>
      <c r="J277" s="3" t="str">
        <f t="shared" si="27"/>
        <v/>
      </c>
      <c r="K277" s="7" t="str">
        <f t="shared" si="28"/>
        <v/>
      </c>
    </row>
    <row r="278" spans="1:12">
      <c r="A278" s="1" t="str">
        <f>IF(Cus!$B278&lt;&gt;"",Cus!$A278,"")</f>
        <v/>
      </c>
      <c r="C278" s="16">
        <v>1</v>
      </c>
      <c r="D278" s="3" t="str">
        <f t="shared" si="24"/>
        <v/>
      </c>
      <c r="E278" s="3">
        <f>IF($C278=1,CommissionDD!$A$30,IF($C278=2,CommissionDD!$A$31,CommissionDD!$A$32))</f>
        <v>1500</v>
      </c>
      <c r="F278" s="3" t="str">
        <f t="shared" si="29"/>
        <v/>
      </c>
      <c r="G278" s="38" t="str">
        <f>IF($A278="","",(VLOOKUP($A278,Cus!$A$2:$AH$1001,23,FALSE)))</f>
        <v/>
      </c>
      <c r="H278" s="3" t="str">
        <f t="shared" si="25"/>
        <v/>
      </c>
      <c r="I278" s="56" t="str">
        <f t="shared" si="26"/>
        <v/>
      </c>
      <c r="J278" s="3" t="str">
        <f t="shared" si="27"/>
        <v/>
      </c>
      <c r="K278" s="7" t="str">
        <f t="shared" si="28"/>
        <v/>
      </c>
    </row>
    <row r="279" spans="1:12">
      <c r="A279" s="1" t="str">
        <f>IF(Cus!$B279&lt;&gt;"",Cus!$A279,"")</f>
        <v/>
      </c>
      <c r="C279" s="16">
        <v>1</v>
      </c>
      <c r="D279" s="3" t="str">
        <f t="shared" si="24"/>
        <v/>
      </c>
      <c r="E279" s="3">
        <f>IF($C279=1,CommissionDD!$A$30,IF($C279=2,CommissionDD!$A$31,CommissionDD!$A$32))</f>
        <v>1500</v>
      </c>
      <c r="F279" s="3" t="str">
        <f t="shared" si="29"/>
        <v/>
      </c>
      <c r="G279" s="38" t="str">
        <f>IF($A279="","",(VLOOKUP($A279,Cus!$A$2:$AH$1001,23,FALSE)))</f>
        <v/>
      </c>
      <c r="H279" s="3" t="str">
        <f t="shared" si="25"/>
        <v/>
      </c>
      <c r="I279" s="56" t="str">
        <f t="shared" si="26"/>
        <v/>
      </c>
      <c r="J279" s="3" t="str">
        <f t="shared" si="27"/>
        <v/>
      </c>
      <c r="K279" s="7" t="str">
        <f t="shared" si="28"/>
        <v/>
      </c>
    </row>
    <row r="280" spans="1:12">
      <c r="A280" s="1" t="str">
        <f>IF(Cus!$B280&lt;&gt;"",Cus!$A280,"")</f>
        <v/>
      </c>
      <c r="C280" s="16">
        <v>1</v>
      </c>
      <c r="D280" s="3" t="str">
        <f t="shared" si="24"/>
        <v/>
      </c>
      <c r="E280" s="3">
        <f>IF($C280=1,CommissionDD!$A$30,IF($C280=2,CommissionDD!$A$31,CommissionDD!$A$32))</f>
        <v>1500</v>
      </c>
      <c r="F280" s="3" t="str">
        <f t="shared" si="29"/>
        <v/>
      </c>
      <c r="G280" s="38" t="str">
        <f>IF($A280="","",(VLOOKUP($A280,Cus!$A$2:$AH$1001,23,FALSE)))</f>
        <v/>
      </c>
      <c r="H280" s="3" t="str">
        <f t="shared" si="25"/>
        <v/>
      </c>
      <c r="I280" s="56" t="str">
        <f t="shared" si="26"/>
        <v/>
      </c>
      <c r="J280" s="3" t="str">
        <f t="shared" si="27"/>
        <v/>
      </c>
      <c r="K280" s="7" t="str">
        <f t="shared" si="28"/>
        <v/>
      </c>
    </row>
    <row r="281" spans="1:12">
      <c r="A281" s="1" t="str">
        <f>IF(Cus!$B281&lt;&gt;"",Cus!$A281,"")</f>
        <v/>
      </c>
      <c r="C281" s="16">
        <v>1</v>
      </c>
      <c r="D281" s="3" t="str">
        <f t="shared" si="24"/>
        <v/>
      </c>
      <c r="E281" s="3">
        <f>IF($C281=1,CommissionDD!$A$30,IF($C281=2,CommissionDD!$A$31,CommissionDD!$A$32))</f>
        <v>1500</v>
      </c>
      <c r="F281" s="3" t="str">
        <f t="shared" si="29"/>
        <v/>
      </c>
      <c r="G281" s="38" t="str">
        <f>IF($A281="","",(VLOOKUP($A281,Cus!$A$2:$AH$1001,23,FALSE)))</f>
        <v/>
      </c>
      <c r="H281" s="3" t="str">
        <f t="shared" si="25"/>
        <v/>
      </c>
      <c r="I281" s="56" t="str">
        <f t="shared" si="26"/>
        <v/>
      </c>
      <c r="J281" s="3" t="str">
        <f t="shared" si="27"/>
        <v/>
      </c>
      <c r="K281" s="7" t="str">
        <f t="shared" si="28"/>
        <v/>
      </c>
    </row>
    <row r="282" spans="1:12">
      <c r="A282" s="1" t="str">
        <f>IF(Cus!$B282&lt;&gt;"",Cus!$A282,"")</f>
        <v/>
      </c>
      <c r="C282" s="16">
        <v>1</v>
      </c>
      <c r="D282" s="3" t="str">
        <f t="shared" si="24"/>
        <v/>
      </c>
      <c r="E282" s="3">
        <f>IF($C282=1,CommissionDD!$A$30,IF($C282=2,CommissionDD!$A$31,CommissionDD!$A$32))</f>
        <v>1500</v>
      </c>
      <c r="F282" s="3" t="str">
        <f t="shared" si="29"/>
        <v/>
      </c>
      <c r="G282" s="38" t="str">
        <f>IF($A282="","",(VLOOKUP($A282,Cus!$A$2:$AH$1001,23,FALSE)))</f>
        <v/>
      </c>
      <c r="H282" s="3" t="str">
        <f t="shared" si="25"/>
        <v/>
      </c>
      <c r="I282" s="56" t="str">
        <f t="shared" si="26"/>
        <v/>
      </c>
      <c r="J282" s="3" t="str">
        <f t="shared" si="27"/>
        <v/>
      </c>
      <c r="K282" s="7" t="str">
        <f t="shared" si="28"/>
        <v/>
      </c>
    </row>
    <row r="283" spans="1:12">
      <c r="A283" s="1" t="str">
        <f>IF(Cus!$B283&lt;&gt;"",Cus!$A283,"")</f>
        <v>K0000282</v>
      </c>
      <c r="B283" s="31">
        <v>1531953</v>
      </c>
      <c r="C283" s="16">
        <v>1</v>
      </c>
      <c r="D283" s="3">
        <f t="shared" si="24"/>
        <v>1500</v>
      </c>
      <c r="E283" s="3">
        <f>IF($C283=1,CommissionDD!$A$30,IF($C283=2,CommissionDD!$A$31,CommissionDD!$A$32))</f>
        <v>1500</v>
      </c>
      <c r="F283" s="3">
        <f t="shared" si="29"/>
        <v>0</v>
      </c>
      <c r="G283" s="38">
        <f>IF($A283="","",(VLOOKUP($A283,Cus!$A$2:$AH$1001,23,FALSE)))</f>
        <v>41646</v>
      </c>
      <c r="H283" s="3">
        <f t="shared" si="25"/>
        <v>395</v>
      </c>
      <c r="I283" s="56">
        <f t="shared" si="26"/>
        <v>60</v>
      </c>
      <c r="J283" s="3">
        <f t="shared" si="27"/>
        <v>23700</v>
      </c>
      <c r="K283" s="7">
        <f t="shared" si="28"/>
        <v>41677</v>
      </c>
      <c r="L283" s="31">
        <v>85726183</v>
      </c>
    </row>
    <row r="284" spans="1:12">
      <c r="A284" s="1" t="str">
        <f>IF(Cus!$B284&lt;&gt;"",Cus!$A284,"")</f>
        <v/>
      </c>
      <c r="C284" s="16">
        <v>1</v>
      </c>
      <c r="D284" s="3" t="str">
        <f t="shared" si="24"/>
        <v/>
      </c>
      <c r="E284" s="3">
        <f>IF($C284=1,CommissionDD!$A$30,IF($C284=2,CommissionDD!$A$31,CommissionDD!$A$32))</f>
        <v>1500</v>
      </c>
      <c r="F284" s="3" t="str">
        <f t="shared" si="29"/>
        <v/>
      </c>
      <c r="G284" s="38" t="str">
        <f>IF($A284="","",(VLOOKUP($A284,Cus!$A$2:$AH$1001,23,FALSE)))</f>
        <v/>
      </c>
      <c r="H284" s="3" t="str">
        <f t="shared" si="25"/>
        <v/>
      </c>
      <c r="I284" s="56" t="str">
        <f t="shared" si="26"/>
        <v/>
      </c>
      <c r="J284" s="3" t="str">
        <f t="shared" si="27"/>
        <v/>
      </c>
      <c r="K284" s="7" t="str">
        <f t="shared" si="28"/>
        <v/>
      </c>
    </row>
    <row r="285" spans="1:12">
      <c r="A285" s="1" t="str">
        <f>IF(Cus!$B285&lt;&gt;"",Cus!$A285,"")</f>
        <v/>
      </c>
      <c r="C285" s="16">
        <v>1</v>
      </c>
      <c r="D285" s="3" t="str">
        <f t="shared" si="24"/>
        <v/>
      </c>
      <c r="E285" s="3">
        <f>IF($C285=1,CommissionDD!$A$30,IF($C285=2,CommissionDD!$A$31,CommissionDD!$A$32))</f>
        <v>1500</v>
      </c>
      <c r="F285" s="3" t="str">
        <f t="shared" si="29"/>
        <v/>
      </c>
      <c r="G285" s="38" t="str">
        <f>IF($A285="","",(VLOOKUP($A285,Cus!$A$2:$AH$1001,23,FALSE)))</f>
        <v/>
      </c>
      <c r="H285" s="3" t="str">
        <f t="shared" si="25"/>
        <v/>
      </c>
      <c r="I285" s="56" t="str">
        <f t="shared" si="26"/>
        <v/>
      </c>
      <c r="J285" s="3" t="str">
        <f t="shared" si="27"/>
        <v/>
      </c>
      <c r="K285" s="7" t="str">
        <f t="shared" si="28"/>
        <v/>
      </c>
    </row>
    <row r="286" spans="1:12">
      <c r="A286" s="1" t="str">
        <f>IF(Cus!$B286&lt;&gt;"",Cus!$A286,"")</f>
        <v/>
      </c>
      <c r="C286" s="16">
        <v>1</v>
      </c>
      <c r="D286" s="3" t="str">
        <f t="shared" si="24"/>
        <v/>
      </c>
      <c r="E286" s="3">
        <f>IF($C286=1,CommissionDD!$A$30,IF($C286=2,CommissionDD!$A$31,CommissionDD!$A$32))</f>
        <v>1500</v>
      </c>
      <c r="F286" s="3" t="str">
        <f t="shared" si="29"/>
        <v/>
      </c>
      <c r="G286" s="38" t="str">
        <f>IF($A286="","",(VLOOKUP($A286,Cus!$A$2:$AH$1001,23,FALSE)))</f>
        <v/>
      </c>
      <c r="H286" s="3" t="str">
        <f t="shared" si="25"/>
        <v/>
      </c>
      <c r="I286" s="56" t="str">
        <f t="shared" si="26"/>
        <v/>
      </c>
      <c r="J286" s="3" t="str">
        <f t="shared" si="27"/>
        <v/>
      </c>
      <c r="K286" s="7" t="str">
        <f t="shared" si="28"/>
        <v/>
      </c>
    </row>
    <row r="287" spans="1:12">
      <c r="A287" s="1" t="str">
        <f>IF(Cus!$B287&lt;&gt;"",Cus!$A287,"")</f>
        <v/>
      </c>
      <c r="C287" s="16">
        <v>1</v>
      </c>
      <c r="D287" s="3" t="str">
        <f t="shared" si="24"/>
        <v/>
      </c>
      <c r="E287" s="3">
        <f>IF($C287=1,CommissionDD!$A$30,IF($C287=2,CommissionDD!$A$31,CommissionDD!$A$32))</f>
        <v>1500</v>
      </c>
      <c r="F287" s="3" t="str">
        <f t="shared" si="29"/>
        <v/>
      </c>
      <c r="G287" s="38" t="str">
        <f>IF($A287="","",(VLOOKUP($A287,Cus!$A$2:$AH$1001,23,FALSE)))</f>
        <v/>
      </c>
      <c r="H287" s="3" t="str">
        <f t="shared" si="25"/>
        <v/>
      </c>
      <c r="I287" s="56" t="str">
        <f t="shared" si="26"/>
        <v/>
      </c>
      <c r="J287" s="3" t="str">
        <f t="shared" si="27"/>
        <v/>
      </c>
      <c r="K287" s="7" t="str">
        <f t="shared" si="28"/>
        <v/>
      </c>
    </row>
    <row r="288" spans="1:12">
      <c r="A288" s="1" t="str">
        <f>IF(Cus!$B289&lt;&gt;"",Cus!$A289,"")</f>
        <v>K0000288</v>
      </c>
      <c r="B288" s="58">
        <v>1531953</v>
      </c>
      <c r="C288" s="16">
        <v>1</v>
      </c>
      <c r="D288" s="3">
        <f>IF($A288="","",1500)</f>
        <v>1500</v>
      </c>
      <c r="E288" s="3">
        <f>IF($C288=1,CommissionDD!$A$30,IF($C288=2,CommissionDD!$A$31,CommissionDD!$A$32))</f>
        <v>1500</v>
      </c>
      <c r="F288" s="3">
        <f>IF($A288="","",$D288-$E288)</f>
        <v>0</v>
      </c>
      <c r="G288" s="38">
        <f>IF($A288="","",(VLOOKUP($A288,Cus!$A$2:$AH$1001,23,FALSE)))</f>
        <v>41662</v>
      </c>
      <c r="H288" s="3">
        <f>IF($A288="","",395)</f>
        <v>395</v>
      </c>
      <c r="I288" s="56">
        <f>IF($A288="","",60)</f>
        <v>60</v>
      </c>
      <c r="J288" s="3">
        <f>IF($A288="","",$H288*$I288)</f>
        <v>23700</v>
      </c>
      <c r="K288" s="7">
        <f>IF($G288="","",(DATE(YEAR($G288),MONTH($G288)+$C288,MIN(DAY($G288)))))</f>
        <v>41693</v>
      </c>
      <c r="L288" s="58">
        <v>86587565</v>
      </c>
    </row>
    <row r="290" spans="1:12">
      <c r="A290" s="1" t="str">
        <f>IF(Cus!$B290&lt;&gt;"",Cus!$A290,"")</f>
        <v/>
      </c>
      <c r="C290" s="16">
        <v>1</v>
      </c>
      <c r="D290" s="3" t="str">
        <f t="shared" si="24"/>
        <v/>
      </c>
      <c r="E290" s="3">
        <f>IF($C290=1,CommissionDD!$A$30,IF($C290=2,CommissionDD!$A$31,CommissionDD!$A$32))</f>
        <v>1500</v>
      </c>
      <c r="F290" s="3" t="str">
        <f t="shared" si="29"/>
        <v/>
      </c>
      <c r="G290" s="38" t="str">
        <f>IF($A290="","",(VLOOKUP($A290,Cus!$A$2:$AH$1001,23,FALSE)))</f>
        <v/>
      </c>
      <c r="H290" s="3" t="str">
        <f t="shared" si="25"/>
        <v/>
      </c>
      <c r="I290" s="56" t="str">
        <f t="shared" si="26"/>
        <v/>
      </c>
      <c r="J290" s="3" t="str">
        <f t="shared" si="27"/>
        <v/>
      </c>
      <c r="K290" s="7" t="str">
        <f t="shared" si="28"/>
        <v/>
      </c>
    </row>
    <row r="291" spans="1:12">
      <c r="A291" s="1" t="str">
        <f>IF(Cus!$B292&lt;&gt;"",Cus!$A292,"")</f>
        <v>K0000291</v>
      </c>
      <c r="B291" s="58">
        <v>1531953</v>
      </c>
      <c r="C291" s="16">
        <v>1</v>
      </c>
      <c r="D291" s="3">
        <f>IF($A291="","",1500)</f>
        <v>1500</v>
      </c>
      <c r="E291" s="3">
        <f>IF($C291=1,CommissionDD!$A$30,IF($C291=2,CommissionDD!$A$31,CommissionDD!$A$32))</f>
        <v>1500</v>
      </c>
      <c r="F291" s="3">
        <f>IF($A291="","",$D291-$E291)</f>
        <v>0</v>
      </c>
      <c r="G291" s="38">
        <f>IF($A291="","",(VLOOKUP($A291,Cus!$A$2:$AH$1001,23,FALSE)))</f>
        <v>41623</v>
      </c>
      <c r="H291" s="3">
        <f>IF($A291="","",395)</f>
        <v>395</v>
      </c>
      <c r="I291" s="56">
        <f>IF($A291="","",60)</f>
        <v>60</v>
      </c>
      <c r="J291" s="3">
        <f>IF($A291="","",$H291*$I291)</f>
        <v>23700</v>
      </c>
      <c r="K291" s="7">
        <f>IF($G291="","",(DATE(YEAR($G291),MONTH($G291)+$C291,MIN(DAY($G291)))))</f>
        <v>41654</v>
      </c>
      <c r="L291" s="58">
        <v>86567991</v>
      </c>
    </row>
    <row r="293" spans="1:12">
      <c r="A293" s="1" t="str">
        <f>IF(Cus!$B293&lt;&gt;"",Cus!$A293,"")</f>
        <v/>
      </c>
      <c r="C293" s="16">
        <v>1</v>
      </c>
      <c r="D293" s="3" t="str">
        <f t="shared" si="24"/>
        <v/>
      </c>
      <c r="E293" s="3">
        <f>IF($C293=1,CommissionDD!$A$30,IF($C293=2,CommissionDD!$A$31,CommissionDD!$A$32))</f>
        <v>1500</v>
      </c>
      <c r="F293" s="3" t="str">
        <f t="shared" si="29"/>
        <v/>
      </c>
      <c r="G293" s="38" t="str">
        <f>IF($A293="","",(VLOOKUP($A293,Cus!$A$2:$AH$1001,23,FALSE)))</f>
        <v/>
      </c>
      <c r="H293" s="3" t="str">
        <f t="shared" si="25"/>
        <v/>
      </c>
      <c r="I293" s="56" t="str">
        <f t="shared" si="26"/>
        <v/>
      </c>
      <c r="J293" s="3" t="str">
        <f t="shared" si="27"/>
        <v/>
      </c>
      <c r="K293" s="7" t="str">
        <f t="shared" si="28"/>
        <v/>
      </c>
    </row>
    <row r="294" spans="1:12">
      <c r="A294" s="1" t="str">
        <f>IF(Cus!$B294&lt;&gt;"",Cus!$A294,"")</f>
        <v/>
      </c>
      <c r="C294" s="16">
        <v>1</v>
      </c>
      <c r="D294" s="3" t="str">
        <f t="shared" si="24"/>
        <v/>
      </c>
      <c r="E294" s="3">
        <f>IF($C294=1,CommissionDD!$A$30,IF($C294=2,CommissionDD!$A$31,CommissionDD!$A$32))</f>
        <v>1500</v>
      </c>
      <c r="F294" s="3" t="str">
        <f t="shared" si="29"/>
        <v/>
      </c>
      <c r="G294" s="38" t="str">
        <f>IF($A294="","",(VLOOKUP($A294,Cus!$A$2:$AH$1001,23,FALSE)))</f>
        <v/>
      </c>
      <c r="H294" s="3" t="str">
        <f t="shared" si="25"/>
        <v/>
      </c>
      <c r="I294" s="56" t="str">
        <f t="shared" si="26"/>
        <v/>
      </c>
      <c r="J294" s="3" t="str">
        <f t="shared" si="27"/>
        <v/>
      </c>
      <c r="K294" s="7" t="str">
        <f t="shared" si="28"/>
        <v/>
      </c>
    </row>
    <row r="295" spans="1:12">
      <c r="A295" s="1" t="str">
        <f>IF(Cus!$B295&lt;&gt;"",Cus!$A295,"")</f>
        <v/>
      </c>
      <c r="C295" s="16">
        <v>1</v>
      </c>
      <c r="D295" s="3" t="str">
        <f t="shared" si="24"/>
        <v/>
      </c>
      <c r="E295" s="3">
        <f>IF($C295=1,CommissionDD!$A$30,IF($C295=2,CommissionDD!$A$31,CommissionDD!$A$32))</f>
        <v>1500</v>
      </c>
      <c r="F295" s="3" t="str">
        <f t="shared" si="29"/>
        <v/>
      </c>
      <c r="G295" s="38" t="str">
        <f>IF($A295="","",(VLOOKUP($A295,Cus!$A$2:$AH$1001,23,FALSE)))</f>
        <v/>
      </c>
      <c r="H295" s="3" t="str">
        <f t="shared" si="25"/>
        <v/>
      </c>
      <c r="I295" s="56" t="str">
        <f t="shared" si="26"/>
        <v/>
      </c>
      <c r="J295" s="3" t="str">
        <f t="shared" si="27"/>
        <v/>
      </c>
      <c r="K295" s="7" t="str">
        <f t="shared" si="28"/>
        <v/>
      </c>
    </row>
    <row r="296" spans="1:12">
      <c r="A296" s="1" t="str">
        <f>IF(Cus!$B296&lt;&gt;"",Cus!$A296,"")</f>
        <v/>
      </c>
      <c r="C296" s="16">
        <v>1</v>
      </c>
      <c r="D296" s="3" t="str">
        <f t="shared" si="24"/>
        <v/>
      </c>
      <c r="E296" s="3">
        <f>IF($C296=1,CommissionDD!$A$30,IF($C296=2,CommissionDD!$A$31,CommissionDD!$A$32))</f>
        <v>1500</v>
      </c>
      <c r="F296" s="3" t="str">
        <f t="shared" si="29"/>
        <v/>
      </c>
      <c r="G296" s="38" t="str">
        <f>IF($A296="","",(VLOOKUP($A296,Cus!$A$2:$AH$1001,23,FALSE)))</f>
        <v/>
      </c>
      <c r="H296" s="3" t="str">
        <f t="shared" si="25"/>
        <v/>
      </c>
      <c r="I296" s="56" t="str">
        <f t="shared" si="26"/>
        <v/>
      </c>
      <c r="J296" s="3" t="str">
        <f t="shared" si="27"/>
        <v/>
      </c>
      <c r="K296" s="7" t="str">
        <f t="shared" si="28"/>
        <v/>
      </c>
    </row>
    <row r="297" spans="1:12">
      <c r="A297" s="1" t="str">
        <f>IF(Cus!$B297&lt;&gt;"",Cus!$A297,"")</f>
        <v/>
      </c>
      <c r="C297" s="16">
        <v>1</v>
      </c>
      <c r="D297" s="3" t="str">
        <f t="shared" si="24"/>
        <v/>
      </c>
      <c r="E297" s="3">
        <f>IF($C297=1,CommissionDD!$A$30,IF($C297=2,CommissionDD!$A$31,CommissionDD!$A$32))</f>
        <v>1500</v>
      </c>
      <c r="F297" s="3" t="str">
        <f t="shared" si="29"/>
        <v/>
      </c>
      <c r="G297" s="38" t="str">
        <f>IF($A297="","",(VLOOKUP($A297,Cus!$A$2:$AH$1001,23,FALSE)))</f>
        <v/>
      </c>
      <c r="H297" s="3" t="str">
        <f t="shared" si="25"/>
        <v/>
      </c>
      <c r="I297" s="56" t="str">
        <f t="shared" si="26"/>
        <v/>
      </c>
      <c r="J297" s="3" t="str">
        <f t="shared" si="27"/>
        <v/>
      </c>
      <c r="K297" s="7" t="str">
        <f t="shared" si="28"/>
        <v/>
      </c>
    </row>
    <row r="298" spans="1:12">
      <c r="A298" s="1" t="str">
        <f>IF(Cus!$B298&lt;&gt;"",Cus!$A298,"")</f>
        <v/>
      </c>
      <c r="C298" s="16">
        <v>1</v>
      </c>
      <c r="D298" s="3" t="str">
        <f t="shared" si="24"/>
        <v/>
      </c>
      <c r="E298" s="3">
        <f>IF($C298=1,CommissionDD!$A$30,IF($C298=2,CommissionDD!$A$31,CommissionDD!$A$32))</f>
        <v>1500</v>
      </c>
      <c r="F298" s="3" t="str">
        <f t="shared" si="29"/>
        <v/>
      </c>
      <c r="G298" s="38" t="str">
        <f>IF($A298="","",(VLOOKUP($A298,Cus!$A$2:$AH$1001,23,FALSE)))</f>
        <v/>
      </c>
      <c r="H298" s="3" t="str">
        <f t="shared" si="25"/>
        <v/>
      </c>
      <c r="I298" s="56" t="str">
        <f t="shared" si="26"/>
        <v/>
      </c>
      <c r="J298" s="3" t="str">
        <f t="shared" si="27"/>
        <v/>
      </c>
      <c r="K298" s="7" t="str">
        <f t="shared" si="28"/>
        <v/>
      </c>
    </row>
    <row r="299" spans="1:12">
      <c r="A299" s="1" t="str">
        <f>IF(Cus!$B299&lt;&gt;"",Cus!$A299,"")</f>
        <v/>
      </c>
      <c r="C299" s="16">
        <v>1</v>
      </c>
      <c r="D299" s="3" t="str">
        <f t="shared" si="24"/>
        <v/>
      </c>
      <c r="E299" s="3">
        <f>IF($C299=1,CommissionDD!$A$30,IF($C299=2,CommissionDD!$A$31,CommissionDD!$A$32))</f>
        <v>1500</v>
      </c>
      <c r="F299" s="3" t="str">
        <f t="shared" si="29"/>
        <v/>
      </c>
      <c r="G299" s="38" t="str">
        <f>IF($A299="","",(VLOOKUP($A299,Cus!$A$2:$AH$1001,23,FALSE)))</f>
        <v/>
      </c>
      <c r="H299" s="3" t="str">
        <f t="shared" si="25"/>
        <v/>
      </c>
      <c r="I299" s="56" t="str">
        <f t="shared" si="26"/>
        <v/>
      </c>
      <c r="J299" s="3" t="str">
        <f t="shared" si="27"/>
        <v/>
      </c>
      <c r="K299" s="7" t="str">
        <f t="shared" si="28"/>
        <v/>
      </c>
    </row>
    <row r="300" spans="1:12">
      <c r="A300" s="1" t="str">
        <f>IF(Cus!$B300&lt;&gt;"",Cus!$A300,"")</f>
        <v/>
      </c>
      <c r="C300" s="16">
        <v>1</v>
      </c>
      <c r="D300" s="3" t="str">
        <f t="shared" si="24"/>
        <v/>
      </c>
      <c r="E300" s="3">
        <f>IF($C300=1,CommissionDD!$A$30,IF($C300=2,CommissionDD!$A$31,CommissionDD!$A$32))</f>
        <v>1500</v>
      </c>
      <c r="F300" s="3" t="str">
        <f t="shared" si="29"/>
        <v/>
      </c>
      <c r="G300" s="38" t="str">
        <f>IF($A300="","",(VLOOKUP($A300,Cus!$A$2:$AH$1001,23,FALSE)))</f>
        <v/>
      </c>
      <c r="H300" s="3" t="str">
        <f t="shared" si="25"/>
        <v/>
      </c>
      <c r="I300" s="56" t="str">
        <f t="shared" si="26"/>
        <v/>
      </c>
      <c r="J300" s="3" t="str">
        <f t="shared" si="27"/>
        <v/>
      </c>
      <c r="K300" s="7" t="str">
        <f t="shared" si="28"/>
        <v/>
      </c>
    </row>
    <row r="301" spans="1:12">
      <c r="A301" s="1" t="str">
        <f>IF(Cus!$B301&lt;&gt;"",Cus!$A301,"")</f>
        <v/>
      </c>
      <c r="C301" s="16">
        <v>1</v>
      </c>
      <c r="D301" s="3" t="str">
        <f t="shared" si="24"/>
        <v/>
      </c>
      <c r="E301" s="3">
        <f>IF($C301=1,CommissionDD!$A$30,IF($C301=2,CommissionDD!$A$31,CommissionDD!$A$32))</f>
        <v>1500</v>
      </c>
      <c r="F301" s="3" t="str">
        <f t="shared" si="29"/>
        <v/>
      </c>
      <c r="G301" s="38" t="str">
        <f>IF($A301="","",(VLOOKUP($A301,Cus!$A$2:$AH$1001,23,FALSE)))</f>
        <v/>
      </c>
      <c r="H301" s="3" t="str">
        <f t="shared" si="25"/>
        <v/>
      </c>
      <c r="I301" s="56" t="str">
        <f t="shared" si="26"/>
        <v/>
      </c>
      <c r="J301" s="3" t="str">
        <f t="shared" si="27"/>
        <v/>
      </c>
      <c r="K301" s="7" t="str">
        <f t="shared" si="28"/>
        <v/>
      </c>
    </row>
    <row r="302" spans="1:12">
      <c r="A302" s="1" t="str">
        <f>IF(Cus!$B302&lt;&gt;"",Cus!$A302,"")</f>
        <v/>
      </c>
      <c r="C302" s="16">
        <v>1</v>
      </c>
      <c r="D302" s="3" t="str">
        <f t="shared" si="24"/>
        <v/>
      </c>
      <c r="E302" s="3">
        <f>IF($C302=1,CommissionDD!$A$30,IF($C302=2,CommissionDD!$A$31,CommissionDD!$A$32))</f>
        <v>1500</v>
      </c>
      <c r="F302" s="3" t="str">
        <f t="shared" si="29"/>
        <v/>
      </c>
      <c r="G302" s="38" t="str">
        <f>IF($A302="","",(VLOOKUP($A302,Cus!$A$2:$AH$1001,23,FALSE)))</f>
        <v/>
      </c>
      <c r="H302" s="3" t="str">
        <f t="shared" si="25"/>
        <v/>
      </c>
      <c r="I302" s="56" t="str">
        <f t="shared" si="26"/>
        <v/>
      </c>
      <c r="J302" s="3" t="str">
        <f t="shared" si="27"/>
        <v/>
      </c>
      <c r="K302" s="7" t="str">
        <f t="shared" si="28"/>
        <v/>
      </c>
    </row>
    <row r="303" spans="1:12">
      <c r="A303" s="1" t="str">
        <f>IF(Cus!$B303&lt;&gt;"",Cus!$A303,"")</f>
        <v/>
      </c>
      <c r="C303" s="16">
        <v>1</v>
      </c>
      <c r="D303" s="3" t="str">
        <f t="shared" si="24"/>
        <v/>
      </c>
      <c r="E303" s="3">
        <f>IF($C303=1,CommissionDD!$A$30,IF($C303=2,CommissionDD!$A$31,CommissionDD!$A$32))</f>
        <v>1500</v>
      </c>
      <c r="F303" s="3" t="str">
        <f t="shared" si="29"/>
        <v/>
      </c>
      <c r="G303" s="38" t="str">
        <f>IF($A303="","",(VLOOKUP($A303,Cus!$A$2:$AH$1001,23,FALSE)))</f>
        <v/>
      </c>
      <c r="H303" s="3" t="str">
        <f t="shared" si="25"/>
        <v/>
      </c>
      <c r="I303" s="56" t="str">
        <f t="shared" si="26"/>
        <v/>
      </c>
      <c r="J303" s="3" t="str">
        <f t="shared" si="27"/>
        <v/>
      </c>
      <c r="K303" s="7" t="str">
        <f t="shared" si="28"/>
        <v/>
      </c>
    </row>
    <row r="304" spans="1:12">
      <c r="A304" s="1" t="str">
        <f>IF(Cus!$B304&lt;&gt;"",Cus!$A304,"")</f>
        <v/>
      </c>
      <c r="C304" s="16">
        <v>1</v>
      </c>
      <c r="D304" s="3" t="str">
        <f t="shared" si="24"/>
        <v/>
      </c>
      <c r="E304" s="3">
        <f>IF($C304=1,CommissionDD!$A$30,IF($C304=2,CommissionDD!$A$31,CommissionDD!$A$32))</f>
        <v>1500</v>
      </c>
      <c r="F304" s="3" t="str">
        <f t="shared" si="29"/>
        <v/>
      </c>
      <c r="G304" s="38" t="str">
        <f>IF($A304="","",(VLOOKUP($A304,Cus!$A$2:$AH$1001,23,FALSE)))</f>
        <v/>
      </c>
      <c r="H304" s="3" t="str">
        <f t="shared" si="25"/>
        <v/>
      </c>
      <c r="I304" s="56" t="str">
        <f t="shared" si="26"/>
        <v/>
      </c>
      <c r="J304" s="3" t="str">
        <f t="shared" si="27"/>
        <v/>
      </c>
      <c r="K304" s="7" t="str">
        <f t="shared" si="28"/>
        <v/>
      </c>
    </row>
    <row r="305" spans="1:12">
      <c r="A305" s="1" t="str">
        <f>IF(Cus!$B305&lt;&gt;"",Cus!$A305,"")</f>
        <v/>
      </c>
      <c r="C305" s="16">
        <v>1</v>
      </c>
      <c r="D305" s="3" t="str">
        <f t="shared" si="24"/>
        <v/>
      </c>
      <c r="E305" s="3">
        <f>IF($C305=1,CommissionDD!$A$30,IF($C305=2,CommissionDD!$A$31,CommissionDD!$A$32))</f>
        <v>1500</v>
      </c>
      <c r="F305" s="3" t="str">
        <f t="shared" si="29"/>
        <v/>
      </c>
      <c r="G305" s="38" t="str">
        <f>IF($A305="","",(VLOOKUP($A305,Cus!$A$2:$AH$1001,23,FALSE)))</f>
        <v/>
      </c>
      <c r="H305" s="3" t="str">
        <f t="shared" si="25"/>
        <v/>
      </c>
      <c r="I305" s="56" t="str">
        <f t="shared" si="26"/>
        <v/>
      </c>
      <c r="J305" s="3" t="str">
        <f t="shared" si="27"/>
        <v/>
      </c>
      <c r="K305" s="7" t="str">
        <f t="shared" si="28"/>
        <v/>
      </c>
    </row>
    <row r="306" spans="1:12">
      <c r="A306" s="1" t="str">
        <f>IF(Cus!$B306&lt;&gt;"",Cus!$A306,"")</f>
        <v/>
      </c>
      <c r="C306" s="16">
        <v>1</v>
      </c>
      <c r="D306" s="3" t="str">
        <f t="shared" si="24"/>
        <v/>
      </c>
      <c r="E306" s="3">
        <f>IF($C306=1,CommissionDD!$A$30,IF($C306=2,CommissionDD!$A$31,CommissionDD!$A$32))</f>
        <v>1500</v>
      </c>
      <c r="F306" s="3" t="str">
        <f t="shared" si="29"/>
        <v/>
      </c>
      <c r="G306" s="38" t="str">
        <f>IF($A306="","",(VLOOKUP($A306,Cus!$A$2:$AH$1001,23,FALSE)))</f>
        <v/>
      </c>
      <c r="H306" s="3" t="str">
        <f t="shared" si="25"/>
        <v/>
      </c>
      <c r="I306" s="56" t="str">
        <f t="shared" si="26"/>
        <v/>
      </c>
      <c r="J306" s="3" t="str">
        <f t="shared" si="27"/>
        <v/>
      </c>
      <c r="K306" s="7" t="str">
        <f t="shared" si="28"/>
        <v/>
      </c>
    </row>
    <row r="307" spans="1:12">
      <c r="A307" s="1" t="str">
        <f>IF(Cus!$B307&lt;&gt;"",Cus!$A307,"")</f>
        <v/>
      </c>
      <c r="C307" s="16">
        <v>1</v>
      </c>
      <c r="D307" s="3" t="str">
        <f t="shared" si="24"/>
        <v/>
      </c>
      <c r="E307" s="3">
        <f>IF($C307=1,CommissionDD!$A$30,IF($C307=2,CommissionDD!$A$31,CommissionDD!$A$32))</f>
        <v>1500</v>
      </c>
      <c r="F307" s="3" t="str">
        <f t="shared" si="29"/>
        <v/>
      </c>
      <c r="G307" s="38" t="str">
        <f>IF($A307="","",(VLOOKUP($A307,Cus!$A$2:$AH$1001,23,FALSE)))</f>
        <v/>
      </c>
      <c r="H307" s="3" t="str">
        <f t="shared" si="25"/>
        <v/>
      </c>
      <c r="I307" s="56" t="str">
        <f t="shared" si="26"/>
        <v/>
      </c>
      <c r="J307" s="3" t="str">
        <f t="shared" si="27"/>
        <v/>
      </c>
      <c r="K307" s="7" t="str">
        <f t="shared" si="28"/>
        <v/>
      </c>
    </row>
    <row r="308" spans="1:12">
      <c r="A308" s="1" t="str">
        <f>IF(Cus!$B308&lt;&gt;"",Cus!$A308,"")</f>
        <v/>
      </c>
      <c r="C308" s="16">
        <v>1</v>
      </c>
      <c r="D308" s="3" t="str">
        <f t="shared" si="24"/>
        <v/>
      </c>
      <c r="E308" s="3">
        <f>IF($C308=1,CommissionDD!$A$30,IF($C308=2,CommissionDD!$A$31,CommissionDD!$A$32))</f>
        <v>1500</v>
      </c>
      <c r="F308" s="3" t="str">
        <f t="shared" si="29"/>
        <v/>
      </c>
      <c r="G308" s="38" t="str">
        <f>IF($A308="","",(VLOOKUP($A308,Cus!$A$2:$AH$1001,23,FALSE)))</f>
        <v/>
      </c>
      <c r="H308" s="3" t="str">
        <f t="shared" si="25"/>
        <v/>
      </c>
      <c r="I308" s="56" t="str">
        <f t="shared" si="26"/>
        <v/>
      </c>
      <c r="J308" s="3" t="str">
        <f t="shared" si="27"/>
        <v/>
      </c>
      <c r="K308" s="7" t="str">
        <f t="shared" si="28"/>
        <v/>
      </c>
    </row>
    <row r="309" spans="1:12">
      <c r="A309" s="1" t="str">
        <f>IF(Cus!$B309&lt;&gt;"",Cus!$A309,"")</f>
        <v/>
      </c>
      <c r="C309" s="16">
        <v>1</v>
      </c>
      <c r="D309" s="3" t="str">
        <f t="shared" si="24"/>
        <v/>
      </c>
      <c r="E309" s="3">
        <f>IF($C309=1,CommissionDD!$A$30,IF($C309=2,CommissionDD!$A$31,CommissionDD!$A$32))</f>
        <v>1500</v>
      </c>
      <c r="F309" s="3" t="str">
        <f t="shared" si="29"/>
        <v/>
      </c>
      <c r="G309" s="38" t="str">
        <f>IF($A309="","",(VLOOKUP($A309,Cus!$A$2:$AH$1001,23,FALSE)))</f>
        <v/>
      </c>
      <c r="H309" s="3" t="str">
        <f t="shared" si="25"/>
        <v/>
      </c>
      <c r="I309" s="56" t="str">
        <f t="shared" si="26"/>
        <v/>
      </c>
      <c r="J309" s="3" t="str">
        <f t="shared" si="27"/>
        <v/>
      </c>
      <c r="K309" s="7" t="str">
        <f t="shared" si="28"/>
        <v/>
      </c>
    </row>
    <row r="310" spans="1:12">
      <c r="A310" s="1" t="str">
        <f>IF(Cus!$B310&lt;&gt;"",Cus!$A310,"")</f>
        <v/>
      </c>
      <c r="C310" s="16">
        <v>1</v>
      </c>
      <c r="D310" s="3" t="str">
        <f t="shared" si="24"/>
        <v/>
      </c>
      <c r="E310" s="3">
        <f>IF($C310=1,CommissionDD!$A$30,IF($C310=2,CommissionDD!$A$31,CommissionDD!$A$32))</f>
        <v>1500</v>
      </c>
      <c r="F310" s="3" t="str">
        <f t="shared" si="29"/>
        <v/>
      </c>
      <c r="G310" s="38" t="str">
        <f>IF($A310="","",(VLOOKUP($A310,Cus!$A$2:$AH$1001,23,FALSE)))</f>
        <v/>
      </c>
      <c r="H310" s="3" t="str">
        <f t="shared" si="25"/>
        <v/>
      </c>
      <c r="I310" s="56" t="str">
        <f t="shared" si="26"/>
        <v/>
      </c>
      <c r="J310" s="3" t="str">
        <f t="shared" si="27"/>
        <v/>
      </c>
      <c r="K310" s="7" t="str">
        <f t="shared" si="28"/>
        <v/>
      </c>
    </row>
    <row r="311" spans="1:12">
      <c r="A311" s="1" t="str">
        <f>IF(Cus!$B311&lt;&gt;"",Cus!$A311,"")</f>
        <v/>
      </c>
      <c r="C311" s="16">
        <v>1</v>
      </c>
      <c r="D311" s="3" t="str">
        <f t="shared" si="24"/>
        <v/>
      </c>
      <c r="E311" s="3">
        <f>IF($C311=1,CommissionDD!$A$30,IF($C311=2,CommissionDD!$A$31,CommissionDD!$A$32))</f>
        <v>1500</v>
      </c>
      <c r="F311" s="3" t="str">
        <f t="shared" si="29"/>
        <v/>
      </c>
      <c r="G311" s="38" t="str">
        <f>IF($A311="","",(VLOOKUP($A311,Cus!$A$2:$AH$1001,23,FALSE)))</f>
        <v/>
      </c>
      <c r="H311" s="3" t="str">
        <f t="shared" si="25"/>
        <v/>
      </c>
      <c r="I311" s="56" t="str">
        <f t="shared" si="26"/>
        <v/>
      </c>
      <c r="J311" s="3" t="str">
        <f t="shared" si="27"/>
        <v/>
      </c>
      <c r="K311" s="7" t="str">
        <f t="shared" si="28"/>
        <v/>
      </c>
    </row>
    <row r="312" spans="1:12">
      <c r="A312" s="1" t="str">
        <f>IF(Cus!$B312&lt;&gt;"",Cus!$A312,"")</f>
        <v>K0000311</v>
      </c>
      <c r="B312" s="31">
        <v>1531987</v>
      </c>
      <c r="C312" s="16">
        <v>1</v>
      </c>
      <c r="D312" s="3">
        <f t="shared" si="24"/>
        <v>1500</v>
      </c>
      <c r="E312" s="3">
        <f>IF($C312=1,CommissionDD!$A$30,IF($C312=2,CommissionDD!$A$31,CommissionDD!$A$32))</f>
        <v>1500</v>
      </c>
      <c r="F312" s="3">
        <f t="shared" si="29"/>
        <v>0</v>
      </c>
      <c r="G312" s="38">
        <f>IF($A312="","",(VLOOKUP($A312,Cus!$A$2:$AH$1001,23,FALSE)))</f>
        <v>41698</v>
      </c>
      <c r="H312" s="3">
        <f t="shared" si="25"/>
        <v>395</v>
      </c>
      <c r="I312" s="56">
        <f t="shared" si="26"/>
        <v>60</v>
      </c>
      <c r="J312" s="3">
        <f t="shared" si="27"/>
        <v>23700</v>
      </c>
      <c r="K312" s="7">
        <f t="shared" si="28"/>
        <v>41726</v>
      </c>
      <c r="L312" s="31">
        <v>86152932</v>
      </c>
    </row>
    <row r="313" spans="1:12">
      <c r="A313" s="1" t="str">
        <f>IF(Cus!$B313&lt;&gt;"",Cus!$A313,"")</f>
        <v/>
      </c>
      <c r="C313" s="16">
        <v>1</v>
      </c>
      <c r="D313" s="3" t="str">
        <f t="shared" si="24"/>
        <v/>
      </c>
      <c r="E313" s="3">
        <f>IF($C313=1,CommissionDD!$A$30,IF($C313=2,CommissionDD!$A$31,CommissionDD!$A$32))</f>
        <v>1500</v>
      </c>
      <c r="F313" s="3" t="str">
        <f t="shared" si="29"/>
        <v/>
      </c>
      <c r="G313" s="38" t="str">
        <f>IF($A313="","",(VLOOKUP($A313,Cus!$A$2:$AH$1001,23,FALSE)))</f>
        <v/>
      </c>
      <c r="H313" s="3" t="str">
        <f t="shared" si="25"/>
        <v/>
      </c>
      <c r="I313" s="56" t="str">
        <f t="shared" si="26"/>
        <v/>
      </c>
      <c r="J313" s="3" t="str">
        <f t="shared" si="27"/>
        <v/>
      </c>
      <c r="K313" s="7" t="str">
        <f t="shared" si="28"/>
        <v/>
      </c>
    </row>
    <row r="314" spans="1:12">
      <c r="A314" s="1" t="str">
        <f>IF(Cus!$B314&lt;&gt;"",Cus!$A314,"")</f>
        <v/>
      </c>
      <c r="C314" s="16">
        <v>1</v>
      </c>
      <c r="D314" s="3" t="str">
        <f t="shared" si="24"/>
        <v/>
      </c>
      <c r="E314" s="3">
        <f>IF($C314=1,CommissionDD!$A$30,IF($C314=2,CommissionDD!$A$31,CommissionDD!$A$32))</f>
        <v>1500</v>
      </c>
      <c r="F314" s="3" t="str">
        <f t="shared" si="29"/>
        <v/>
      </c>
      <c r="G314" s="38" t="str">
        <f>IF($A314="","",(VLOOKUP($A314,Cus!$A$2:$AH$1001,23,FALSE)))</f>
        <v/>
      </c>
      <c r="H314" s="3" t="str">
        <f t="shared" si="25"/>
        <v/>
      </c>
      <c r="I314" s="56" t="str">
        <f t="shared" si="26"/>
        <v/>
      </c>
      <c r="J314" s="3" t="str">
        <f t="shared" si="27"/>
        <v/>
      </c>
      <c r="K314" s="7" t="str">
        <f t="shared" si="28"/>
        <v/>
      </c>
    </row>
    <row r="315" spans="1:12">
      <c r="A315" s="1" t="str">
        <f>IF(Cus!$B315&lt;&gt;"",Cus!$A315,"")</f>
        <v/>
      </c>
      <c r="C315" s="16">
        <v>1</v>
      </c>
      <c r="D315" s="3" t="str">
        <f t="shared" si="24"/>
        <v/>
      </c>
      <c r="E315" s="3">
        <f>IF($C315=1,CommissionDD!$A$30,IF($C315=2,CommissionDD!$A$31,CommissionDD!$A$32))</f>
        <v>1500</v>
      </c>
      <c r="F315" s="3" t="str">
        <f t="shared" si="29"/>
        <v/>
      </c>
      <c r="G315" s="38" t="str">
        <f>IF($A315="","",(VLOOKUP($A315,Cus!$A$2:$AH$1001,23,FALSE)))</f>
        <v/>
      </c>
      <c r="H315" s="3" t="str">
        <f t="shared" si="25"/>
        <v/>
      </c>
      <c r="I315" s="56" t="str">
        <f t="shared" si="26"/>
        <v/>
      </c>
      <c r="J315" s="3" t="str">
        <f t="shared" si="27"/>
        <v/>
      </c>
      <c r="K315" s="7" t="str">
        <f t="shared" si="28"/>
        <v/>
      </c>
    </row>
    <row r="316" spans="1:12">
      <c r="A316" s="1" t="str">
        <f>IF(Cus!$B316&lt;&gt;"",Cus!$A316,"")</f>
        <v/>
      </c>
      <c r="C316" s="16">
        <v>1</v>
      </c>
      <c r="D316" s="3" t="str">
        <f t="shared" si="24"/>
        <v/>
      </c>
      <c r="E316" s="3">
        <f>IF($C316=1,CommissionDD!$A$30,IF($C316=2,CommissionDD!$A$31,CommissionDD!$A$32))</f>
        <v>1500</v>
      </c>
      <c r="F316" s="3" t="str">
        <f t="shared" si="29"/>
        <v/>
      </c>
      <c r="G316" s="38" t="str">
        <f>IF($A316="","",(VLOOKUP($A316,Cus!$A$2:$AH$1001,23,FALSE)))</f>
        <v/>
      </c>
      <c r="H316" s="3" t="str">
        <f t="shared" si="25"/>
        <v/>
      </c>
      <c r="I316" s="56" t="str">
        <f t="shared" si="26"/>
        <v/>
      </c>
      <c r="J316" s="3" t="str">
        <f t="shared" si="27"/>
        <v/>
      </c>
      <c r="K316" s="7" t="str">
        <f t="shared" si="28"/>
        <v/>
      </c>
    </row>
    <row r="317" spans="1:12">
      <c r="A317" s="1" t="str">
        <f>IF(Cus!$B317&lt;&gt;"",Cus!$A317,"")</f>
        <v/>
      </c>
      <c r="C317" s="16">
        <v>1</v>
      </c>
      <c r="D317" s="3" t="str">
        <f t="shared" si="24"/>
        <v/>
      </c>
      <c r="E317" s="3">
        <f>IF($C317=1,CommissionDD!$A$30,IF($C317=2,CommissionDD!$A$31,CommissionDD!$A$32))</f>
        <v>1500</v>
      </c>
      <c r="F317" s="3" t="str">
        <f t="shared" si="29"/>
        <v/>
      </c>
      <c r="G317" s="38" t="str">
        <f>IF($A317="","",(VLOOKUP($A317,Cus!$A$2:$AH$1001,23,FALSE)))</f>
        <v/>
      </c>
      <c r="H317" s="3" t="str">
        <f t="shared" si="25"/>
        <v/>
      </c>
      <c r="I317" s="56" t="str">
        <f t="shared" si="26"/>
        <v/>
      </c>
      <c r="J317" s="3" t="str">
        <f t="shared" si="27"/>
        <v/>
      </c>
      <c r="K317" s="7" t="str">
        <f t="shared" si="28"/>
        <v/>
      </c>
    </row>
    <row r="318" spans="1:12">
      <c r="A318" s="1" t="str">
        <f>IF(Cus!$B318&lt;&gt;"",Cus!$A318,"")</f>
        <v>K0000317</v>
      </c>
      <c r="B318" s="31">
        <v>1531987</v>
      </c>
      <c r="C318" s="16">
        <v>1</v>
      </c>
      <c r="D318" s="3">
        <f t="shared" si="24"/>
        <v>1500</v>
      </c>
      <c r="E318" s="3">
        <f>IF($C318=1,CommissionDD!$A$30,IF($C318=2,CommissionDD!$A$31,CommissionDD!$A$32))</f>
        <v>1500</v>
      </c>
      <c r="F318" s="3">
        <f t="shared" si="29"/>
        <v>0</v>
      </c>
      <c r="G318" s="38">
        <f>IF($A318="","",(VLOOKUP($A318,Cus!$A$2:$AH$1001,23,FALSE)))</f>
        <v>41667</v>
      </c>
      <c r="H318" s="3">
        <f t="shared" si="25"/>
        <v>395</v>
      </c>
      <c r="I318" s="56">
        <f t="shared" si="26"/>
        <v>60</v>
      </c>
      <c r="J318" s="3">
        <f t="shared" si="27"/>
        <v>23700</v>
      </c>
      <c r="K318" s="7">
        <f t="shared" si="28"/>
        <v>41698</v>
      </c>
      <c r="L318" s="31">
        <v>85942318</v>
      </c>
    </row>
    <row r="319" spans="1:12">
      <c r="A319" s="1" t="str">
        <f>IF(Cus!$B319&lt;&gt;"",Cus!$A319,"")</f>
        <v/>
      </c>
      <c r="C319" s="16">
        <v>1</v>
      </c>
      <c r="D319" s="3" t="str">
        <f t="shared" si="24"/>
        <v/>
      </c>
      <c r="E319" s="3">
        <f>IF($C319=1,CommissionDD!$A$30,IF($C319=2,CommissionDD!$A$31,CommissionDD!$A$32))</f>
        <v>1500</v>
      </c>
      <c r="F319" s="3" t="str">
        <f t="shared" si="29"/>
        <v/>
      </c>
      <c r="G319" s="38" t="str">
        <f>IF($A319="","",(VLOOKUP($A319,Cus!$A$2:$AH$1001,23,FALSE)))</f>
        <v/>
      </c>
      <c r="H319" s="3" t="str">
        <f t="shared" si="25"/>
        <v/>
      </c>
      <c r="I319" s="56" t="str">
        <f t="shared" si="26"/>
        <v/>
      </c>
      <c r="J319" s="3" t="str">
        <f t="shared" si="27"/>
        <v/>
      </c>
      <c r="K319" s="7" t="str">
        <f t="shared" si="28"/>
        <v/>
      </c>
    </row>
    <row r="320" spans="1:12">
      <c r="A320" s="1" t="str">
        <f>IF(Cus!$B320&lt;&gt;"",Cus!$A320,"")</f>
        <v/>
      </c>
      <c r="C320" s="16">
        <v>1</v>
      </c>
      <c r="D320" s="3" t="str">
        <f t="shared" si="24"/>
        <v/>
      </c>
      <c r="E320" s="3">
        <f>IF($C320=1,CommissionDD!$A$30,IF($C320=2,CommissionDD!$A$31,CommissionDD!$A$32))</f>
        <v>1500</v>
      </c>
      <c r="F320" s="3" t="str">
        <f t="shared" si="29"/>
        <v/>
      </c>
      <c r="G320" s="38" t="str">
        <f>IF($A320="","",(VLOOKUP($A320,Cus!$A$2:$AH$1001,23,FALSE)))</f>
        <v/>
      </c>
      <c r="H320" s="3" t="str">
        <f t="shared" si="25"/>
        <v/>
      </c>
      <c r="I320" s="56" t="str">
        <f t="shared" si="26"/>
        <v/>
      </c>
      <c r="J320" s="3" t="str">
        <f t="shared" si="27"/>
        <v/>
      </c>
      <c r="K320" s="7" t="str">
        <f t="shared" si="28"/>
        <v/>
      </c>
    </row>
    <row r="321" spans="1:11">
      <c r="A321" s="1" t="str">
        <f>IF(Cus!$B321&lt;&gt;"",Cus!$A321,"")</f>
        <v/>
      </c>
      <c r="C321" s="16">
        <v>1</v>
      </c>
      <c r="D321" s="3" t="str">
        <f t="shared" si="24"/>
        <v/>
      </c>
      <c r="E321" s="3">
        <f>IF($C321=1,CommissionDD!$A$30,IF($C321=2,CommissionDD!$A$31,CommissionDD!$A$32))</f>
        <v>1500</v>
      </c>
      <c r="F321" s="3" t="str">
        <f t="shared" si="29"/>
        <v/>
      </c>
      <c r="G321" s="38" t="str">
        <f>IF($A321="","",(VLOOKUP($A321,Cus!$A$2:$AH$1001,23,FALSE)))</f>
        <v/>
      </c>
      <c r="H321" s="3" t="str">
        <f t="shared" si="25"/>
        <v/>
      </c>
      <c r="I321" s="56" t="str">
        <f t="shared" si="26"/>
        <v/>
      </c>
      <c r="J321" s="3" t="str">
        <f t="shared" si="27"/>
        <v/>
      </c>
      <c r="K321" s="7" t="str">
        <f t="shared" si="28"/>
        <v/>
      </c>
    </row>
    <row r="322" spans="1:11">
      <c r="A322" s="1" t="str">
        <f>IF(Cus!$B322&lt;&gt;"",Cus!$A322,"")</f>
        <v/>
      </c>
      <c r="C322" s="16">
        <v>1</v>
      </c>
      <c r="D322" s="3" t="str">
        <f t="shared" ref="D322:D385" si="30">IF($A322="","",1500)</f>
        <v/>
      </c>
      <c r="E322" s="3">
        <f>IF($C322=1,CommissionDD!$A$30,IF($C322=2,CommissionDD!$A$31,CommissionDD!$A$32))</f>
        <v>1500</v>
      </c>
      <c r="F322" s="3" t="str">
        <f t="shared" si="29"/>
        <v/>
      </c>
      <c r="G322" s="38" t="str">
        <f>IF($A322="","",(VLOOKUP($A322,Cus!$A$2:$AH$1001,23,FALSE)))</f>
        <v/>
      </c>
      <c r="H322" s="3" t="str">
        <f t="shared" ref="H322:H385" si="31">IF($A322="","",395)</f>
        <v/>
      </c>
      <c r="I322" s="56" t="str">
        <f t="shared" ref="I322:I385" si="32">IF($A322="","",60)</f>
        <v/>
      </c>
      <c r="J322" s="3" t="str">
        <f t="shared" ref="J322:J385" si="33">IF($A322="","",$H322*$I322)</f>
        <v/>
      </c>
      <c r="K322" s="7" t="str">
        <f t="shared" ref="K322:K385" si="34">IF($G322="","",(DATE(YEAR($G322),MONTH($G322)+$C322,MIN(DAY($G322)))))</f>
        <v/>
      </c>
    </row>
    <row r="323" spans="1:11">
      <c r="A323" s="1" t="str">
        <f>IF(Cus!$B323&lt;&gt;"",Cus!$A323,"")</f>
        <v/>
      </c>
      <c r="C323" s="16">
        <v>1</v>
      </c>
      <c r="D323" s="3" t="str">
        <f t="shared" si="30"/>
        <v/>
      </c>
      <c r="E323" s="3">
        <f>IF($C323=1,CommissionDD!$A$30,IF($C323=2,CommissionDD!$A$31,CommissionDD!$A$32))</f>
        <v>1500</v>
      </c>
      <c r="F323" s="3" t="str">
        <f t="shared" ref="F323:F386" si="35">IF($A323="","",$D323-$E323)</f>
        <v/>
      </c>
      <c r="G323" s="38" t="str">
        <f>IF($A323="","",(VLOOKUP($A323,Cus!$A$2:$AH$1001,23,FALSE)))</f>
        <v/>
      </c>
      <c r="H323" s="3" t="str">
        <f t="shared" si="31"/>
        <v/>
      </c>
      <c r="I323" s="56" t="str">
        <f t="shared" si="32"/>
        <v/>
      </c>
      <c r="J323" s="3" t="str">
        <f t="shared" si="33"/>
        <v/>
      </c>
      <c r="K323" s="7" t="str">
        <f t="shared" si="34"/>
        <v/>
      </c>
    </row>
    <row r="324" spans="1:11">
      <c r="A324" s="1" t="str">
        <f>IF(Cus!$B324&lt;&gt;"",Cus!$A324,"")</f>
        <v/>
      </c>
      <c r="C324" s="16">
        <v>1</v>
      </c>
      <c r="D324" s="3" t="str">
        <f t="shared" si="30"/>
        <v/>
      </c>
      <c r="E324" s="3">
        <f>IF($C324=1,CommissionDD!$A$30,IF($C324=2,CommissionDD!$A$31,CommissionDD!$A$32))</f>
        <v>1500</v>
      </c>
      <c r="F324" s="3" t="str">
        <f t="shared" si="35"/>
        <v/>
      </c>
      <c r="G324" s="38" t="str">
        <f>IF($A324="","",(VLOOKUP($A324,Cus!$A$2:$AH$1001,23,FALSE)))</f>
        <v/>
      </c>
      <c r="H324" s="3" t="str">
        <f t="shared" si="31"/>
        <v/>
      </c>
      <c r="I324" s="56" t="str">
        <f t="shared" si="32"/>
        <v/>
      </c>
      <c r="J324" s="3" t="str">
        <f t="shared" si="33"/>
        <v/>
      </c>
      <c r="K324" s="7" t="str">
        <f t="shared" si="34"/>
        <v/>
      </c>
    </row>
    <row r="325" spans="1:11">
      <c r="A325" s="1" t="str">
        <f>IF(Cus!$B325&lt;&gt;"",Cus!$A325,"")</f>
        <v/>
      </c>
      <c r="C325" s="16">
        <v>1</v>
      </c>
      <c r="D325" s="3" t="str">
        <f t="shared" si="30"/>
        <v/>
      </c>
      <c r="E325" s="3">
        <f>IF($C325=1,CommissionDD!$A$30,IF($C325=2,CommissionDD!$A$31,CommissionDD!$A$32))</f>
        <v>1500</v>
      </c>
      <c r="F325" s="3" t="str">
        <f t="shared" si="35"/>
        <v/>
      </c>
      <c r="G325" s="38" t="str">
        <f>IF($A325="","",(VLOOKUP($A325,Cus!$A$2:$AH$1001,23,FALSE)))</f>
        <v/>
      </c>
      <c r="H325" s="3" t="str">
        <f t="shared" si="31"/>
        <v/>
      </c>
      <c r="I325" s="56" t="str">
        <f t="shared" si="32"/>
        <v/>
      </c>
      <c r="J325" s="3" t="str">
        <f t="shared" si="33"/>
        <v/>
      </c>
      <c r="K325" s="7" t="str">
        <f t="shared" si="34"/>
        <v/>
      </c>
    </row>
    <row r="326" spans="1:11">
      <c r="A326" s="1" t="str">
        <f>IF(Cus!$B326&lt;&gt;"",Cus!$A326,"")</f>
        <v/>
      </c>
      <c r="C326" s="16">
        <v>1</v>
      </c>
      <c r="D326" s="3" t="str">
        <f t="shared" si="30"/>
        <v/>
      </c>
      <c r="E326" s="3">
        <f>IF($C326=1,CommissionDD!$A$30,IF($C326=2,CommissionDD!$A$31,CommissionDD!$A$32))</f>
        <v>1500</v>
      </c>
      <c r="F326" s="3" t="str">
        <f t="shared" si="35"/>
        <v/>
      </c>
      <c r="G326" s="38" t="str">
        <f>IF($A326="","",(VLOOKUP($A326,Cus!$A$2:$AH$1001,23,FALSE)))</f>
        <v/>
      </c>
      <c r="H326" s="3" t="str">
        <f t="shared" si="31"/>
        <v/>
      </c>
      <c r="I326" s="56" t="str">
        <f t="shared" si="32"/>
        <v/>
      </c>
      <c r="J326" s="3" t="str">
        <f t="shared" si="33"/>
        <v/>
      </c>
      <c r="K326" s="7" t="str">
        <f t="shared" si="34"/>
        <v/>
      </c>
    </row>
    <row r="327" spans="1:11">
      <c r="A327" s="1" t="str">
        <f>IF(Cus!$B327&lt;&gt;"",Cus!$A327,"")</f>
        <v/>
      </c>
      <c r="C327" s="16">
        <v>1</v>
      </c>
      <c r="D327" s="3" t="str">
        <f t="shared" si="30"/>
        <v/>
      </c>
      <c r="E327" s="3">
        <f>IF($C327=1,CommissionDD!$A$30,IF($C327=2,CommissionDD!$A$31,CommissionDD!$A$32))</f>
        <v>1500</v>
      </c>
      <c r="F327" s="3" t="str">
        <f t="shared" si="35"/>
        <v/>
      </c>
      <c r="G327" s="38" t="str">
        <f>IF($A327="","",(VLOOKUP($A327,Cus!$A$2:$AH$1001,23,FALSE)))</f>
        <v/>
      </c>
      <c r="H327" s="3" t="str">
        <f t="shared" si="31"/>
        <v/>
      </c>
      <c r="I327" s="56" t="str">
        <f t="shared" si="32"/>
        <v/>
      </c>
      <c r="J327" s="3" t="str">
        <f t="shared" si="33"/>
        <v/>
      </c>
      <c r="K327" s="7" t="str">
        <f t="shared" si="34"/>
        <v/>
      </c>
    </row>
    <row r="328" spans="1:11">
      <c r="A328" s="1" t="str">
        <f>IF(Cus!$B328&lt;&gt;"",Cus!$A328,"")</f>
        <v/>
      </c>
      <c r="C328" s="16">
        <v>1</v>
      </c>
      <c r="D328" s="3" t="str">
        <f t="shared" si="30"/>
        <v/>
      </c>
      <c r="E328" s="3">
        <f>IF($C328=1,CommissionDD!$A$30,IF($C328=2,CommissionDD!$A$31,CommissionDD!$A$32))</f>
        <v>1500</v>
      </c>
      <c r="F328" s="3" t="str">
        <f t="shared" si="35"/>
        <v/>
      </c>
      <c r="G328" s="38" t="str">
        <f>IF($A328="","",(VLOOKUP($A328,Cus!$A$2:$AH$1001,23,FALSE)))</f>
        <v/>
      </c>
      <c r="H328" s="3" t="str">
        <f t="shared" si="31"/>
        <v/>
      </c>
      <c r="I328" s="56" t="str">
        <f t="shared" si="32"/>
        <v/>
      </c>
      <c r="J328" s="3" t="str">
        <f t="shared" si="33"/>
        <v/>
      </c>
      <c r="K328" s="7" t="str">
        <f t="shared" si="34"/>
        <v/>
      </c>
    </row>
    <row r="329" spans="1:11">
      <c r="A329" s="1" t="str">
        <f>IF(Cus!$B329&lt;&gt;"",Cus!$A329,"")</f>
        <v/>
      </c>
      <c r="C329" s="16">
        <v>1</v>
      </c>
      <c r="D329" s="3" t="str">
        <f t="shared" si="30"/>
        <v/>
      </c>
      <c r="E329" s="3">
        <f>IF($C329=1,CommissionDD!$A$30,IF($C329=2,CommissionDD!$A$31,CommissionDD!$A$32))</f>
        <v>1500</v>
      </c>
      <c r="F329" s="3" t="str">
        <f t="shared" si="35"/>
        <v/>
      </c>
      <c r="G329" s="38" t="str">
        <f>IF($A329="","",(VLOOKUP($A329,Cus!$A$2:$AH$1001,23,FALSE)))</f>
        <v/>
      </c>
      <c r="H329" s="3" t="str">
        <f t="shared" si="31"/>
        <v/>
      </c>
      <c r="I329" s="56" t="str">
        <f t="shared" si="32"/>
        <v/>
      </c>
      <c r="J329" s="3" t="str">
        <f t="shared" si="33"/>
        <v/>
      </c>
      <c r="K329" s="7" t="str">
        <f t="shared" si="34"/>
        <v/>
      </c>
    </row>
    <row r="330" spans="1:11">
      <c r="A330" s="1" t="str">
        <f>IF(Cus!$B330&lt;&gt;"",Cus!$A330,"")</f>
        <v/>
      </c>
      <c r="C330" s="16">
        <v>1</v>
      </c>
      <c r="D330" s="3" t="str">
        <f t="shared" si="30"/>
        <v/>
      </c>
      <c r="E330" s="3">
        <f>IF($C330=1,CommissionDD!$A$30,IF($C330=2,CommissionDD!$A$31,CommissionDD!$A$32))</f>
        <v>1500</v>
      </c>
      <c r="F330" s="3" t="str">
        <f t="shared" si="35"/>
        <v/>
      </c>
      <c r="G330" s="38" t="str">
        <f>IF($A330="","",(VLOOKUP($A330,Cus!$A$2:$AH$1001,23,FALSE)))</f>
        <v/>
      </c>
      <c r="H330" s="3" t="str">
        <f t="shared" si="31"/>
        <v/>
      </c>
      <c r="I330" s="56" t="str">
        <f t="shared" si="32"/>
        <v/>
      </c>
      <c r="J330" s="3" t="str">
        <f t="shared" si="33"/>
        <v/>
      </c>
      <c r="K330" s="7" t="str">
        <f t="shared" si="34"/>
        <v/>
      </c>
    </row>
    <row r="331" spans="1:11">
      <c r="A331" s="1" t="str">
        <f>IF(Cus!$B331&lt;&gt;"",Cus!$A331,"")</f>
        <v/>
      </c>
      <c r="C331" s="16">
        <v>1</v>
      </c>
      <c r="D331" s="3" t="str">
        <f t="shared" si="30"/>
        <v/>
      </c>
      <c r="E331" s="3">
        <f>IF($C331=1,CommissionDD!$A$30,IF($C331=2,CommissionDD!$A$31,CommissionDD!$A$32))</f>
        <v>1500</v>
      </c>
      <c r="F331" s="3" t="str">
        <f t="shared" si="35"/>
        <v/>
      </c>
      <c r="G331" s="38" t="str">
        <f>IF($A331="","",(VLOOKUP($A331,Cus!$A$2:$AH$1001,23,FALSE)))</f>
        <v/>
      </c>
      <c r="H331" s="3" t="str">
        <f t="shared" si="31"/>
        <v/>
      </c>
      <c r="I331" s="56" t="str">
        <f t="shared" si="32"/>
        <v/>
      </c>
      <c r="J331" s="3" t="str">
        <f t="shared" si="33"/>
        <v/>
      </c>
      <c r="K331" s="7" t="str">
        <f t="shared" si="34"/>
        <v/>
      </c>
    </row>
    <row r="332" spans="1:11">
      <c r="A332" s="1" t="str">
        <f>IF(Cus!$B332&lt;&gt;"",Cus!$A332,"")</f>
        <v/>
      </c>
      <c r="C332" s="16">
        <v>1</v>
      </c>
      <c r="D332" s="3" t="str">
        <f t="shared" si="30"/>
        <v/>
      </c>
      <c r="E332" s="3">
        <f>IF($C332=1,CommissionDD!$A$30,IF($C332=2,CommissionDD!$A$31,CommissionDD!$A$32))</f>
        <v>1500</v>
      </c>
      <c r="F332" s="3" t="str">
        <f t="shared" si="35"/>
        <v/>
      </c>
      <c r="G332" s="38" t="str">
        <f>IF($A332="","",(VLOOKUP($A332,Cus!$A$2:$AH$1001,23,FALSE)))</f>
        <v/>
      </c>
      <c r="H332" s="3" t="str">
        <f t="shared" si="31"/>
        <v/>
      </c>
      <c r="I332" s="56" t="str">
        <f t="shared" si="32"/>
        <v/>
      </c>
      <c r="J332" s="3" t="str">
        <f t="shared" si="33"/>
        <v/>
      </c>
      <c r="K332" s="7" t="str">
        <f t="shared" si="34"/>
        <v/>
      </c>
    </row>
    <row r="333" spans="1:11">
      <c r="A333" s="1" t="str">
        <f>IF(Cus!$B333&lt;&gt;"",Cus!$A333,"")</f>
        <v/>
      </c>
      <c r="C333" s="16">
        <v>1</v>
      </c>
      <c r="D333" s="3" t="str">
        <f t="shared" si="30"/>
        <v/>
      </c>
      <c r="E333" s="3">
        <f>IF($C333=1,CommissionDD!$A$30,IF($C333=2,CommissionDD!$A$31,CommissionDD!$A$32))</f>
        <v>1500</v>
      </c>
      <c r="F333" s="3" t="str">
        <f t="shared" si="35"/>
        <v/>
      </c>
      <c r="G333" s="38" t="str">
        <f>IF($A333="","",(VLOOKUP($A333,Cus!$A$2:$AH$1001,23,FALSE)))</f>
        <v/>
      </c>
      <c r="H333" s="3" t="str">
        <f t="shared" si="31"/>
        <v/>
      </c>
      <c r="I333" s="56" t="str">
        <f t="shared" si="32"/>
        <v/>
      </c>
      <c r="J333" s="3" t="str">
        <f t="shared" si="33"/>
        <v/>
      </c>
      <c r="K333" s="7" t="str">
        <f t="shared" si="34"/>
        <v/>
      </c>
    </row>
    <row r="334" spans="1:11">
      <c r="A334" s="1" t="str">
        <f>IF(Cus!$B334&lt;&gt;"",Cus!$A334,"")</f>
        <v/>
      </c>
      <c r="C334" s="16">
        <v>1</v>
      </c>
      <c r="D334" s="3" t="str">
        <f t="shared" si="30"/>
        <v/>
      </c>
      <c r="E334" s="3">
        <f>IF($C334=1,CommissionDD!$A$30,IF($C334=2,CommissionDD!$A$31,CommissionDD!$A$32))</f>
        <v>1500</v>
      </c>
      <c r="F334" s="3" t="str">
        <f t="shared" si="35"/>
        <v/>
      </c>
      <c r="G334" s="38" t="str">
        <f>IF($A334="","",(VLOOKUP($A334,Cus!$A$2:$AH$1001,23,FALSE)))</f>
        <v/>
      </c>
      <c r="H334" s="3" t="str">
        <f t="shared" si="31"/>
        <v/>
      </c>
      <c r="I334" s="56" t="str">
        <f t="shared" si="32"/>
        <v/>
      </c>
      <c r="J334" s="3" t="str">
        <f t="shared" si="33"/>
        <v/>
      </c>
      <c r="K334" s="7" t="str">
        <f t="shared" si="34"/>
        <v/>
      </c>
    </row>
    <row r="335" spans="1:11">
      <c r="A335" s="1" t="str">
        <f>IF(Cus!$B335&lt;&gt;"",Cus!$A335,"")</f>
        <v/>
      </c>
      <c r="C335" s="16">
        <v>1</v>
      </c>
      <c r="D335" s="3" t="str">
        <f t="shared" si="30"/>
        <v/>
      </c>
      <c r="E335" s="3">
        <f>IF($C335=1,CommissionDD!$A$30,IF($C335=2,CommissionDD!$A$31,CommissionDD!$A$32))</f>
        <v>1500</v>
      </c>
      <c r="F335" s="3" t="str">
        <f t="shared" si="35"/>
        <v/>
      </c>
      <c r="G335" s="38" t="str">
        <f>IF($A335="","",(VLOOKUP($A335,Cus!$A$2:$AH$1001,23,FALSE)))</f>
        <v/>
      </c>
      <c r="H335" s="3" t="str">
        <f t="shared" si="31"/>
        <v/>
      </c>
      <c r="I335" s="56" t="str">
        <f t="shared" si="32"/>
        <v/>
      </c>
      <c r="J335" s="3" t="str">
        <f t="shared" si="33"/>
        <v/>
      </c>
      <c r="K335" s="7" t="str">
        <f t="shared" si="34"/>
        <v/>
      </c>
    </row>
    <row r="336" spans="1:11">
      <c r="A336" s="1" t="str">
        <f>IF(Cus!$B336&lt;&gt;"",Cus!$A336,"")</f>
        <v/>
      </c>
      <c r="C336" s="16">
        <v>1</v>
      </c>
      <c r="D336" s="3" t="str">
        <f t="shared" si="30"/>
        <v/>
      </c>
      <c r="E336" s="3">
        <f>IF($C336=1,CommissionDD!$A$30,IF($C336=2,CommissionDD!$A$31,CommissionDD!$A$32))</f>
        <v>1500</v>
      </c>
      <c r="F336" s="3" t="str">
        <f t="shared" si="35"/>
        <v/>
      </c>
      <c r="G336" s="38" t="str">
        <f>IF($A336="","",(VLOOKUP($A336,Cus!$A$2:$AH$1001,23,FALSE)))</f>
        <v/>
      </c>
      <c r="H336" s="3" t="str">
        <f t="shared" si="31"/>
        <v/>
      </c>
      <c r="I336" s="56" t="str">
        <f t="shared" si="32"/>
        <v/>
      </c>
      <c r="J336" s="3" t="str">
        <f t="shared" si="33"/>
        <v/>
      </c>
      <c r="K336" s="7" t="str">
        <f t="shared" si="34"/>
        <v/>
      </c>
    </row>
    <row r="337" spans="1:11">
      <c r="A337" s="1" t="str">
        <f>IF(Cus!$B337&lt;&gt;"",Cus!$A337,"")</f>
        <v/>
      </c>
      <c r="C337" s="16">
        <v>1</v>
      </c>
      <c r="D337" s="3" t="str">
        <f t="shared" si="30"/>
        <v/>
      </c>
      <c r="E337" s="3">
        <f>IF($C337=1,CommissionDD!$A$30,IF($C337=2,CommissionDD!$A$31,CommissionDD!$A$32))</f>
        <v>1500</v>
      </c>
      <c r="F337" s="3" t="str">
        <f t="shared" si="35"/>
        <v/>
      </c>
      <c r="G337" s="38" t="str">
        <f>IF($A337="","",(VLOOKUP($A337,Cus!$A$2:$AH$1001,23,FALSE)))</f>
        <v/>
      </c>
      <c r="H337" s="3" t="str">
        <f t="shared" si="31"/>
        <v/>
      </c>
      <c r="I337" s="56" t="str">
        <f t="shared" si="32"/>
        <v/>
      </c>
      <c r="J337" s="3" t="str">
        <f t="shared" si="33"/>
        <v/>
      </c>
      <c r="K337" s="7" t="str">
        <f t="shared" si="34"/>
        <v/>
      </c>
    </row>
    <row r="338" spans="1:11">
      <c r="A338" s="1" t="str">
        <f>IF(Cus!$B338&lt;&gt;"",Cus!$A338,"")</f>
        <v/>
      </c>
      <c r="C338" s="16">
        <v>1</v>
      </c>
      <c r="D338" s="3" t="str">
        <f t="shared" si="30"/>
        <v/>
      </c>
      <c r="E338" s="3">
        <f>IF($C338=1,CommissionDD!$A$30,IF($C338=2,CommissionDD!$A$31,CommissionDD!$A$32))</f>
        <v>1500</v>
      </c>
      <c r="F338" s="3" t="str">
        <f t="shared" si="35"/>
        <v/>
      </c>
      <c r="G338" s="38" t="str">
        <f>IF($A338="","",(VLOOKUP($A338,Cus!$A$2:$AH$1001,23,FALSE)))</f>
        <v/>
      </c>
      <c r="H338" s="3" t="str">
        <f t="shared" si="31"/>
        <v/>
      </c>
      <c r="I338" s="56" t="str">
        <f t="shared" si="32"/>
        <v/>
      </c>
      <c r="J338" s="3" t="str">
        <f t="shared" si="33"/>
        <v/>
      </c>
      <c r="K338" s="7" t="str">
        <f t="shared" si="34"/>
        <v/>
      </c>
    </row>
    <row r="339" spans="1:11">
      <c r="A339" s="1" t="str">
        <f>IF(Cus!$B339&lt;&gt;"",Cus!$A339,"")</f>
        <v/>
      </c>
      <c r="C339" s="16">
        <v>1</v>
      </c>
      <c r="D339" s="3" t="str">
        <f t="shared" si="30"/>
        <v/>
      </c>
      <c r="E339" s="3">
        <f>IF($C339=1,CommissionDD!$A$30,IF($C339=2,CommissionDD!$A$31,CommissionDD!$A$32))</f>
        <v>1500</v>
      </c>
      <c r="F339" s="3" t="str">
        <f t="shared" si="35"/>
        <v/>
      </c>
      <c r="G339" s="38" t="str">
        <f>IF($A339="","",(VLOOKUP($A339,Cus!$A$2:$AH$1001,23,FALSE)))</f>
        <v/>
      </c>
      <c r="H339" s="3" t="str">
        <f t="shared" si="31"/>
        <v/>
      </c>
      <c r="I339" s="56" t="str">
        <f t="shared" si="32"/>
        <v/>
      </c>
      <c r="J339" s="3" t="str">
        <f t="shared" si="33"/>
        <v/>
      </c>
      <c r="K339" s="7" t="str">
        <f t="shared" si="34"/>
        <v/>
      </c>
    </row>
    <row r="340" spans="1:11">
      <c r="A340" s="1" t="str">
        <f>IF(Cus!$B340&lt;&gt;"",Cus!$A340,"")</f>
        <v/>
      </c>
      <c r="C340" s="16">
        <v>1</v>
      </c>
      <c r="D340" s="3" t="str">
        <f t="shared" si="30"/>
        <v/>
      </c>
      <c r="E340" s="3">
        <f>IF($C340=1,CommissionDD!$A$30,IF($C340=2,CommissionDD!$A$31,CommissionDD!$A$32))</f>
        <v>1500</v>
      </c>
      <c r="F340" s="3" t="str">
        <f t="shared" si="35"/>
        <v/>
      </c>
      <c r="G340" s="38" t="str">
        <f>IF($A340="","",(VLOOKUP($A340,Cus!$A$2:$AH$1001,23,FALSE)))</f>
        <v/>
      </c>
      <c r="H340" s="3" t="str">
        <f t="shared" si="31"/>
        <v/>
      </c>
      <c r="I340" s="56" t="str">
        <f t="shared" si="32"/>
        <v/>
      </c>
      <c r="J340" s="3" t="str">
        <f t="shared" si="33"/>
        <v/>
      </c>
      <c r="K340" s="7" t="str">
        <f t="shared" si="34"/>
        <v/>
      </c>
    </row>
    <row r="341" spans="1:11">
      <c r="A341" s="1" t="str">
        <f>IF(Cus!$B341&lt;&gt;"",Cus!$A341,"")</f>
        <v/>
      </c>
      <c r="C341" s="16">
        <v>1</v>
      </c>
      <c r="D341" s="3" t="str">
        <f t="shared" si="30"/>
        <v/>
      </c>
      <c r="E341" s="3">
        <f>IF($C341=1,CommissionDD!$A$30,IF($C341=2,CommissionDD!$A$31,CommissionDD!$A$32))</f>
        <v>1500</v>
      </c>
      <c r="F341" s="3" t="str">
        <f t="shared" si="35"/>
        <v/>
      </c>
      <c r="G341" s="38" t="str">
        <f>IF($A341="","",(VLOOKUP($A341,Cus!$A$2:$AH$1001,23,FALSE)))</f>
        <v/>
      </c>
      <c r="H341" s="3" t="str">
        <f t="shared" si="31"/>
        <v/>
      </c>
      <c r="I341" s="56" t="str">
        <f t="shared" si="32"/>
        <v/>
      </c>
      <c r="J341" s="3" t="str">
        <f t="shared" si="33"/>
        <v/>
      </c>
      <c r="K341" s="7" t="str">
        <f t="shared" si="34"/>
        <v/>
      </c>
    </row>
    <row r="342" spans="1:11">
      <c r="A342" s="1" t="str">
        <f>IF(Cus!$B342&lt;&gt;"",Cus!$A342,"")</f>
        <v/>
      </c>
      <c r="C342" s="16">
        <v>1</v>
      </c>
      <c r="D342" s="3" t="str">
        <f t="shared" si="30"/>
        <v/>
      </c>
      <c r="E342" s="3">
        <f>IF($C342=1,CommissionDD!$A$30,IF($C342=2,CommissionDD!$A$31,CommissionDD!$A$32))</f>
        <v>1500</v>
      </c>
      <c r="F342" s="3" t="str">
        <f t="shared" si="35"/>
        <v/>
      </c>
      <c r="G342" s="38" t="str">
        <f>IF($A342="","",(VLOOKUP($A342,Cus!$A$2:$AH$1001,23,FALSE)))</f>
        <v/>
      </c>
      <c r="H342" s="3" t="str">
        <f t="shared" si="31"/>
        <v/>
      </c>
      <c r="I342" s="56" t="str">
        <f t="shared" si="32"/>
        <v/>
      </c>
      <c r="J342" s="3" t="str">
        <f t="shared" si="33"/>
        <v/>
      </c>
      <c r="K342" s="7" t="str">
        <f t="shared" si="34"/>
        <v/>
      </c>
    </row>
    <row r="343" spans="1:11">
      <c r="A343" s="1" t="str">
        <f>IF(Cus!$B343&lt;&gt;"",Cus!$A343,"")</f>
        <v/>
      </c>
      <c r="C343" s="16">
        <v>1</v>
      </c>
      <c r="D343" s="3" t="str">
        <f t="shared" si="30"/>
        <v/>
      </c>
      <c r="E343" s="3">
        <f>IF($C343=1,CommissionDD!$A$30,IF($C343=2,CommissionDD!$A$31,CommissionDD!$A$32))</f>
        <v>1500</v>
      </c>
      <c r="F343" s="3" t="str">
        <f t="shared" si="35"/>
        <v/>
      </c>
      <c r="G343" s="38" t="str">
        <f>IF($A343="","",(VLOOKUP($A343,Cus!$A$2:$AH$1001,23,FALSE)))</f>
        <v/>
      </c>
      <c r="H343" s="3" t="str">
        <f t="shared" si="31"/>
        <v/>
      </c>
      <c r="I343" s="56" t="str">
        <f t="shared" si="32"/>
        <v/>
      </c>
      <c r="J343" s="3" t="str">
        <f t="shared" si="33"/>
        <v/>
      </c>
      <c r="K343" s="7" t="str">
        <f t="shared" si="34"/>
        <v/>
      </c>
    </row>
    <row r="344" spans="1:11">
      <c r="A344" s="1" t="str">
        <f>IF(Cus!$B344&lt;&gt;"",Cus!$A344,"")</f>
        <v/>
      </c>
      <c r="C344" s="16">
        <v>1</v>
      </c>
      <c r="D344" s="3" t="str">
        <f t="shared" si="30"/>
        <v/>
      </c>
      <c r="E344" s="3">
        <f>IF($C344=1,CommissionDD!$A$30,IF($C344=2,CommissionDD!$A$31,CommissionDD!$A$32))</f>
        <v>1500</v>
      </c>
      <c r="F344" s="3" t="str">
        <f t="shared" si="35"/>
        <v/>
      </c>
      <c r="G344" s="38" t="str">
        <f>IF($A344="","",(VLOOKUP($A344,Cus!$A$2:$AH$1001,23,FALSE)))</f>
        <v/>
      </c>
      <c r="H344" s="3" t="str">
        <f t="shared" si="31"/>
        <v/>
      </c>
      <c r="I344" s="56" t="str">
        <f t="shared" si="32"/>
        <v/>
      </c>
      <c r="J344" s="3" t="str">
        <f t="shared" si="33"/>
        <v/>
      </c>
      <c r="K344" s="7" t="str">
        <f t="shared" si="34"/>
        <v/>
      </c>
    </row>
    <row r="345" spans="1:11">
      <c r="A345" s="1" t="str">
        <f>IF(Cus!$B345&lt;&gt;"",Cus!$A345,"")</f>
        <v/>
      </c>
      <c r="C345" s="16">
        <v>1</v>
      </c>
      <c r="D345" s="3" t="str">
        <f t="shared" si="30"/>
        <v/>
      </c>
      <c r="E345" s="3">
        <f>IF($C345=1,CommissionDD!$A$30,IF($C345=2,CommissionDD!$A$31,CommissionDD!$A$32))</f>
        <v>1500</v>
      </c>
      <c r="F345" s="3" t="str">
        <f t="shared" si="35"/>
        <v/>
      </c>
      <c r="G345" s="38" t="str">
        <f>IF($A345="","",(VLOOKUP($A345,Cus!$A$2:$AH$1001,23,FALSE)))</f>
        <v/>
      </c>
      <c r="H345" s="3" t="str">
        <f t="shared" si="31"/>
        <v/>
      </c>
      <c r="I345" s="56" t="str">
        <f t="shared" si="32"/>
        <v/>
      </c>
      <c r="J345" s="3" t="str">
        <f t="shared" si="33"/>
        <v/>
      </c>
      <c r="K345" s="7" t="str">
        <f t="shared" si="34"/>
        <v/>
      </c>
    </row>
    <row r="346" spans="1:11">
      <c r="A346" s="1" t="str">
        <f>IF(Cus!$B346&lt;&gt;"",Cus!$A346,"")</f>
        <v/>
      </c>
      <c r="C346" s="16">
        <v>1</v>
      </c>
      <c r="D346" s="3" t="str">
        <f t="shared" si="30"/>
        <v/>
      </c>
      <c r="E346" s="3">
        <f>IF($C346=1,CommissionDD!$A$30,IF($C346=2,CommissionDD!$A$31,CommissionDD!$A$32))</f>
        <v>1500</v>
      </c>
      <c r="F346" s="3" t="str">
        <f t="shared" si="35"/>
        <v/>
      </c>
      <c r="G346" s="38" t="str">
        <f>IF($A346="","",(VLOOKUP($A346,Cus!$A$2:$AH$1001,23,FALSE)))</f>
        <v/>
      </c>
      <c r="H346" s="3" t="str">
        <f t="shared" si="31"/>
        <v/>
      </c>
      <c r="I346" s="56" t="str">
        <f t="shared" si="32"/>
        <v/>
      </c>
      <c r="J346" s="3" t="str">
        <f t="shared" si="33"/>
        <v/>
      </c>
      <c r="K346" s="7" t="str">
        <f t="shared" si="34"/>
        <v/>
      </c>
    </row>
    <row r="347" spans="1:11">
      <c r="A347" s="1" t="str">
        <f>IF(Cus!$B347&lt;&gt;"",Cus!$A347,"")</f>
        <v/>
      </c>
      <c r="C347" s="16">
        <v>1</v>
      </c>
      <c r="D347" s="3" t="str">
        <f t="shared" si="30"/>
        <v/>
      </c>
      <c r="E347" s="3">
        <f>IF($C347=1,CommissionDD!$A$30,IF($C347=2,CommissionDD!$A$31,CommissionDD!$A$32))</f>
        <v>1500</v>
      </c>
      <c r="F347" s="3" t="str">
        <f t="shared" si="35"/>
        <v/>
      </c>
      <c r="G347" s="38" t="str">
        <f>IF($A347="","",(VLOOKUP($A347,Cus!$A$2:$AH$1001,23,FALSE)))</f>
        <v/>
      </c>
      <c r="H347" s="3" t="str">
        <f t="shared" si="31"/>
        <v/>
      </c>
      <c r="I347" s="56" t="str">
        <f t="shared" si="32"/>
        <v/>
      </c>
      <c r="J347" s="3" t="str">
        <f t="shared" si="33"/>
        <v/>
      </c>
      <c r="K347" s="7" t="str">
        <f t="shared" si="34"/>
        <v/>
      </c>
    </row>
    <row r="348" spans="1:11">
      <c r="A348" s="1" t="str">
        <f>IF(Cus!$B348&lt;&gt;"",Cus!$A348,"")</f>
        <v/>
      </c>
      <c r="C348" s="16">
        <v>1</v>
      </c>
      <c r="D348" s="3" t="str">
        <f t="shared" si="30"/>
        <v/>
      </c>
      <c r="E348" s="3">
        <f>IF($C348=1,CommissionDD!$A$30,IF($C348=2,CommissionDD!$A$31,CommissionDD!$A$32))</f>
        <v>1500</v>
      </c>
      <c r="F348" s="3" t="str">
        <f t="shared" si="35"/>
        <v/>
      </c>
      <c r="G348" s="38" t="str">
        <f>IF($A348="","",(VLOOKUP($A348,Cus!$A$2:$AH$1001,23,FALSE)))</f>
        <v/>
      </c>
      <c r="H348" s="3" t="str">
        <f t="shared" si="31"/>
        <v/>
      </c>
      <c r="I348" s="56" t="str">
        <f t="shared" si="32"/>
        <v/>
      </c>
      <c r="J348" s="3" t="str">
        <f t="shared" si="33"/>
        <v/>
      </c>
      <c r="K348" s="7" t="str">
        <f t="shared" si="34"/>
        <v/>
      </c>
    </row>
    <row r="349" spans="1:11">
      <c r="A349" s="1" t="str">
        <f>IF(Cus!$B349&lt;&gt;"",Cus!$A349,"")</f>
        <v/>
      </c>
      <c r="C349" s="16">
        <v>1</v>
      </c>
      <c r="D349" s="3" t="str">
        <f t="shared" si="30"/>
        <v/>
      </c>
      <c r="E349" s="3">
        <f>IF($C349=1,CommissionDD!$A$30,IF($C349=2,CommissionDD!$A$31,CommissionDD!$A$32))</f>
        <v>1500</v>
      </c>
      <c r="F349" s="3" t="str">
        <f t="shared" si="35"/>
        <v/>
      </c>
      <c r="G349" s="38" t="str">
        <f>IF($A349="","",(VLOOKUP($A349,Cus!$A$2:$AH$1001,23,FALSE)))</f>
        <v/>
      </c>
      <c r="H349" s="3" t="str">
        <f t="shared" si="31"/>
        <v/>
      </c>
      <c r="I349" s="56" t="str">
        <f t="shared" si="32"/>
        <v/>
      </c>
      <c r="J349" s="3" t="str">
        <f t="shared" si="33"/>
        <v/>
      </c>
      <c r="K349" s="7" t="str">
        <f t="shared" si="34"/>
        <v/>
      </c>
    </row>
    <row r="350" spans="1:11">
      <c r="A350" s="1" t="str">
        <f>IF(Cus!$B350&lt;&gt;"",Cus!$A350,"")</f>
        <v/>
      </c>
      <c r="C350" s="16">
        <v>1</v>
      </c>
      <c r="D350" s="3" t="str">
        <f t="shared" si="30"/>
        <v/>
      </c>
      <c r="E350" s="3">
        <f>IF($C350=1,CommissionDD!$A$30,IF($C350=2,CommissionDD!$A$31,CommissionDD!$A$32))</f>
        <v>1500</v>
      </c>
      <c r="F350" s="3" t="str">
        <f t="shared" si="35"/>
        <v/>
      </c>
      <c r="G350" s="38" t="str">
        <f>IF($A350="","",(VLOOKUP($A350,Cus!$A$2:$AH$1001,23,FALSE)))</f>
        <v/>
      </c>
      <c r="H350" s="3" t="str">
        <f t="shared" si="31"/>
        <v/>
      </c>
      <c r="I350" s="56" t="str">
        <f t="shared" si="32"/>
        <v/>
      </c>
      <c r="J350" s="3" t="str">
        <f t="shared" si="33"/>
        <v/>
      </c>
      <c r="K350" s="7" t="str">
        <f t="shared" si="34"/>
        <v/>
      </c>
    </row>
    <row r="351" spans="1:11">
      <c r="A351" s="1" t="str">
        <f>IF(Cus!$B351&lt;&gt;"",Cus!$A351,"")</f>
        <v/>
      </c>
      <c r="C351" s="16">
        <v>1</v>
      </c>
      <c r="D351" s="3" t="str">
        <f t="shared" si="30"/>
        <v/>
      </c>
      <c r="E351" s="3">
        <f>IF($C351=1,CommissionDD!$A$30,IF($C351=2,CommissionDD!$A$31,CommissionDD!$A$32))</f>
        <v>1500</v>
      </c>
      <c r="F351" s="3" t="str">
        <f t="shared" si="35"/>
        <v/>
      </c>
      <c r="G351" s="38" t="str">
        <f>IF($A351="","",(VLOOKUP($A351,Cus!$A$2:$AH$1001,23,FALSE)))</f>
        <v/>
      </c>
      <c r="H351" s="3" t="str">
        <f t="shared" si="31"/>
        <v/>
      </c>
      <c r="I351" s="56" t="str">
        <f t="shared" si="32"/>
        <v/>
      </c>
      <c r="J351" s="3" t="str">
        <f t="shared" si="33"/>
        <v/>
      </c>
      <c r="K351" s="7" t="str">
        <f t="shared" si="34"/>
        <v/>
      </c>
    </row>
    <row r="352" spans="1:11">
      <c r="A352" s="1" t="str">
        <f>IF(Cus!$B352&lt;&gt;"",Cus!$A352,"")</f>
        <v/>
      </c>
      <c r="C352" s="16">
        <v>1</v>
      </c>
      <c r="D352" s="3" t="str">
        <f t="shared" si="30"/>
        <v/>
      </c>
      <c r="E352" s="3">
        <f>IF($C352=1,CommissionDD!$A$30,IF($C352=2,CommissionDD!$A$31,CommissionDD!$A$32))</f>
        <v>1500</v>
      </c>
      <c r="F352" s="3" t="str">
        <f t="shared" si="35"/>
        <v/>
      </c>
      <c r="G352" s="38" t="str">
        <f>IF($A352="","",(VLOOKUP($A352,Cus!$A$2:$AH$1001,23,FALSE)))</f>
        <v/>
      </c>
      <c r="H352" s="3" t="str">
        <f t="shared" si="31"/>
        <v/>
      </c>
      <c r="I352" s="56" t="str">
        <f t="shared" si="32"/>
        <v/>
      </c>
      <c r="J352" s="3" t="str">
        <f t="shared" si="33"/>
        <v/>
      </c>
      <c r="K352" s="7" t="str">
        <f t="shared" si="34"/>
        <v/>
      </c>
    </row>
    <row r="353" spans="1:11">
      <c r="A353" s="1" t="str">
        <f>IF(Cus!$B353&lt;&gt;"",Cus!$A353,"")</f>
        <v/>
      </c>
      <c r="C353" s="16">
        <v>1</v>
      </c>
      <c r="D353" s="3" t="str">
        <f t="shared" si="30"/>
        <v/>
      </c>
      <c r="E353" s="3">
        <f>IF($C353=1,CommissionDD!$A$30,IF($C353=2,CommissionDD!$A$31,CommissionDD!$A$32))</f>
        <v>1500</v>
      </c>
      <c r="F353" s="3" t="str">
        <f t="shared" si="35"/>
        <v/>
      </c>
      <c r="G353" s="38" t="str">
        <f>IF($A353="","",(VLOOKUP($A353,Cus!$A$2:$AH$1001,23,FALSE)))</f>
        <v/>
      </c>
      <c r="H353" s="3" t="str">
        <f t="shared" si="31"/>
        <v/>
      </c>
      <c r="I353" s="56" t="str">
        <f t="shared" si="32"/>
        <v/>
      </c>
      <c r="J353" s="3" t="str">
        <f t="shared" si="33"/>
        <v/>
      </c>
      <c r="K353" s="7" t="str">
        <f t="shared" si="34"/>
        <v/>
      </c>
    </row>
    <row r="354" spans="1:11">
      <c r="A354" s="1" t="str">
        <f>IF(Cus!$B354&lt;&gt;"",Cus!$A354,"")</f>
        <v/>
      </c>
      <c r="C354" s="16">
        <v>1</v>
      </c>
      <c r="D354" s="3" t="str">
        <f t="shared" si="30"/>
        <v/>
      </c>
      <c r="E354" s="3">
        <f>IF($C354=1,CommissionDD!$A$30,IF($C354=2,CommissionDD!$A$31,CommissionDD!$A$32))</f>
        <v>1500</v>
      </c>
      <c r="F354" s="3" t="str">
        <f t="shared" si="35"/>
        <v/>
      </c>
      <c r="G354" s="38" t="str">
        <f>IF($A354="","",(VLOOKUP($A354,Cus!$A$2:$AH$1001,23,FALSE)))</f>
        <v/>
      </c>
      <c r="H354" s="3" t="str">
        <f t="shared" si="31"/>
        <v/>
      </c>
      <c r="I354" s="56" t="str">
        <f t="shared" si="32"/>
        <v/>
      </c>
      <c r="J354" s="3" t="str">
        <f t="shared" si="33"/>
        <v/>
      </c>
      <c r="K354" s="7" t="str">
        <f t="shared" si="34"/>
        <v/>
      </c>
    </row>
    <row r="355" spans="1:11">
      <c r="A355" s="1" t="str">
        <f>IF(Cus!$B355&lt;&gt;"",Cus!$A355,"")</f>
        <v/>
      </c>
      <c r="C355" s="16">
        <v>1</v>
      </c>
      <c r="D355" s="3" t="str">
        <f t="shared" si="30"/>
        <v/>
      </c>
      <c r="E355" s="3">
        <f>IF($C355=1,CommissionDD!$A$30,IF($C355=2,CommissionDD!$A$31,CommissionDD!$A$32))</f>
        <v>1500</v>
      </c>
      <c r="F355" s="3" t="str">
        <f t="shared" si="35"/>
        <v/>
      </c>
      <c r="G355" s="38" t="str">
        <f>IF($A355="","",(VLOOKUP($A355,Cus!$A$2:$AH$1001,23,FALSE)))</f>
        <v/>
      </c>
      <c r="H355" s="3" t="str">
        <f t="shared" si="31"/>
        <v/>
      </c>
      <c r="I355" s="56" t="str">
        <f t="shared" si="32"/>
        <v/>
      </c>
      <c r="J355" s="3" t="str">
        <f t="shared" si="33"/>
        <v/>
      </c>
      <c r="K355" s="7" t="str">
        <f t="shared" si="34"/>
        <v/>
      </c>
    </row>
    <row r="356" spans="1:11">
      <c r="A356" s="1" t="str">
        <f>IF(Cus!$B356&lt;&gt;"",Cus!$A356,"")</f>
        <v/>
      </c>
      <c r="C356" s="16">
        <v>1</v>
      </c>
      <c r="D356" s="3" t="str">
        <f t="shared" si="30"/>
        <v/>
      </c>
      <c r="E356" s="3">
        <f>IF($C356=1,CommissionDD!$A$30,IF($C356=2,CommissionDD!$A$31,CommissionDD!$A$32))</f>
        <v>1500</v>
      </c>
      <c r="F356" s="3" t="str">
        <f t="shared" si="35"/>
        <v/>
      </c>
      <c r="G356" s="38" t="str">
        <f>IF($A356="","",(VLOOKUP($A356,Cus!$A$2:$AH$1001,23,FALSE)))</f>
        <v/>
      </c>
      <c r="H356" s="3" t="str">
        <f t="shared" si="31"/>
        <v/>
      </c>
      <c r="I356" s="56" t="str">
        <f t="shared" si="32"/>
        <v/>
      </c>
      <c r="J356" s="3" t="str">
        <f t="shared" si="33"/>
        <v/>
      </c>
      <c r="K356" s="7" t="str">
        <f t="shared" si="34"/>
        <v/>
      </c>
    </row>
    <row r="357" spans="1:11">
      <c r="A357" s="1" t="str">
        <f>IF(Cus!$B357&lt;&gt;"",Cus!$A357,"")</f>
        <v/>
      </c>
      <c r="C357" s="16">
        <v>1</v>
      </c>
      <c r="D357" s="3" t="str">
        <f t="shared" si="30"/>
        <v/>
      </c>
      <c r="E357" s="3">
        <f>IF($C357=1,CommissionDD!$A$30,IF($C357=2,CommissionDD!$A$31,CommissionDD!$A$32))</f>
        <v>1500</v>
      </c>
      <c r="F357" s="3" t="str">
        <f t="shared" si="35"/>
        <v/>
      </c>
      <c r="G357" s="38" t="str">
        <f>IF($A357="","",(VLOOKUP($A357,Cus!$A$2:$AH$1001,23,FALSE)))</f>
        <v/>
      </c>
      <c r="H357" s="3" t="str">
        <f t="shared" si="31"/>
        <v/>
      </c>
      <c r="I357" s="56" t="str">
        <f t="shared" si="32"/>
        <v/>
      </c>
      <c r="J357" s="3" t="str">
        <f t="shared" si="33"/>
        <v/>
      </c>
      <c r="K357" s="7" t="str">
        <f t="shared" si="34"/>
        <v/>
      </c>
    </row>
    <row r="358" spans="1:11">
      <c r="A358" s="1" t="str">
        <f>IF(Cus!$B358&lt;&gt;"",Cus!$A358,"")</f>
        <v/>
      </c>
      <c r="C358" s="16">
        <v>1</v>
      </c>
      <c r="D358" s="3" t="str">
        <f t="shared" si="30"/>
        <v/>
      </c>
      <c r="E358" s="3">
        <f>IF($C358=1,CommissionDD!$A$30,IF($C358=2,CommissionDD!$A$31,CommissionDD!$A$32))</f>
        <v>1500</v>
      </c>
      <c r="F358" s="3" t="str">
        <f t="shared" si="35"/>
        <v/>
      </c>
      <c r="G358" s="38" t="str">
        <f>IF($A358="","",(VLOOKUP($A358,Cus!$A$2:$AH$1001,23,FALSE)))</f>
        <v/>
      </c>
      <c r="H358" s="3" t="str">
        <f t="shared" si="31"/>
        <v/>
      </c>
      <c r="I358" s="56" t="str">
        <f t="shared" si="32"/>
        <v/>
      </c>
      <c r="J358" s="3" t="str">
        <f t="shared" si="33"/>
        <v/>
      </c>
      <c r="K358" s="7" t="str">
        <f t="shared" si="34"/>
        <v/>
      </c>
    </row>
    <row r="359" spans="1:11">
      <c r="A359" s="1" t="str">
        <f>IF(Cus!$B359&lt;&gt;"",Cus!$A359,"")</f>
        <v/>
      </c>
      <c r="C359" s="16">
        <v>1</v>
      </c>
      <c r="D359" s="3" t="str">
        <f t="shared" si="30"/>
        <v/>
      </c>
      <c r="E359" s="3">
        <f>IF($C359=1,CommissionDD!$A$30,IF($C359=2,CommissionDD!$A$31,CommissionDD!$A$32))</f>
        <v>1500</v>
      </c>
      <c r="F359" s="3" t="str">
        <f t="shared" si="35"/>
        <v/>
      </c>
      <c r="G359" s="38" t="str">
        <f>IF($A359="","",(VLOOKUP($A359,Cus!$A$2:$AH$1001,23,FALSE)))</f>
        <v/>
      </c>
      <c r="H359" s="3" t="str">
        <f t="shared" si="31"/>
        <v/>
      </c>
      <c r="I359" s="56" t="str">
        <f t="shared" si="32"/>
        <v/>
      </c>
      <c r="J359" s="3" t="str">
        <f t="shared" si="33"/>
        <v/>
      </c>
      <c r="K359" s="7" t="str">
        <f t="shared" si="34"/>
        <v/>
      </c>
    </row>
    <row r="360" spans="1:11">
      <c r="A360" s="1" t="str">
        <f>IF(Cus!$B360&lt;&gt;"",Cus!$A360,"")</f>
        <v/>
      </c>
      <c r="C360" s="16">
        <v>1</v>
      </c>
      <c r="D360" s="3" t="str">
        <f t="shared" si="30"/>
        <v/>
      </c>
      <c r="E360" s="3">
        <f>IF($C360=1,CommissionDD!$A$30,IF($C360=2,CommissionDD!$A$31,CommissionDD!$A$32))</f>
        <v>1500</v>
      </c>
      <c r="F360" s="3" t="str">
        <f t="shared" si="35"/>
        <v/>
      </c>
      <c r="G360" s="38" t="str">
        <f>IF($A360="","",(VLOOKUP($A360,Cus!$A$2:$AH$1001,23,FALSE)))</f>
        <v/>
      </c>
      <c r="H360" s="3" t="str">
        <f t="shared" si="31"/>
        <v/>
      </c>
      <c r="I360" s="56" t="str">
        <f t="shared" si="32"/>
        <v/>
      </c>
      <c r="J360" s="3" t="str">
        <f t="shared" si="33"/>
        <v/>
      </c>
      <c r="K360" s="7" t="str">
        <f t="shared" si="34"/>
        <v/>
      </c>
    </row>
    <row r="361" spans="1:11">
      <c r="A361" s="1" t="str">
        <f>IF(Cus!$B361&lt;&gt;"",Cus!$A361,"")</f>
        <v/>
      </c>
      <c r="C361" s="16">
        <v>1</v>
      </c>
      <c r="D361" s="3" t="str">
        <f t="shared" si="30"/>
        <v/>
      </c>
      <c r="E361" s="3">
        <f>IF($C361=1,CommissionDD!$A$30,IF($C361=2,CommissionDD!$A$31,CommissionDD!$A$32))</f>
        <v>1500</v>
      </c>
      <c r="F361" s="3" t="str">
        <f t="shared" si="35"/>
        <v/>
      </c>
      <c r="G361" s="38" t="str">
        <f>IF($A361="","",(VLOOKUP($A361,Cus!$A$2:$AH$1001,23,FALSE)))</f>
        <v/>
      </c>
      <c r="H361" s="3" t="str">
        <f t="shared" si="31"/>
        <v/>
      </c>
      <c r="I361" s="56" t="str">
        <f t="shared" si="32"/>
        <v/>
      </c>
      <c r="J361" s="3" t="str">
        <f t="shared" si="33"/>
        <v/>
      </c>
      <c r="K361" s="7" t="str">
        <f t="shared" si="34"/>
        <v/>
      </c>
    </row>
    <row r="362" spans="1:11">
      <c r="A362" s="1" t="str">
        <f>IF(Cus!$B362&lt;&gt;"",Cus!$A362,"")</f>
        <v/>
      </c>
      <c r="C362" s="16">
        <v>1</v>
      </c>
      <c r="D362" s="3" t="str">
        <f t="shared" si="30"/>
        <v/>
      </c>
      <c r="E362" s="3">
        <f>IF($C362=1,CommissionDD!$A$30,IF($C362=2,CommissionDD!$A$31,CommissionDD!$A$32))</f>
        <v>1500</v>
      </c>
      <c r="F362" s="3" t="str">
        <f t="shared" si="35"/>
        <v/>
      </c>
      <c r="G362" s="38" t="str">
        <f>IF($A362="","",(VLOOKUP($A362,Cus!$A$2:$AH$1001,23,FALSE)))</f>
        <v/>
      </c>
      <c r="H362" s="3" t="str">
        <f t="shared" si="31"/>
        <v/>
      </c>
      <c r="I362" s="56" t="str">
        <f t="shared" si="32"/>
        <v/>
      </c>
      <c r="J362" s="3" t="str">
        <f t="shared" si="33"/>
        <v/>
      </c>
      <c r="K362" s="7" t="str">
        <f t="shared" si="34"/>
        <v/>
      </c>
    </row>
    <row r="363" spans="1:11">
      <c r="A363" s="1" t="str">
        <f>IF(Cus!$B363&lt;&gt;"",Cus!$A363,"")</f>
        <v/>
      </c>
      <c r="C363" s="16">
        <v>1</v>
      </c>
      <c r="D363" s="3" t="str">
        <f t="shared" si="30"/>
        <v/>
      </c>
      <c r="E363" s="3">
        <f>IF($C363=1,CommissionDD!$A$30,IF($C363=2,CommissionDD!$A$31,CommissionDD!$A$32))</f>
        <v>1500</v>
      </c>
      <c r="F363" s="3" t="str">
        <f t="shared" si="35"/>
        <v/>
      </c>
      <c r="G363" s="38" t="str">
        <f>IF($A363="","",(VLOOKUP($A363,Cus!$A$2:$AH$1001,23,FALSE)))</f>
        <v/>
      </c>
      <c r="H363" s="3" t="str">
        <f t="shared" si="31"/>
        <v/>
      </c>
      <c r="I363" s="56" t="str">
        <f t="shared" si="32"/>
        <v/>
      </c>
      <c r="J363" s="3" t="str">
        <f t="shared" si="33"/>
        <v/>
      </c>
      <c r="K363" s="7" t="str">
        <f t="shared" si="34"/>
        <v/>
      </c>
    </row>
    <row r="364" spans="1:11">
      <c r="A364" s="1" t="str">
        <f>IF(Cus!$B364&lt;&gt;"",Cus!$A364,"")</f>
        <v/>
      </c>
      <c r="C364" s="16">
        <v>1</v>
      </c>
      <c r="D364" s="3" t="str">
        <f t="shared" si="30"/>
        <v/>
      </c>
      <c r="E364" s="3">
        <f>IF($C364=1,CommissionDD!$A$30,IF($C364=2,CommissionDD!$A$31,CommissionDD!$A$32))</f>
        <v>1500</v>
      </c>
      <c r="F364" s="3" t="str">
        <f t="shared" si="35"/>
        <v/>
      </c>
      <c r="G364" s="38" t="str">
        <f>IF($A364="","",(VLOOKUP($A364,Cus!$A$2:$AH$1001,23,FALSE)))</f>
        <v/>
      </c>
      <c r="H364" s="3" t="str">
        <f t="shared" si="31"/>
        <v/>
      </c>
      <c r="I364" s="56" t="str">
        <f t="shared" si="32"/>
        <v/>
      </c>
      <c r="J364" s="3" t="str">
        <f t="shared" si="33"/>
        <v/>
      </c>
      <c r="K364" s="7" t="str">
        <f t="shared" si="34"/>
        <v/>
      </c>
    </row>
    <row r="365" spans="1:11">
      <c r="A365" s="1" t="str">
        <f>IF(Cus!$B365&lt;&gt;"",Cus!$A365,"")</f>
        <v/>
      </c>
      <c r="C365" s="16">
        <v>1</v>
      </c>
      <c r="D365" s="3" t="str">
        <f t="shared" si="30"/>
        <v/>
      </c>
      <c r="E365" s="3">
        <f>IF($C365=1,CommissionDD!$A$30,IF($C365=2,CommissionDD!$A$31,CommissionDD!$A$32))</f>
        <v>1500</v>
      </c>
      <c r="F365" s="3" t="str">
        <f t="shared" si="35"/>
        <v/>
      </c>
      <c r="G365" s="38" t="str">
        <f>IF($A365="","",(VLOOKUP($A365,Cus!$A$2:$AH$1001,23,FALSE)))</f>
        <v/>
      </c>
      <c r="H365" s="3" t="str">
        <f t="shared" si="31"/>
        <v/>
      </c>
      <c r="I365" s="56" t="str">
        <f t="shared" si="32"/>
        <v/>
      </c>
      <c r="J365" s="3" t="str">
        <f t="shared" si="33"/>
        <v/>
      </c>
      <c r="K365" s="7" t="str">
        <f t="shared" si="34"/>
        <v/>
      </c>
    </row>
    <row r="366" spans="1:11">
      <c r="A366" s="1" t="str">
        <f>IF(Cus!$B366&lt;&gt;"",Cus!$A366,"")</f>
        <v/>
      </c>
      <c r="C366" s="16">
        <v>1</v>
      </c>
      <c r="D366" s="3" t="str">
        <f t="shared" si="30"/>
        <v/>
      </c>
      <c r="E366" s="3">
        <f>IF($C366=1,CommissionDD!$A$30,IF($C366=2,CommissionDD!$A$31,CommissionDD!$A$32))</f>
        <v>1500</v>
      </c>
      <c r="F366" s="3" t="str">
        <f t="shared" si="35"/>
        <v/>
      </c>
      <c r="G366" s="38" t="str">
        <f>IF($A366="","",(VLOOKUP($A366,Cus!$A$2:$AH$1001,23,FALSE)))</f>
        <v/>
      </c>
      <c r="H366" s="3" t="str">
        <f t="shared" si="31"/>
        <v/>
      </c>
      <c r="I366" s="56" t="str">
        <f t="shared" si="32"/>
        <v/>
      </c>
      <c r="J366" s="3" t="str">
        <f t="shared" si="33"/>
        <v/>
      </c>
      <c r="K366" s="7" t="str">
        <f t="shared" si="34"/>
        <v/>
      </c>
    </row>
    <row r="367" spans="1:11">
      <c r="A367" s="1" t="str">
        <f>IF(Cus!$B367&lt;&gt;"",Cus!$A367,"")</f>
        <v/>
      </c>
      <c r="C367" s="16">
        <v>1</v>
      </c>
      <c r="D367" s="3" t="str">
        <f t="shared" si="30"/>
        <v/>
      </c>
      <c r="E367" s="3">
        <f>IF($C367=1,CommissionDD!$A$30,IF($C367=2,CommissionDD!$A$31,CommissionDD!$A$32))</f>
        <v>1500</v>
      </c>
      <c r="F367" s="3" t="str">
        <f t="shared" si="35"/>
        <v/>
      </c>
      <c r="G367" s="38" t="str">
        <f>IF($A367="","",(VLOOKUP($A367,Cus!$A$2:$AH$1001,23,FALSE)))</f>
        <v/>
      </c>
      <c r="H367" s="3" t="str">
        <f t="shared" si="31"/>
        <v/>
      </c>
      <c r="I367" s="56" t="str">
        <f t="shared" si="32"/>
        <v/>
      </c>
      <c r="J367" s="3" t="str">
        <f t="shared" si="33"/>
        <v/>
      </c>
      <c r="K367" s="7" t="str">
        <f t="shared" si="34"/>
        <v/>
      </c>
    </row>
    <row r="368" spans="1:11">
      <c r="A368" s="1" t="str">
        <f>IF(Cus!$B368&lt;&gt;"",Cus!$A368,"")</f>
        <v/>
      </c>
      <c r="C368" s="16">
        <v>1</v>
      </c>
      <c r="D368" s="3" t="str">
        <f t="shared" si="30"/>
        <v/>
      </c>
      <c r="E368" s="3">
        <f>IF($C368=1,CommissionDD!$A$30,IF($C368=2,CommissionDD!$A$31,CommissionDD!$A$32))</f>
        <v>1500</v>
      </c>
      <c r="F368" s="3" t="str">
        <f t="shared" si="35"/>
        <v/>
      </c>
      <c r="G368" s="38" t="str">
        <f>IF($A368="","",(VLOOKUP($A368,Cus!$A$2:$AH$1001,23,FALSE)))</f>
        <v/>
      </c>
      <c r="H368" s="3" t="str">
        <f t="shared" si="31"/>
        <v/>
      </c>
      <c r="I368" s="56" t="str">
        <f t="shared" si="32"/>
        <v/>
      </c>
      <c r="J368" s="3" t="str">
        <f t="shared" si="33"/>
        <v/>
      </c>
      <c r="K368" s="7" t="str">
        <f t="shared" si="34"/>
        <v/>
      </c>
    </row>
    <row r="369" spans="1:11">
      <c r="A369" s="1" t="str">
        <f>IF(Cus!$B369&lt;&gt;"",Cus!$A369,"")</f>
        <v/>
      </c>
      <c r="C369" s="16">
        <v>1</v>
      </c>
      <c r="D369" s="3" t="str">
        <f t="shared" si="30"/>
        <v/>
      </c>
      <c r="E369" s="3">
        <f>IF($C369=1,CommissionDD!$A$30,IF($C369=2,CommissionDD!$A$31,CommissionDD!$A$32))</f>
        <v>1500</v>
      </c>
      <c r="F369" s="3" t="str">
        <f t="shared" si="35"/>
        <v/>
      </c>
      <c r="G369" s="38" t="str">
        <f>IF($A369="","",(VLOOKUP($A369,Cus!$A$2:$AH$1001,23,FALSE)))</f>
        <v/>
      </c>
      <c r="H369" s="3" t="str">
        <f t="shared" si="31"/>
        <v/>
      </c>
      <c r="I369" s="56" t="str">
        <f t="shared" si="32"/>
        <v/>
      </c>
      <c r="J369" s="3" t="str">
        <f t="shared" si="33"/>
        <v/>
      </c>
      <c r="K369" s="7" t="str">
        <f t="shared" si="34"/>
        <v/>
      </c>
    </row>
    <row r="370" spans="1:11">
      <c r="A370" s="1" t="str">
        <f>IF(Cus!$B370&lt;&gt;"",Cus!$A370,"")</f>
        <v/>
      </c>
      <c r="C370" s="16">
        <v>1</v>
      </c>
      <c r="D370" s="3" t="str">
        <f t="shared" si="30"/>
        <v/>
      </c>
      <c r="E370" s="3">
        <f>IF($C370=1,CommissionDD!$A$30,IF($C370=2,CommissionDD!$A$31,CommissionDD!$A$32))</f>
        <v>1500</v>
      </c>
      <c r="F370" s="3" t="str">
        <f t="shared" si="35"/>
        <v/>
      </c>
      <c r="G370" s="38" t="str">
        <f>IF($A370="","",(VLOOKUP($A370,Cus!$A$2:$AH$1001,23,FALSE)))</f>
        <v/>
      </c>
      <c r="H370" s="3" t="str">
        <f t="shared" si="31"/>
        <v/>
      </c>
      <c r="I370" s="56" t="str">
        <f t="shared" si="32"/>
        <v/>
      </c>
      <c r="J370" s="3" t="str">
        <f t="shared" si="33"/>
        <v/>
      </c>
      <c r="K370" s="7" t="str">
        <f t="shared" si="34"/>
        <v/>
      </c>
    </row>
    <row r="371" spans="1:11">
      <c r="A371" s="1" t="str">
        <f>IF(Cus!$B371&lt;&gt;"",Cus!$A371,"")</f>
        <v/>
      </c>
      <c r="C371" s="16">
        <v>1</v>
      </c>
      <c r="D371" s="3" t="str">
        <f t="shared" si="30"/>
        <v/>
      </c>
      <c r="E371" s="3">
        <f>IF($C371=1,CommissionDD!$A$30,IF($C371=2,CommissionDD!$A$31,CommissionDD!$A$32))</f>
        <v>1500</v>
      </c>
      <c r="F371" s="3" t="str">
        <f t="shared" si="35"/>
        <v/>
      </c>
      <c r="G371" s="38" t="str">
        <f>IF($A371="","",(VLOOKUP($A371,Cus!$A$2:$AH$1001,23,FALSE)))</f>
        <v/>
      </c>
      <c r="H371" s="3" t="str">
        <f t="shared" si="31"/>
        <v/>
      </c>
      <c r="I371" s="56" t="str">
        <f t="shared" si="32"/>
        <v/>
      </c>
      <c r="J371" s="3" t="str">
        <f t="shared" si="33"/>
        <v/>
      </c>
      <c r="K371" s="7" t="str">
        <f t="shared" si="34"/>
        <v/>
      </c>
    </row>
    <row r="372" spans="1:11">
      <c r="A372" s="1" t="str">
        <f>IF(Cus!$B372&lt;&gt;"",Cus!$A372,"")</f>
        <v/>
      </c>
      <c r="C372" s="16">
        <v>1</v>
      </c>
      <c r="D372" s="3" t="str">
        <f t="shared" si="30"/>
        <v/>
      </c>
      <c r="E372" s="3">
        <f>IF($C372=1,CommissionDD!$A$30,IF($C372=2,CommissionDD!$A$31,CommissionDD!$A$32))</f>
        <v>1500</v>
      </c>
      <c r="F372" s="3" t="str">
        <f t="shared" si="35"/>
        <v/>
      </c>
      <c r="G372" s="38" t="str">
        <f>IF($A372="","",(VLOOKUP($A372,Cus!$A$2:$AH$1001,23,FALSE)))</f>
        <v/>
      </c>
      <c r="H372" s="3" t="str">
        <f t="shared" si="31"/>
        <v/>
      </c>
      <c r="I372" s="56" t="str">
        <f t="shared" si="32"/>
        <v/>
      </c>
      <c r="J372" s="3" t="str">
        <f t="shared" si="33"/>
        <v/>
      </c>
      <c r="K372" s="7" t="str">
        <f t="shared" si="34"/>
        <v/>
      </c>
    </row>
    <row r="373" spans="1:11">
      <c r="A373" s="1" t="str">
        <f>IF(Cus!$B373&lt;&gt;"",Cus!$A373,"")</f>
        <v/>
      </c>
      <c r="C373" s="16">
        <v>1</v>
      </c>
      <c r="D373" s="3" t="str">
        <f t="shared" si="30"/>
        <v/>
      </c>
      <c r="E373" s="3">
        <f>IF($C373=1,CommissionDD!$A$30,IF($C373=2,CommissionDD!$A$31,CommissionDD!$A$32))</f>
        <v>1500</v>
      </c>
      <c r="F373" s="3" t="str">
        <f t="shared" si="35"/>
        <v/>
      </c>
      <c r="G373" s="38" t="str">
        <f>IF($A373="","",(VLOOKUP($A373,Cus!$A$2:$AH$1001,23,FALSE)))</f>
        <v/>
      </c>
      <c r="H373" s="3" t="str">
        <f t="shared" si="31"/>
        <v/>
      </c>
      <c r="I373" s="56" t="str">
        <f t="shared" si="32"/>
        <v/>
      </c>
      <c r="J373" s="3" t="str">
        <f t="shared" si="33"/>
        <v/>
      </c>
      <c r="K373" s="7" t="str">
        <f t="shared" si="34"/>
        <v/>
      </c>
    </row>
    <row r="374" spans="1:11">
      <c r="A374" s="1" t="str">
        <f>IF(Cus!$B374&lt;&gt;"",Cus!$A374,"")</f>
        <v/>
      </c>
      <c r="C374" s="16">
        <v>1</v>
      </c>
      <c r="D374" s="3" t="str">
        <f t="shared" si="30"/>
        <v/>
      </c>
      <c r="E374" s="3">
        <f>IF($C374=1,CommissionDD!$A$30,IF($C374=2,CommissionDD!$A$31,CommissionDD!$A$32))</f>
        <v>1500</v>
      </c>
      <c r="F374" s="3" t="str">
        <f t="shared" si="35"/>
        <v/>
      </c>
      <c r="G374" s="38" t="str">
        <f>IF($A374="","",(VLOOKUP($A374,Cus!$A$2:$AH$1001,23,FALSE)))</f>
        <v/>
      </c>
      <c r="H374" s="3" t="str">
        <f t="shared" si="31"/>
        <v/>
      </c>
      <c r="I374" s="56" t="str">
        <f t="shared" si="32"/>
        <v/>
      </c>
      <c r="J374" s="3" t="str">
        <f t="shared" si="33"/>
        <v/>
      </c>
      <c r="K374" s="7" t="str">
        <f t="shared" si="34"/>
        <v/>
      </c>
    </row>
    <row r="375" spans="1:11">
      <c r="A375" s="1" t="str">
        <f>IF(Cus!$B375&lt;&gt;"",Cus!$A375,"")</f>
        <v/>
      </c>
      <c r="C375" s="16">
        <v>1</v>
      </c>
      <c r="D375" s="3" t="str">
        <f t="shared" si="30"/>
        <v/>
      </c>
      <c r="E375" s="3">
        <f>IF($C375=1,CommissionDD!$A$30,IF($C375=2,CommissionDD!$A$31,CommissionDD!$A$32))</f>
        <v>1500</v>
      </c>
      <c r="F375" s="3" t="str">
        <f t="shared" si="35"/>
        <v/>
      </c>
      <c r="G375" s="38" t="str">
        <f>IF($A375="","",(VLOOKUP($A375,Cus!$A$2:$AH$1001,23,FALSE)))</f>
        <v/>
      </c>
      <c r="H375" s="3" t="str">
        <f t="shared" si="31"/>
        <v/>
      </c>
      <c r="I375" s="56" t="str">
        <f t="shared" si="32"/>
        <v/>
      </c>
      <c r="J375" s="3" t="str">
        <f t="shared" si="33"/>
        <v/>
      </c>
      <c r="K375" s="7" t="str">
        <f t="shared" si="34"/>
        <v/>
      </c>
    </row>
    <row r="376" spans="1:11">
      <c r="A376" s="1" t="str">
        <f>IF(Cus!$B376&lt;&gt;"",Cus!$A376,"")</f>
        <v/>
      </c>
      <c r="C376" s="16">
        <v>1</v>
      </c>
      <c r="D376" s="3" t="str">
        <f t="shared" si="30"/>
        <v/>
      </c>
      <c r="E376" s="3">
        <f>IF($C376=1,CommissionDD!$A$30,IF($C376=2,CommissionDD!$A$31,CommissionDD!$A$32))</f>
        <v>1500</v>
      </c>
      <c r="F376" s="3" t="str">
        <f t="shared" si="35"/>
        <v/>
      </c>
      <c r="G376" s="38" t="str">
        <f>IF($A376="","",(VLOOKUP($A376,Cus!$A$2:$AH$1001,23,FALSE)))</f>
        <v/>
      </c>
      <c r="H376" s="3" t="str">
        <f t="shared" si="31"/>
        <v/>
      </c>
      <c r="I376" s="56" t="str">
        <f t="shared" si="32"/>
        <v/>
      </c>
      <c r="J376" s="3" t="str">
        <f t="shared" si="33"/>
        <v/>
      </c>
      <c r="K376" s="7" t="str">
        <f t="shared" si="34"/>
        <v/>
      </c>
    </row>
    <row r="377" spans="1:11">
      <c r="A377" s="1" t="str">
        <f>IF(Cus!$B377&lt;&gt;"",Cus!$A377,"")</f>
        <v/>
      </c>
      <c r="C377" s="16">
        <v>1</v>
      </c>
      <c r="D377" s="3" t="str">
        <f t="shared" si="30"/>
        <v/>
      </c>
      <c r="E377" s="3">
        <f>IF($C377=1,CommissionDD!$A$30,IF($C377=2,CommissionDD!$A$31,CommissionDD!$A$32))</f>
        <v>1500</v>
      </c>
      <c r="F377" s="3" t="str">
        <f t="shared" si="35"/>
        <v/>
      </c>
      <c r="G377" s="38" t="str">
        <f>IF($A377="","",(VLOOKUP($A377,Cus!$A$2:$AH$1001,23,FALSE)))</f>
        <v/>
      </c>
      <c r="H377" s="3" t="str">
        <f t="shared" si="31"/>
        <v/>
      </c>
      <c r="I377" s="56" t="str">
        <f t="shared" si="32"/>
        <v/>
      </c>
      <c r="J377" s="3" t="str">
        <f t="shared" si="33"/>
        <v/>
      </c>
      <c r="K377" s="7" t="str">
        <f t="shared" si="34"/>
        <v/>
      </c>
    </row>
    <row r="378" spans="1:11">
      <c r="A378" s="1" t="str">
        <f>IF(Cus!$B378&lt;&gt;"",Cus!$A378,"")</f>
        <v/>
      </c>
      <c r="C378" s="16">
        <v>1</v>
      </c>
      <c r="D378" s="3" t="str">
        <f t="shared" si="30"/>
        <v/>
      </c>
      <c r="E378" s="3">
        <f>IF($C378=1,CommissionDD!$A$30,IF($C378=2,CommissionDD!$A$31,CommissionDD!$A$32))</f>
        <v>1500</v>
      </c>
      <c r="F378" s="3" t="str">
        <f t="shared" si="35"/>
        <v/>
      </c>
      <c r="G378" s="38" t="str">
        <f>IF($A378="","",(VLOOKUP($A378,Cus!$A$2:$AH$1001,23,FALSE)))</f>
        <v/>
      </c>
      <c r="H378" s="3" t="str">
        <f t="shared" si="31"/>
        <v/>
      </c>
      <c r="I378" s="56" t="str">
        <f t="shared" si="32"/>
        <v/>
      </c>
      <c r="J378" s="3" t="str">
        <f t="shared" si="33"/>
        <v/>
      </c>
      <c r="K378" s="7" t="str">
        <f t="shared" si="34"/>
        <v/>
      </c>
    </row>
    <row r="379" spans="1:11">
      <c r="A379" s="1" t="str">
        <f>IF(Cus!$B379&lt;&gt;"",Cus!$A379,"")</f>
        <v/>
      </c>
      <c r="C379" s="16">
        <v>1</v>
      </c>
      <c r="D379" s="3" t="str">
        <f t="shared" si="30"/>
        <v/>
      </c>
      <c r="E379" s="3">
        <f>IF($C379=1,CommissionDD!$A$30,IF($C379=2,CommissionDD!$A$31,CommissionDD!$A$32))</f>
        <v>1500</v>
      </c>
      <c r="F379" s="3" t="str">
        <f t="shared" si="35"/>
        <v/>
      </c>
      <c r="G379" s="38" t="str">
        <f>IF($A379="","",(VLOOKUP($A379,Cus!$A$2:$AH$1001,23,FALSE)))</f>
        <v/>
      </c>
      <c r="H379" s="3" t="str">
        <f t="shared" si="31"/>
        <v/>
      </c>
      <c r="I379" s="56" t="str">
        <f t="shared" si="32"/>
        <v/>
      </c>
      <c r="J379" s="3" t="str">
        <f t="shared" si="33"/>
        <v/>
      </c>
      <c r="K379" s="7" t="str">
        <f t="shared" si="34"/>
        <v/>
      </c>
    </row>
    <row r="380" spans="1:11">
      <c r="A380" s="1" t="str">
        <f>IF(Cus!$B380&lt;&gt;"",Cus!$A380,"")</f>
        <v/>
      </c>
      <c r="C380" s="16">
        <v>1</v>
      </c>
      <c r="D380" s="3" t="str">
        <f t="shared" si="30"/>
        <v/>
      </c>
      <c r="E380" s="3">
        <f>IF($C380=1,CommissionDD!$A$30,IF($C380=2,CommissionDD!$A$31,CommissionDD!$A$32))</f>
        <v>1500</v>
      </c>
      <c r="F380" s="3" t="str">
        <f t="shared" si="35"/>
        <v/>
      </c>
      <c r="G380" s="38" t="str">
        <f>IF($A380="","",(VLOOKUP($A380,Cus!$A$2:$AH$1001,23,FALSE)))</f>
        <v/>
      </c>
      <c r="H380" s="3" t="str">
        <f t="shared" si="31"/>
        <v/>
      </c>
      <c r="I380" s="56" t="str">
        <f t="shared" si="32"/>
        <v/>
      </c>
      <c r="J380" s="3" t="str">
        <f t="shared" si="33"/>
        <v/>
      </c>
      <c r="K380" s="7" t="str">
        <f t="shared" si="34"/>
        <v/>
      </c>
    </row>
    <row r="381" spans="1:11">
      <c r="A381" s="1" t="str">
        <f>IF(Cus!$B381&lt;&gt;"",Cus!$A381,"")</f>
        <v/>
      </c>
      <c r="C381" s="16">
        <v>1</v>
      </c>
      <c r="D381" s="3" t="str">
        <f t="shared" si="30"/>
        <v/>
      </c>
      <c r="E381" s="3">
        <f>IF($C381=1,CommissionDD!$A$30,IF($C381=2,CommissionDD!$A$31,CommissionDD!$A$32))</f>
        <v>1500</v>
      </c>
      <c r="F381" s="3" t="str">
        <f t="shared" si="35"/>
        <v/>
      </c>
      <c r="G381" s="38" t="str">
        <f>IF($A381="","",(VLOOKUP($A381,Cus!$A$2:$AH$1001,23,FALSE)))</f>
        <v/>
      </c>
      <c r="H381" s="3" t="str">
        <f t="shared" si="31"/>
        <v/>
      </c>
      <c r="I381" s="56" t="str">
        <f t="shared" si="32"/>
        <v/>
      </c>
      <c r="J381" s="3" t="str">
        <f t="shared" si="33"/>
        <v/>
      </c>
      <c r="K381" s="7" t="str">
        <f t="shared" si="34"/>
        <v/>
      </c>
    </row>
    <row r="382" spans="1:11">
      <c r="A382" s="1" t="str">
        <f>IF(Cus!$B382&lt;&gt;"",Cus!$A382,"")</f>
        <v/>
      </c>
      <c r="C382" s="16">
        <v>1</v>
      </c>
      <c r="D382" s="3" t="str">
        <f t="shared" si="30"/>
        <v/>
      </c>
      <c r="E382" s="3">
        <f>IF($C382=1,CommissionDD!$A$30,IF($C382=2,CommissionDD!$A$31,CommissionDD!$A$32))</f>
        <v>1500</v>
      </c>
      <c r="F382" s="3" t="str">
        <f t="shared" si="35"/>
        <v/>
      </c>
      <c r="G382" s="38" t="str">
        <f>IF($A382="","",(VLOOKUP($A382,Cus!$A$2:$AH$1001,23,FALSE)))</f>
        <v/>
      </c>
      <c r="H382" s="3" t="str">
        <f t="shared" si="31"/>
        <v/>
      </c>
      <c r="I382" s="56" t="str">
        <f t="shared" si="32"/>
        <v/>
      </c>
      <c r="J382" s="3" t="str">
        <f t="shared" si="33"/>
        <v/>
      </c>
      <c r="K382" s="7" t="str">
        <f t="shared" si="34"/>
        <v/>
      </c>
    </row>
    <row r="383" spans="1:11">
      <c r="A383" s="1" t="str">
        <f>IF(Cus!$B383&lt;&gt;"",Cus!$A383,"")</f>
        <v/>
      </c>
      <c r="C383" s="16">
        <v>1</v>
      </c>
      <c r="D383" s="3" t="str">
        <f t="shared" si="30"/>
        <v/>
      </c>
      <c r="E383" s="3">
        <f>IF($C383=1,CommissionDD!$A$30,IF($C383=2,CommissionDD!$A$31,CommissionDD!$A$32))</f>
        <v>1500</v>
      </c>
      <c r="F383" s="3" t="str">
        <f t="shared" si="35"/>
        <v/>
      </c>
      <c r="G383" s="38" t="str">
        <f>IF($A383="","",(VLOOKUP($A383,Cus!$A$2:$AH$1001,23,FALSE)))</f>
        <v/>
      </c>
      <c r="H383" s="3" t="str">
        <f t="shared" si="31"/>
        <v/>
      </c>
      <c r="I383" s="56" t="str">
        <f t="shared" si="32"/>
        <v/>
      </c>
      <c r="J383" s="3" t="str">
        <f t="shared" si="33"/>
        <v/>
      </c>
      <c r="K383" s="7" t="str">
        <f t="shared" si="34"/>
        <v/>
      </c>
    </row>
    <row r="384" spans="1:11">
      <c r="A384" s="1" t="str">
        <f>IF(Cus!$B384&lt;&gt;"",Cus!$A384,"")</f>
        <v/>
      </c>
      <c r="C384" s="16">
        <v>1</v>
      </c>
      <c r="D384" s="3" t="str">
        <f t="shared" si="30"/>
        <v/>
      </c>
      <c r="E384" s="3">
        <f>IF($C384=1,CommissionDD!$A$30,IF($C384=2,CommissionDD!$A$31,CommissionDD!$A$32))</f>
        <v>1500</v>
      </c>
      <c r="F384" s="3" t="str">
        <f t="shared" si="35"/>
        <v/>
      </c>
      <c r="G384" s="38" t="str">
        <f>IF($A384="","",(VLOOKUP($A384,Cus!$A$2:$AH$1001,23,FALSE)))</f>
        <v/>
      </c>
      <c r="H384" s="3" t="str">
        <f t="shared" si="31"/>
        <v/>
      </c>
      <c r="I384" s="56" t="str">
        <f t="shared" si="32"/>
        <v/>
      </c>
      <c r="J384" s="3" t="str">
        <f t="shared" si="33"/>
        <v/>
      </c>
      <c r="K384" s="7" t="str">
        <f t="shared" si="34"/>
        <v/>
      </c>
    </row>
    <row r="385" spans="1:11">
      <c r="A385" s="1" t="str">
        <f>IF(Cus!$B385&lt;&gt;"",Cus!$A385,"")</f>
        <v/>
      </c>
      <c r="C385" s="16">
        <v>1</v>
      </c>
      <c r="D385" s="3" t="str">
        <f t="shared" si="30"/>
        <v/>
      </c>
      <c r="E385" s="3">
        <f>IF($C385=1,CommissionDD!$A$30,IF($C385=2,CommissionDD!$A$31,CommissionDD!$A$32))</f>
        <v>1500</v>
      </c>
      <c r="F385" s="3" t="str">
        <f t="shared" si="35"/>
        <v/>
      </c>
      <c r="G385" s="38" t="str">
        <f>IF($A385="","",(VLOOKUP($A385,Cus!$A$2:$AH$1001,23,FALSE)))</f>
        <v/>
      </c>
      <c r="H385" s="3" t="str">
        <f t="shared" si="31"/>
        <v/>
      </c>
      <c r="I385" s="56" t="str">
        <f t="shared" si="32"/>
        <v/>
      </c>
      <c r="J385" s="3" t="str">
        <f t="shared" si="33"/>
        <v/>
      </c>
      <c r="K385" s="7" t="str">
        <f t="shared" si="34"/>
        <v/>
      </c>
    </row>
    <row r="386" spans="1:11">
      <c r="A386" s="1" t="str">
        <f>IF(Cus!$B386&lt;&gt;"",Cus!$A386,"")</f>
        <v/>
      </c>
      <c r="C386" s="16">
        <v>1</v>
      </c>
      <c r="D386" s="3" t="str">
        <f t="shared" ref="D386:D449" si="36">IF($A386="","",1500)</f>
        <v/>
      </c>
      <c r="E386" s="3">
        <f>IF($C386=1,CommissionDD!$A$30,IF($C386=2,CommissionDD!$A$31,CommissionDD!$A$32))</f>
        <v>1500</v>
      </c>
      <c r="F386" s="3" t="str">
        <f t="shared" si="35"/>
        <v/>
      </c>
      <c r="G386" s="38" t="str">
        <f>IF($A386="","",(VLOOKUP($A386,Cus!$A$2:$AH$1001,23,FALSE)))</f>
        <v/>
      </c>
      <c r="H386" s="3" t="str">
        <f t="shared" ref="H386:H449" si="37">IF($A386="","",395)</f>
        <v/>
      </c>
      <c r="I386" s="56" t="str">
        <f t="shared" ref="I386:I449" si="38">IF($A386="","",60)</f>
        <v/>
      </c>
      <c r="J386" s="3" t="str">
        <f t="shared" ref="J386:J449" si="39">IF($A386="","",$H386*$I386)</f>
        <v/>
      </c>
      <c r="K386" s="7" t="str">
        <f t="shared" ref="K386:K449" si="40">IF($G386="","",(DATE(YEAR($G386),MONTH($G386)+$C386,MIN(DAY($G386)))))</f>
        <v/>
      </c>
    </row>
    <row r="387" spans="1:11">
      <c r="A387" s="1" t="str">
        <f>IF(Cus!$B387&lt;&gt;"",Cus!$A387,"")</f>
        <v/>
      </c>
      <c r="C387" s="16">
        <v>1</v>
      </c>
      <c r="D387" s="3" t="str">
        <f t="shared" si="36"/>
        <v/>
      </c>
      <c r="E387" s="3">
        <f>IF($C387=1,CommissionDD!$A$30,IF($C387=2,CommissionDD!$A$31,CommissionDD!$A$32))</f>
        <v>1500</v>
      </c>
      <c r="F387" s="3" t="str">
        <f t="shared" ref="F387:F450" si="41">IF($A387="","",$D387-$E387)</f>
        <v/>
      </c>
      <c r="G387" s="38" t="str">
        <f>IF($A387="","",(VLOOKUP($A387,Cus!$A$2:$AH$1001,23,FALSE)))</f>
        <v/>
      </c>
      <c r="H387" s="3" t="str">
        <f t="shared" si="37"/>
        <v/>
      </c>
      <c r="I387" s="56" t="str">
        <f t="shared" si="38"/>
        <v/>
      </c>
      <c r="J387" s="3" t="str">
        <f t="shared" si="39"/>
        <v/>
      </c>
      <c r="K387" s="7" t="str">
        <f t="shared" si="40"/>
        <v/>
      </c>
    </row>
    <row r="388" spans="1:11">
      <c r="A388" s="1" t="str">
        <f>IF(Cus!$B388&lt;&gt;"",Cus!$A388,"")</f>
        <v/>
      </c>
      <c r="C388" s="16">
        <v>1</v>
      </c>
      <c r="D388" s="3" t="str">
        <f t="shared" si="36"/>
        <v/>
      </c>
      <c r="E388" s="3">
        <f>IF($C388=1,CommissionDD!$A$30,IF($C388=2,CommissionDD!$A$31,CommissionDD!$A$32))</f>
        <v>1500</v>
      </c>
      <c r="F388" s="3" t="str">
        <f t="shared" si="41"/>
        <v/>
      </c>
      <c r="G388" s="38" t="str">
        <f>IF($A388="","",(VLOOKUP($A388,Cus!$A$2:$AH$1001,23,FALSE)))</f>
        <v/>
      </c>
      <c r="H388" s="3" t="str">
        <f t="shared" si="37"/>
        <v/>
      </c>
      <c r="I388" s="56" t="str">
        <f t="shared" si="38"/>
        <v/>
      </c>
      <c r="J388" s="3" t="str">
        <f t="shared" si="39"/>
        <v/>
      </c>
      <c r="K388" s="7" t="str">
        <f t="shared" si="40"/>
        <v/>
      </c>
    </row>
    <row r="389" spans="1:11">
      <c r="A389" s="1" t="str">
        <f>IF(Cus!$B389&lt;&gt;"",Cus!$A389,"")</f>
        <v/>
      </c>
      <c r="C389" s="16">
        <v>1</v>
      </c>
      <c r="D389" s="3" t="str">
        <f t="shared" si="36"/>
        <v/>
      </c>
      <c r="E389" s="3">
        <f>IF($C389=1,CommissionDD!$A$30,IF($C389=2,CommissionDD!$A$31,CommissionDD!$A$32))</f>
        <v>1500</v>
      </c>
      <c r="F389" s="3" t="str">
        <f t="shared" si="41"/>
        <v/>
      </c>
      <c r="G389" s="38" t="str">
        <f>IF($A389="","",(VLOOKUP($A389,Cus!$A$2:$AH$1001,23,FALSE)))</f>
        <v/>
      </c>
      <c r="H389" s="3" t="str">
        <f t="shared" si="37"/>
        <v/>
      </c>
      <c r="I389" s="56" t="str">
        <f t="shared" si="38"/>
        <v/>
      </c>
      <c r="J389" s="3" t="str">
        <f t="shared" si="39"/>
        <v/>
      </c>
      <c r="K389" s="7" t="str">
        <f t="shared" si="40"/>
        <v/>
      </c>
    </row>
    <row r="390" spans="1:11">
      <c r="A390" s="1" t="str">
        <f>IF(Cus!$B390&lt;&gt;"",Cus!$A390,"")</f>
        <v/>
      </c>
      <c r="C390" s="16">
        <v>1</v>
      </c>
      <c r="D390" s="3" t="str">
        <f t="shared" si="36"/>
        <v/>
      </c>
      <c r="E390" s="3">
        <f>IF($C390=1,CommissionDD!$A$30,IF($C390=2,CommissionDD!$A$31,CommissionDD!$A$32))</f>
        <v>1500</v>
      </c>
      <c r="F390" s="3" t="str">
        <f t="shared" si="41"/>
        <v/>
      </c>
      <c r="G390" s="38" t="str">
        <f>IF($A390="","",(VLOOKUP($A390,Cus!$A$2:$AH$1001,23,FALSE)))</f>
        <v/>
      </c>
      <c r="H390" s="3" t="str">
        <f t="shared" si="37"/>
        <v/>
      </c>
      <c r="I390" s="56" t="str">
        <f t="shared" si="38"/>
        <v/>
      </c>
      <c r="J390" s="3" t="str">
        <f t="shared" si="39"/>
        <v/>
      </c>
      <c r="K390" s="7" t="str">
        <f t="shared" si="40"/>
        <v/>
      </c>
    </row>
    <row r="391" spans="1:11">
      <c r="A391" s="1" t="str">
        <f>IF(Cus!$B391&lt;&gt;"",Cus!$A391,"")</f>
        <v/>
      </c>
      <c r="C391" s="16">
        <v>1</v>
      </c>
      <c r="D391" s="3" t="str">
        <f t="shared" si="36"/>
        <v/>
      </c>
      <c r="E391" s="3">
        <f>IF($C391=1,CommissionDD!$A$30,IF($C391=2,CommissionDD!$A$31,CommissionDD!$A$32))</f>
        <v>1500</v>
      </c>
      <c r="F391" s="3" t="str">
        <f t="shared" si="41"/>
        <v/>
      </c>
      <c r="G391" s="38" t="str">
        <f>IF($A391="","",(VLOOKUP($A391,Cus!$A$2:$AH$1001,23,FALSE)))</f>
        <v/>
      </c>
      <c r="H391" s="3" t="str">
        <f t="shared" si="37"/>
        <v/>
      </c>
      <c r="I391" s="56" t="str">
        <f t="shared" si="38"/>
        <v/>
      </c>
      <c r="J391" s="3" t="str">
        <f t="shared" si="39"/>
        <v/>
      </c>
      <c r="K391" s="7" t="str">
        <f t="shared" si="40"/>
        <v/>
      </c>
    </row>
    <row r="392" spans="1:11">
      <c r="A392" s="1" t="str">
        <f>IF(Cus!$B392&lt;&gt;"",Cus!$A392,"")</f>
        <v/>
      </c>
      <c r="C392" s="16">
        <v>1</v>
      </c>
      <c r="D392" s="3" t="str">
        <f t="shared" si="36"/>
        <v/>
      </c>
      <c r="E392" s="3">
        <f>IF($C392=1,CommissionDD!$A$30,IF($C392=2,CommissionDD!$A$31,CommissionDD!$A$32))</f>
        <v>1500</v>
      </c>
      <c r="F392" s="3" t="str">
        <f t="shared" si="41"/>
        <v/>
      </c>
      <c r="G392" s="38" t="str">
        <f>IF($A392="","",(VLOOKUP($A392,Cus!$A$2:$AH$1001,23,FALSE)))</f>
        <v/>
      </c>
      <c r="H392" s="3" t="str">
        <f t="shared" si="37"/>
        <v/>
      </c>
      <c r="I392" s="56" t="str">
        <f t="shared" si="38"/>
        <v/>
      </c>
      <c r="J392" s="3" t="str">
        <f t="shared" si="39"/>
        <v/>
      </c>
      <c r="K392" s="7" t="str">
        <f t="shared" si="40"/>
        <v/>
      </c>
    </row>
    <row r="393" spans="1:11">
      <c r="A393" s="1" t="str">
        <f>IF(Cus!$B393&lt;&gt;"",Cus!$A393,"")</f>
        <v/>
      </c>
      <c r="C393" s="16">
        <v>1</v>
      </c>
      <c r="D393" s="3" t="str">
        <f t="shared" si="36"/>
        <v/>
      </c>
      <c r="E393" s="3">
        <f>IF($C393=1,CommissionDD!$A$30,IF($C393=2,CommissionDD!$A$31,CommissionDD!$A$32))</f>
        <v>1500</v>
      </c>
      <c r="F393" s="3" t="str">
        <f t="shared" si="41"/>
        <v/>
      </c>
      <c r="G393" s="38" t="str">
        <f>IF($A393="","",(VLOOKUP($A393,Cus!$A$2:$AH$1001,23,FALSE)))</f>
        <v/>
      </c>
      <c r="H393" s="3" t="str">
        <f t="shared" si="37"/>
        <v/>
      </c>
      <c r="I393" s="56" t="str">
        <f t="shared" si="38"/>
        <v/>
      </c>
      <c r="J393" s="3" t="str">
        <f t="shared" si="39"/>
        <v/>
      </c>
      <c r="K393" s="7" t="str">
        <f t="shared" si="40"/>
        <v/>
      </c>
    </row>
    <row r="394" spans="1:11">
      <c r="A394" s="1" t="str">
        <f>IF(Cus!$B394&lt;&gt;"",Cus!$A394,"")</f>
        <v/>
      </c>
      <c r="C394" s="16">
        <v>1</v>
      </c>
      <c r="D394" s="3" t="str">
        <f t="shared" si="36"/>
        <v/>
      </c>
      <c r="E394" s="3">
        <f>IF($C394=1,CommissionDD!$A$30,IF($C394=2,CommissionDD!$A$31,CommissionDD!$A$32))</f>
        <v>1500</v>
      </c>
      <c r="F394" s="3" t="str">
        <f t="shared" si="41"/>
        <v/>
      </c>
      <c r="G394" s="38" t="str">
        <f>IF($A394="","",(VLOOKUP($A394,Cus!$A$2:$AH$1001,23,FALSE)))</f>
        <v/>
      </c>
      <c r="H394" s="3" t="str">
        <f t="shared" si="37"/>
        <v/>
      </c>
      <c r="I394" s="56" t="str">
        <f t="shared" si="38"/>
        <v/>
      </c>
      <c r="J394" s="3" t="str">
        <f t="shared" si="39"/>
        <v/>
      </c>
      <c r="K394" s="7" t="str">
        <f t="shared" si="40"/>
        <v/>
      </c>
    </row>
    <row r="395" spans="1:11">
      <c r="A395" s="1" t="str">
        <f>IF(Cus!$B395&lt;&gt;"",Cus!$A395,"")</f>
        <v/>
      </c>
      <c r="C395" s="16">
        <v>1</v>
      </c>
      <c r="D395" s="3" t="str">
        <f t="shared" si="36"/>
        <v/>
      </c>
      <c r="E395" s="3">
        <f>IF($C395=1,CommissionDD!$A$30,IF($C395=2,CommissionDD!$A$31,CommissionDD!$A$32))</f>
        <v>1500</v>
      </c>
      <c r="F395" s="3" t="str">
        <f t="shared" si="41"/>
        <v/>
      </c>
      <c r="G395" s="38" t="str">
        <f>IF($A395="","",(VLOOKUP($A395,Cus!$A$2:$AH$1001,23,FALSE)))</f>
        <v/>
      </c>
      <c r="H395" s="3" t="str">
        <f t="shared" si="37"/>
        <v/>
      </c>
      <c r="I395" s="56" t="str">
        <f t="shared" si="38"/>
        <v/>
      </c>
      <c r="J395" s="3" t="str">
        <f t="shared" si="39"/>
        <v/>
      </c>
      <c r="K395" s="7" t="str">
        <f t="shared" si="40"/>
        <v/>
      </c>
    </row>
    <row r="396" spans="1:11">
      <c r="A396" s="1" t="str">
        <f>IF(Cus!$B396&lt;&gt;"",Cus!$A396,"")</f>
        <v/>
      </c>
      <c r="C396" s="16">
        <v>1</v>
      </c>
      <c r="D396" s="3" t="str">
        <f t="shared" si="36"/>
        <v/>
      </c>
      <c r="E396" s="3">
        <f>IF($C396=1,CommissionDD!$A$30,IF($C396=2,CommissionDD!$A$31,CommissionDD!$A$32))</f>
        <v>1500</v>
      </c>
      <c r="F396" s="3" t="str">
        <f t="shared" si="41"/>
        <v/>
      </c>
      <c r="G396" s="38" t="str">
        <f>IF($A396="","",(VLOOKUP($A396,Cus!$A$2:$AH$1001,23,FALSE)))</f>
        <v/>
      </c>
      <c r="H396" s="3" t="str">
        <f t="shared" si="37"/>
        <v/>
      </c>
      <c r="I396" s="56" t="str">
        <f t="shared" si="38"/>
        <v/>
      </c>
      <c r="J396" s="3" t="str">
        <f t="shared" si="39"/>
        <v/>
      </c>
      <c r="K396" s="7" t="str">
        <f t="shared" si="40"/>
        <v/>
      </c>
    </row>
    <row r="397" spans="1:11">
      <c r="A397" s="1" t="str">
        <f>IF(Cus!$B397&lt;&gt;"",Cus!$A397,"")</f>
        <v/>
      </c>
      <c r="C397" s="16">
        <v>1</v>
      </c>
      <c r="D397" s="3" t="str">
        <f t="shared" si="36"/>
        <v/>
      </c>
      <c r="E397" s="3">
        <f>IF($C397=1,CommissionDD!$A$30,IF($C397=2,CommissionDD!$A$31,CommissionDD!$A$32))</f>
        <v>1500</v>
      </c>
      <c r="F397" s="3" t="str">
        <f t="shared" si="41"/>
        <v/>
      </c>
      <c r="G397" s="38" t="str">
        <f>IF($A397="","",(VLOOKUP($A397,Cus!$A$2:$AH$1001,23,FALSE)))</f>
        <v/>
      </c>
      <c r="H397" s="3" t="str">
        <f t="shared" si="37"/>
        <v/>
      </c>
      <c r="I397" s="56" t="str">
        <f t="shared" si="38"/>
        <v/>
      </c>
      <c r="J397" s="3" t="str">
        <f t="shared" si="39"/>
        <v/>
      </c>
      <c r="K397" s="7" t="str">
        <f t="shared" si="40"/>
        <v/>
      </c>
    </row>
    <row r="398" spans="1:11">
      <c r="A398" s="1" t="str">
        <f>IF(Cus!$B398&lt;&gt;"",Cus!$A398,"")</f>
        <v/>
      </c>
      <c r="C398" s="16">
        <v>1</v>
      </c>
      <c r="D398" s="3" t="str">
        <f t="shared" si="36"/>
        <v/>
      </c>
      <c r="E398" s="3">
        <f>IF($C398=1,CommissionDD!$A$30,IF($C398=2,CommissionDD!$A$31,CommissionDD!$A$32))</f>
        <v>1500</v>
      </c>
      <c r="F398" s="3" t="str">
        <f t="shared" si="41"/>
        <v/>
      </c>
      <c r="G398" s="38" t="str">
        <f>IF($A398="","",(VLOOKUP($A398,Cus!$A$2:$AH$1001,23,FALSE)))</f>
        <v/>
      </c>
      <c r="H398" s="3" t="str">
        <f t="shared" si="37"/>
        <v/>
      </c>
      <c r="I398" s="56" t="str">
        <f t="shared" si="38"/>
        <v/>
      </c>
      <c r="J398" s="3" t="str">
        <f t="shared" si="39"/>
        <v/>
      </c>
      <c r="K398" s="7" t="str">
        <f t="shared" si="40"/>
        <v/>
      </c>
    </row>
    <row r="399" spans="1:11">
      <c r="A399" s="1" t="str">
        <f>IF(Cus!$B399&lt;&gt;"",Cus!$A399,"")</f>
        <v/>
      </c>
      <c r="C399" s="16">
        <v>1</v>
      </c>
      <c r="D399" s="3" t="str">
        <f t="shared" si="36"/>
        <v/>
      </c>
      <c r="E399" s="3">
        <f>IF($C399=1,CommissionDD!$A$30,IF($C399=2,CommissionDD!$A$31,CommissionDD!$A$32))</f>
        <v>1500</v>
      </c>
      <c r="F399" s="3" t="str">
        <f t="shared" si="41"/>
        <v/>
      </c>
      <c r="G399" s="38" t="str">
        <f>IF($A399="","",(VLOOKUP($A399,Cus!$A$2:$AH$1001,23,FALSE)))</f>
        <v/>
      </c>
      <c r="H399" s="3" t="str">
        <f t="shared" si="37"/>
        <v/>
      </c>
      <c r="I399" s="56" t="str">
        <f t="shared" si="38"/>
        <v/>
      </c>
      <c r="J399" s="3" t="str">
        <f t="shared" si="39"/>
        <v/>
      </c>
      <c r="K399" s="7" t="str">
        <f t="shared" si="40"/>
        <v/>
      </c>
    </row>
    <row r="400" spans="1:11">
      <c r="A400" s="1" t="str">
        <f>IF(Cus!$B400&lt;&gt;"",Cus!$A400,"")</f>
        <v/>
      </c>
      <c r="C400" s="16">
        <v>1</v>
      </c>
      <c r="D400" s="3" t="str">
        <f t="shared" si="36"/>
        <v/>
      </c>
      <c r="E400" s="3">
        <f>IF($C400=1,CommissionDD!$A$30,IF($C400=2,CommissionDD!$A$31,CommissionDD!$A$32))</f>
        <v>1500</v>
      </c>
      <c r="F400" s="3" t="str">
        <f t="shared" si="41"/>
        <v/>
      </c>
      <c r="G400" s="38" t="str">
        <f>IF($A400="","",(VLOOKUP($A400,Cus!$A$2:$AH$1001,23,FALSE)))</f>
        <v/>
      </c>
      <c r="H400" s="3" t="str">
        <f t="shared" si="37"/>
        <v/>
      </c>
      <c r="I400" s="56" t="str">
        <f t="shared" si="38"/>
        <v/>
      </c>
      <c r="J400" s="3" t="str">
        <f t="shared" si="39"/>
        <v/>
      </c>
      <c r="K400" s="7" t="str">
        <f t="shared" si="40"/>
        <v/>
      </c>
    </row>
    <row r="401" spans="1:11">
      <c r="A401" s="1" t="str">
        <f>IF(Cus!$B401&lt;&gt;"",Cus!$A401,"")</f>
        <v/>
      </c>
      <c r="C401" s="16">
        <v>1</v>
      </c>
      <c r="D401" s="3" t="str">
        <f t="shared" si="36"/>
        <v/>
      </c>
      <c r="E401" s="3">
        <f>IF($C401=1,CommissionDD!$A$30,IF($C401=2,CommissionDD!$A$31,CommissionDD!$A$32))</f>
        <v>1500</v>
      </c>
      <c r="F401" s="3" t="str">
        <f t="shared" si="41"/>
        <v/>
      </c>
      <c r="G401" s="38" t="str">
        <f>IF($A401="","",(VLOOKUP($A401,Cus!$A$2:$AH$1001,23,FALSE)))</f>
        <v/>
      </c>
      <c r="H401" s="3" t="str">
        <f t="shared" si="37"/>
        <v/>
      </c>
      <c r="I401" s="56" t="str">
        <f t="shared" si="38"/>
        <v/>
      </c>
      <c r="J401" s="3" t="str">
        <f t="shared" si="39"/>
        <v/>
      </c>
      <c r="K401" s="7" t="str">
        <f t="shared" si="40"/>
        <v/>
      </c>
    </row>
    <row r="402" spans="1:11">
      <c r="A402" s="1" t="str">
        <f>IF(Cus!$B402&lt;&gt;"",Cus!$A402,"")</f>
        <v/>
      </c>
      <c r="C402" s="16">
        <v>1</v>
      </c>
      <c r="D402" s="3" t="str">
        <f t="shared" si="36"/>
        <v/>
      </c>
      <c r="E402" s="3">
        <f>IF($C402=1,CommissionDD!$A$30,IF($C402=2,CommissionDD!$A$31,CommissionDD!$A$32))</f>
        <v>1500</v>
      </c>
      <c r="F402" s="3" t="str">
        <f t="shared" si="41"/>
        <v/>
      </c>
      <c r="G402" s="38" t="str">
        <f>IF($A402="","",(VLOOKUP($A402,Cus!$A$2:$AH$1001,23,FALSE)))</f>
        <v/>
      </c>
      <c r="H402" s="3" t="str">
        <f t="shared" si="37"/>
        <v/>
      </c>
      <c r="I402" s="56" t="str">
        <f t="shared" si="38"/>
        <v/>
      </c>
      <c r="J402" s="3" t="str">
        <f t="shared" si="39"/>
        <v/>
      </c>
      <c r="K402" s="7" t="str">
        <f t="shared" si="40"/>
        <v/>
      </c>
    </row>
    <row r="403" spans="1:11">
      <c r="A403" s="1" t="str">
        <f>IF(Cus!$B403&lt;&gt;"",Cus!$A403,"")</f>
        <v/>
      </c>
      <c r="C403" s="16">
        <v>1</v>
      </c>
      <c r="D403" s="3" t="str">
        <f t="shared" si="36"/>
        <v/>
      </c>
      <c r="E403" s="3">
        <f>IF($C403=1,CommissionDD!$A$30,IF($C403=2,CommissionDD!$A$31,CommissionDD!$A$32))</f>
        <v>1500</v>
      </c>
      <c r="F403" s="3" t="str">
        <f t="shared" si="41"/>
        <v/>
      </c>
      <c r="G403" s="38" t="str">
        <f>IF($A403="","",(VLOOKUP($A403,Cus!$A$2:$AH$1001,23,FALSE)))</f>
        <v/>
      </c>
      <c r="H403" s="3" t="str">
        <f t="shared" si="37"/>
        <v/>
      </c>
      <c r="I403" s="56" t="str">
        <f t="shared" si="38"/>
        <v/>
      </c>
      <c r="J403" s="3" t="str">
        <f t="shared" si="39"/>
        <v/>
      </c>
      <c r="K403" s="7" t="str">
        <f t="shared" si="40"/>
        <v/>
      </c>
    </row>
    <row r="404" spans="1:11">
      <c r="A404" s="1" t="str">
        <f>IF(Cus!$B404&lt;&gt;"",Cus!$A404,"")</f>
        <v/>
      </c>
      <c r="C404" s="16">
        <v>1</v>
      </c>
      <c r="D404" s="3" t="str">
        <f t="shared" si="36"/>
        <v/>
      </c>
      <c r="E404" s="3">
        <f>IF($C404=1,CommissionDD!$A$30,IF($C404=2,CommissionDD!$A$31,CommissionDD!$A$32))</f>
        <v>1500</v>
      </c>
      <c r="F404" s="3" t="str">
        <f t="shared" si="41"/>
        <v/>
      </c>
      <c r="G404" s="38" t="str">
        <f>IF($A404="","",(VLOOKUP($A404,Cus!$A$2:$AH$1001,23,FALSE)))</f>
        <v/>
      </c>
      <c r="H404" s="3" t="str">
        <f t="shared" si="37"/>
        <v/>
      </c>
      <c r="I404" s="56" t="str">
        <f t="shared" si="38"/>
        <v/>
      </c>
      <c r="J404" s="3" t="str">
        <f t="shared" si="39"/>
        <v/>
      </c>
      <c r="K404" s="7" t="str">
        <f t="shared" si="40"/>
        <v/>
      </c>
    </row>
    <row r="405" spans="1:11">
      <c r="A405" s="1" t="str">
        <f>IF(Cus!$B405&lt;&gt;"",Cus!$A405,"")</f>
        <v/>
      </c>
      <c r="C405" s="16">
        <v>1</v>
      </c>
      <c r="D405" s="3" t="str">
        <f t="shared" si="36"/>
        <v/>
      </c>
      <c r="E405" s="3">
        <f>IF($C405=1,CommissionDD!$A$30,IF($C405=2,CommissionDD!$A$31,CommissionDD!$A$32))</f>
        <v>1500</v>
      </c>
      <c r="F405" s="3" t="str">
        <f t="shared" si="41"/>
        <v/>
      </c>
      <c r="G405" s="38" t="str">
        <f>IF($A405="","",(VLOOKUP($A405,Cus!$A$2:$AH$1001,23,FALSE)))</f>
        <v/>
      </c>
      <c r="H405" s="3" t="str">
        <f t="shared" si="37"/>
        <v/>
      </c>
      <c r="I405" s="56" t="str">
        <f t="shared" si="38"/>
        <v/>
      </c>
      <c r="J405" s="3" t="str">
        <f t="shared" si="39"/>
        <v/>
      </c>
      <c r="K405" s="7" t="str">
        <f t="shared" si="40"/>
        <v/>
      </c>
    </row>
    <row r="406" spans="1:11">
      <c r="A406" s="1" t="str">
        <f>IF(Cus!$B406&lt;&gt;"",Cus!$A406,"")</f>
        <v/>
      </c>
      <c r="C406" s="16">
        <v>1</v>
      </c>
      <c r="D406" s="3" t="str">
        <f t="shared" si="36"/>
        <v/>
      </c>
      <c r="E406" s="3">
        <f>IF($C406=1,CommissionDD!$A$30,IF($C406=2,CommissionDD!$A$31,CommissionDD!$A$32))</f>
        <v>1500</v>
      </c>
      <c r="F406" s="3" t="str">
        <f t="shared" si="41"/>
        <v/>
      </c>
      <c r="G406" s="38" t="str">
        <f>IF($A406="","",(VLOOKUP($A406,Cus!$A$2:$AH$1001,23,FALSE)))</f>
        <v/>
      </c>
      <c r="H406" s="3" t="str">
        <f t="shared" si="37"/>
        <v/>
      </c>
      <c r="I406" s="56" t="str">
        <f t="shared" si="38"/>
        <v/>
      </c>
      <c r="J406" s="3" t="str">
        <f t="shared" si="39"/>
        <v/>
      </c>
      <c r="K406" s="7" t="str">
        <f t="shared" si="40"/>
        <v/>
      </c>
    </row>
    <row r="407" spans="1:11">
      <c r="A407" s="1" t="str">
        <f>IF(Cus!$B407&lt;&gt;"",Cus!$A407,"")</f>
        <v/>
      </c>
      <c r="C407" s="16">
        <v>1</v>
      </c>
      <c r="D407" s="3" t="str">
        <f t="shared" si="36"/>
        <v/>
      </c>
      <c r="E407" s="3">
        <f>IF($C407=1,CommissionDD!$A$30,IF($C407=2,CommissionDD!$A$31,CommissionDD!$A$32))</f>
        <v>1500</v>
      </c>
      <c r="F407" s="3" t="str">
        <f t="shared" si="41"/>
        <v/>
      </c>
      <c r="G407" s="38" t="str">
        <f>IF($A407="","",(VLOOKUP($A407,Cus!$A$2:$AH$1001,23,FALSE)))</f>
        <v/>
      </c>
      <c r="H407" s="3" t="str">
        <f t="shared" si="37"/>
        <v/>
      </c>
      <c r="I407" s="56" t="str">
        <f t="shared" si="38"/>
        <v/>
      </c>
      <c r="J407" s="3" t="str">
        <f t="shared" si="39"/>
        <v/>
      </c>
      <c r="K407" s="7" t="str">
        <f t="shared" si="40"/>
        <v/>
      </c>
    </row>
    <row r="408" spans="1:11">
      <c r="A408" s="1" t="str">
        <f>IF(Cus!$B408&lt;&gt;"",Cus!$A408,"")</f>
        <v/>
      </c>
      <c r="C408" s="16">
        <v>1</v>
      </c>
      <c r="D408" s="3" t="str">
        <f t="shared" si="36"/>
        <v/>
      </c>
      <c r="E408" s="3">
        <f>IF($C408=1,CommissionDD!$A$30,IF($C408=2,CommissionDD!$A$31,CommissionDD!$A$32))</f>
        <v>1500</v>
      </c>
      <c r="F408" s="3" t="str">
        <f t="shared" si="41"/>
        <v/>
      </c>
      <c r="G408" s="38" t="str">
        <f>IF($A408="","",(VLOOKUP($A408,Cus!$A$2:$AH$1001,23,FALSE)))</f>
        <v/>
      </c>
      <c r="H408" s="3" t="str">
        <f t="shared" si="37"/>
        <v/>
      </c>
      <c r="I408" s="56" t="str">
        <f t="shared" si="38"/>
        <v/>
      </c>
      <c r="J408" s="3" t="str">
        <f t="shared" si="39"/>
        <v/>
      </c>
      <c r="K408" s="7" t="str">
        <f t="shared" si="40"/>
        <v/>
      </c>
    </row>
    <row r="409" spans="1:11">
      <c r="A409" s="1" t="str">
        <f>IF(Cus!$B409&lt;&gt;"",Cus!$A409,"")</f>
        <v/>
      </c>
      <c r="C409" s="16">
        <v>1</v>
      </c>
      <c r="D409" s="3" t="str">
        <f t="shared" si="36"/>
        <v/>
      </c>
      <c r="E409" s="3">
        <f>IF($C409=1,CommissionDD!$A$30,IF($C409=2,CommissionDD!$A$31,CommissionDD!$A$32))</f>
        <v>1500</v>
      </c>
      <c r="F409" s="3" t="str">
        <f t="shared" si="41"/>
        <v/>
      </c>
      <c r="G409" s="38" t="str">
        <f>IF($A409="","",(VLOOKUP($A409,Cus!$A$2:$AH$1001,23,FALSE)))</f>
        <v/>
      </c>
      <c r="H409" s="3" t="str">
        <f t="shared" si="37"/>
        <v/>
      </c>
      <c r="I409" s="56" t="str">
        <f t="shared" si="38"/>
        <v/>
      </c>
      <c r="J409" s="3" t="str">
        <f t="shared" si="39"/>
        <v/>
      </c>
      <c r="K409" s="7" t="str">
        <f t="shared" si="40"/>
        <v/>
      </c>
    </row>
    <row r="410" spans="1:11">
      <c r="A410" s="1" t="str">
        <f>IF(Cus!$B410&lt;&gt;"",Cus!$A410,"")</f>
        <v/>
      </c>
      <c r="C410" s="16">
        <v>1</v>
      </c>
      <c r="D410" s="3" t="str">
        <f t="shared" si="36"/>
        <v/>
      </c>
      <c r="E410" s="3">
        <f>IF($C410=1,CommissionDD!$A$30,IF($C410=2,CommissionDD!$A$31,CommissionDD!$A$32))</f>
        <v>1500</v>
      </c>
      <c r="F410" s="3" t="str">
        <f t="shared" si="41"/>
        <v/>
      </c>
      <c r="G410" s="38" t="str">
        <f>IF($A410="","",(VLOOKUP($A410,Cus!$A$2:$AH$1001,23,FALSE)))</f>
        <v/>
      </c>
      <c r="H410" s="3" t="str">
        <f t="shared" si="37"/>
        <v/>
      </c>
      <c r="I410" s="56" t="str">
        <f t="shared" si="38"/>
        <v/>
      </c>
      <c r="J410" s="3" t="str">
        <f t="shared" si="39"/>
        <v/>
      </c>
      <c r="K410" s="7" t="str">
        <f t="shared" si="40"/>
        <v/>
      </c>
    </row>
    <row r="411" spans="1:11">
      <c r="A411" s="1" t="str">
        <f>IF(Cus!$B411&lt;&gt;"",Cus!$A411,"")</f>
        <v/>
      </c>
      <c r="C411" s="16">
        <v>1</v>
      </c>
      <c r="D411" s="3" t="str">
        <f t="shared" si="36"/>
        <v/>
      </c>
      <c r="E411" s="3">
        <f>IF($C411=1,CommissionDD!$A$30,IF($C411=2,CommissionDD!$A$31,CommissionDD!$A$32))</f>
        <v>1500</v>
      </c>
      <c r="F411" s="3" t="str">
        <f t="shared" si="41"/>
        <v/>
      </c>
      <c r="G411" s="38" t="str">
        <f>IF($A411="","",(VLOOKUP($A411,Cus!$A$2:$AH$1001,23,FALSE)))</f>
        <v/>
      </c>
      <c r="H411" s="3" t="str">
        <f t="shared" si="37"/>
        <v/>
      </c>
      <c r="I411" s="56" t="str">
        <f t="shared" si="38"/>
        <v/>
      </c>
      <c r="J411" s="3" t="str">
        <f t="shared" si="39"/>
        <v/>
      </c>
      <c r="K411" s="7" t="str">
        <f t="shared" si="40"/>
        <v/>
      </c>
    </row>
    <row r="412" spans="1:11">
      <c r="A412" s="1" t="str">
        <f>IF(Cus!$B412&lt;&gt;"",Cus!$A412,"")</f>
        <v/>
      </c>
      <c r="C412" s="16">
        <v>1</v>
      </c>
      <c r="D412" s="3" t="str">
        <f t="shared" si="36"/>
        <v/>
      </c>
      <c r="E412" s="3">
        <f>IF($C412=1,CommissionDD!$A$30,IF($C412=2,CommissionDD!$A$31,CommissionDD!$A$32))</f>
        <v>1500</v>
      </c>
      <c r="F412" s="3" t="str">
        <f t="shared" si="41"/>
        <v/>
      </c>
      <c r="G412" s="38" t="str">
        <f>IF($A412="","",(VLOOKUP($A412,Cus!$A$2:$AH$1001,23,FALSE)))</f>
        <v/>
      </c>
      <c r="H412" s="3" t="str">
        <f t="shared" si="37"/>
        <v/>
      </c>
      <c r="I412" s="56" t="str">
        <f t="shared" si="38"/>
        <v/>
      </c>
      <c r="J412" s="3" t="str">
        <f t="shared" si="39"/>
        <v/>
      </c>
      <c r="K412" s="7" t="str">
        <f t="shared" si="40"/>
        <v/>
      </c>
    </row>
    <row r="413" spans="1:11">
      <c r="A413" s="1" t="str">
        <f>IF(Cus!$B413&lt;&gt;"",Cus!$A413,"")</f>
        <v/>
      </c>
      <c r="C413" s="16">
        <v>1</v>
      </c>
      <c r="D413" s="3" t="str">
        <f t="shared" si="36"/>
        <v/>
      </c>
      <c r="E413" s="3">
        <f>IF($C413=1,CommissionDD!$A$30,IF($C413=2,CommissionDD!$A$31,CommissionDD!$A$32))</f>
        <v>1500</v>
      </c>
      <c r="F413" s="3" t="str">
        <f t="shared" si="41"/>
        <v/>
      </c>
      <c r="G413" s="38" t="str">
        <f>IF($A413="","",(VLOOKUP($A413,Cus!$A$2:$AH$1001,23,FALSE)))</f>
        <v/>
      </c>
      <c r="H413" s="3" t="str">
        <f t="shared" si="37"/>
        <v/>
      </c>
      <c r="I413" s="56" t="str">
        <f t="shared" si="38"/>
        <v/>
      </c>
      <c r="J413" s="3" t="str">
        <f t="shared" si="39"/>
        <v/>
      </c>
      <c r="K413" s="7" t="str">
        <f t="shared" si="40"/>
        <v/>
      </c>
    </row>
    <row r="414" spans="1:11">
      <c r="A414" s="1" t="str">
        <f>IF(Cus!$B414&lt;&gt;"",Cus!$A414,"")</f>
        <v/>
      </c>
      <c r="C414" s="16">
        <v>1</v>
      </c>
      <c r="D414" s="3" t="str">
        <f t="shared" si="36"/>
        <v/>
      </c>
      <c r="E414" s="3">
        <f>IF($C414=1,CommissionDD!$A$30,IF($C414=2,CommissionDD!$A$31,CommissionDD!$A$32))</f>
        <v>1500</v>
      </c>
      <c r="F414" s="3" t="str">
        <f t="shared" si="41"/>
        <v/>
      </c>
      <c r="G414" s="38" t="str">
        <f>IF($A414="","",(VLOOKUP($A414,Cus!$A$2:$AH$1001,23,FALSE)))</f>
        <v/>
      </c>
      <c r="H414" s="3" t="str">
        <f t="shared" si="37"/>
        <v/>
      </c>
      <c r="I414" s="56" t="str">
        <f t="shared" si="38"/>
        <v/>
      </c>
      <c r="J414" s="3" t="str">
        <f t="shared" si="39"/>
        <v/>
      </c>
      <c r="K414" s="7" t="str">
        <f t="shared" si="40"/>
        <v/>
      </c>
    </row>
    <row r="415" spans="1:11">
      <c r="A415" s="1" t="str">
        <f>IF(Cus!$B415&lt;&gt;"",Cus!$A415,"")</f>
        <v/>
      </c>
      <c r="C415" s="16">
        <v>1</v>
      </c>
      <c r="D415" s="3" t="str">
        <f t="shared" si="36"/>
        <v/>
      </c>
      <c r="E415" s="3">
        <f>IF($C415=1,CommissionDD!$A$30,IF($C415=2,CommissionDD!$A$31,CommissionDD!$A$32))</f>
        <v>1500</v>
      </c>
      <c r="F415" s="3" t="str">
        <f t="shared" si="41"/>
        <v/>
      </c>
      <c r="G415" s="38" t="str">
        <f>IF($A415="","",(VLOOKUP($A415,Cus!$A$2:$AH$1001,23,FALSE)))</f>
        <v/>
      </c>
      <c r="H415" s="3" t="str">
        <f t="shared" si="37"/>
        <v/>
      </c>
      <c r="I415" s="56" t="str">
        <f t="shared" si="38"/>
        <v/>
      </c>
      <c r="J415" s="3" t="str">
        <f t="shared" si="39"/>
        <v/>
      </c>
      <c r="K415" s="7" t="str">
        <f t="shared" si="40"/>
        <v/>
      </c>
    </row>
    <row r="416" spans="1:11">
      <c r="A416" s="1" t="str">
        <f>IF(Cus!$B416&lt;&gt;"",Cus!$A416,"")</f>
        <v/>
      </c>
      <c r="C416" s="16">
        <v>1</v>
      </c>
      <c r="D416" s="3" t="str">
        <f t="shared" si="36"/>
        <v/>
      </c>
      <c r="E416" s="3">
        <f>IF($C416=1,CommissionDD!$A$30,IF($C416=2,CommissionDD!$A$31,CommissionDD!$A$32))</f>
        <v>1500</v>
      </c>
      <c r="F416" s="3" t="str">
        <f t="shared" si="41"/>
        <v/>
      </c>
      <c r="G416" s="38" t="str">
        <f>IF($A416="","",(VLOOKUP($A416,Cus!$A$2:$AH$1001,23,FALSE)))</f>
        <v/>
      </c>
      <c r="H416" s="3" t="str">
        <f t="shared" si="37"/>
        <v/>
      </c>
      <c r="I416" s="56" t="str">
        <f t="shared" si="38"/>
        <v/>
      </c>
      <c r="J416" s="3" t="str">
        <f t="shared" si="39"/>
        <v/>
      </c>
      <c r="K416" s="7" t="str">
        <f t="shared" si="40"/>
        <v/>
      </c>
    </row>
    <row r="417" spans="1:11">
      <c r="A417" s="1" t="str">
        <f>IF(Cus!$B417&lt;&gt;"",Cus!$A417,"")</f>
        <v/>
      </c>
      <c r="C417" s="16">
        <v>1</v>
      </c>
      <c r="D417" s="3" t="str">
        <f t="shared" si="36"/>
        <v/>
      </c>
      <c r="E417" s="3">
        <f>IF($C417=1,CommissionDD!$A$30,IF($C417=2,CommissionDD!$A$31,CommissionDD!$A$32))</f>
        <v>1500</v>
      </c>
      <c r="F417" s="3" t="str">
        <f t="shared" si="41"/>
        <v/>
      </c>
      <c r="G417" s="38" t="str">
        <f>IF($A417="","",(VLOOKUP($A417,Cus!$A$2:$AH$1001,23,FALSE)))</f>
        <v/>
      </c>
      <c r="H417" s="3" t="str">
        <f t="shared" si="37"/>
        <v/>
      </c>
      <c r="I417" s="56" t="str">
        <f t="shared" si="38"/>
        <v/>
      </c>
      <c r="J417" s="3" t="str">
        <f t="shared" si="39"/>
        <v/>
      </c>
      <c r="K417" s="7" t="str">
        <f t="shared" si="40"/>
        <v/>
      </c>
    </row>
    <row r="418" spans="1:11">
      <c r="A418" s="1" t="str">
        <f>IF(Cus!$B418&lt;&gt;"",Cus!$A418,"")</f>
        <v/>
      </c>
      <c r="C418" s="16">
        <v>1</v>
      </c>
      <c r="D418" s="3" t="str">
        <f t="shared" si="36"/>
        <v/>
      </c>
      <c r="E418" s="3">
        <f>IF($C418=1,CommissionDD!$A$30,IF($C418=2,CommissionDD!$A$31,CommissionDD!$A$32))</f>
        <v>1500</v>
      </c>
      <c r="F418" s="3" t="str">
        <f t="shared" si="41"/>
        <v/>
      </c>
      <c r="G418" s="38" t="str">
        <f>IF($A418="","",(VLOOKUP($A418,Cus!$A$2:$AH$1001,23,FALSE)))</f>
        <v/>
      </c>
      <c r="H418" s="3" t="str">
        <f t="shared" si="37"/>
        <v/>
      </c>
      <c r="I418" s="56" t="str">
        <f t="shared" si="38"/>
        <v/>
      </c>
      <c r="J418" s="3" t="str">
        <f t="shared" si="39"/>
        <v/>
      </c>
      <c r="K418" s="7" t="str">
        <f t="shared" si="40"/>
        <v/>
      </c>
    </row>
    <row r="419" spans="1:11">
      <c r="A419" s="1" t="str">
        <f>IF(Cus!$B419&lt;&gt;"",Cus!$A419,"")</f>
        <v/>
      </c>
      <c r="C419" s="16">
        <v>1</v>
      </c>
      <c r="D419" s="3" t="str">
        <f t="shared" si="36"/>
        <v/>
      </c>
      <c r="E419" s="3">
        <f>IF($C419=1,CommissionDD!$A$30,IF($C419=2,CommissionDD!$A$31,CommissionDD!$A$32))</f>
        <v>1500</v>
      </c>
      <c r="F419" s="3" t="str">
        <f t="shared" si="41"/>
        <v/>
      </c>
      <c r="G419" s="38" t="str">
        <f>IF($A419="","",(VLOOKUP($A419,Cus!$A$2:$AH$1001,23,FALSE)))</f>
        <v/>
      </c>
      <c r="H419" s="3" t="str">
        <f t="shared" si="37"/>
        <v/>
      </c>
      <c r="I419" s="56" t="str">
        <f t="shared" si="38"/>
        <v/>
      </c>
      <c r="J419" s="3" t="str">
        <f t="shared" si="39"/>
        <v/>
      </c>
      <c r="K419" s="7" t="str">
        <f t="shared" si="40"/>
        <v/>
      </c>
    </row>
    <row r="420" spans="1:11">
      <c r="A420" s="1" t="str">
        <f>IF(Cus!$B420&lt;&gt;"",Cus!$A420,"")</f>
        <v/>
      </c>
      <c r="C420" s="16">
        <v>1</v>
      </c>
      <c r="D420" s="3" t="str">
        <f t="shared" si="36"/>
        <v/>
      </c>
      <c r="E420" s="3">
        <f>IF($C420=1,CommissionDD!$A$30,IF($C420=2,CommissionDD!$A$31,CommissionDD!$A$32))</f>
        <v>1500</v>
      </c>
      <c r="F420" s="3" t="str">
        <f t="shared" si="41"/>
        <v/>
      </c>
      <c r="G420" s="38" t="str">
        <f>IF($A420="","",(VLOOKUP($A420,Cus!$A$2:$AH$1001,23,FALSE)))</f>
        <v/>
      </c>
      <c r="H420" s="3" t="str">
        <f t="shared" si="37"/>
        <v/>
      </c>
      <c r="I420" s="56" t="str">
        <f t="shared" si="38"/>
        <v/>
      </c>
      <c r="J420" s="3" t="str">
        <f t="shared" si="39"/>
        <v/>
      </c>
      <c r="K420" s="7" t="str">
        <f t="shared" si="40"/>
        <v/>
      </c>
    </row>
    <row r="421" spans="1:11">
      <c r="A421" s="1" t="str">
        <f>IF(Cus!$B421&lt;&gt;"",Cus!$A421,"")</f>
        <v/>
      </c>
      <c r="C421" s="16">
        <v>1</v>
      </c>
      <c r="D421" s="3" t="str">
        <f t="shared" si="36"/>
        <v/>
      </c>
      <c r="E421" s="3">
        <f>IF($C421=1,CommissionDD!$A$30,IF($C421=2,CommissionDD!$A$31,CommissionDD!$A$32))</f>
        <v>1500</v>
      </c>
      <c r="F421" s="3" t="str">
        <f t="shared" si="41"/>
        <v/>
      </c>
      <c r="G421" s="38" t="str">
        <f>IF($A421="","",(VLOOKUP($A421,Cus!$A$2:$AH$1001,23,FALSE)))</f>
        <v/>
      </c>
      <c r="H421" s="3" t="str">
        <f t="shared" si="37"/>
        <v/>
      </c>
      <c r="I421" s="56" t="str">
        <f t="shared" si="38"/>
        <v/>
      </c>
      <c r="J421" s="3" t="str">
        <f t="shared" si="39"/>
        <v/>
      </c>
      <c r="K421" s="7" t="str">
        <f t="shared" si="40"/>
        <v/>
      </c>
    </row>
    <row r="422" spans="1:11">
      <c r="A422" s="1" t="str">
        <f>IF(Cus!$B422&lt;&gt;"",Cus!$A422,"")</f>
        <v/>
      </c>
      <c r="C422" s="16">
        <v>1</v>
      </c>
      <c r="D422" s="3" t="str">
        <f t="shared" si="36"/>
        <v/>
      </c>
      <c r="E422" s="3">
        <f>IF($C422=1,CommissionDD!$A$30,IF($C422=2,CommissionDD!$A$31,CommissionDD!$A$32))</f>
        <v>1500</v>
      </c>
      <c r="F422" s="3" t="str">
        <f t="shared" si="41"/>
        <v/>
      </c>
      <c r="G422" s="38" t="str">
        <f>IF($A422="","",(VLOOKUP($A422,Cus!$A$2:$AH$1001,23,FALSE)))</f>
        <v/>
      </c>
      <c r="H422" s="3" t="str">
        <f t="shared" si="37"/>
        <v/>
      </c>
      <c r="I422" s="56" t="str">
        <f t="shared" si="38"/>
        <v/>
      </c>
      <c r="J422" s="3" t="str">
        <f t="shared" si="39"/>
        <v/>
      </c>
      <c r="K422" s="7" t="str">
        <f t="shared" si="40"/>
        <v/>
      </c>
    </row>
    <row r="423" spans="1:11">
      <c r="A423" s="1" t="str">
        <f>IF(Cus!$B423&lt;&gt;"",Cus!$A423,"")</f>
        <v/>
      </c>
      <c r="C423" s="16">
        <v>1</v>
      </c>
      <c r="D423" s="3" t="str">
        <f t="shared" si="36"/>
        <v/>
      </c>
      <c r="E423" s="3">
        <f>IF($C423=1,CommissionDD!$A$30,IF($C423=2,CommissionDD!$A$31,CommissionDD!$A$32))</f>
        <v>1500</v>
      </c>
      <c r="F423" s="3" t="str">
        <f t="shared" si="41"/>
        <v/>
      </c>
      <c r="G423" s="38" t="str">
        <f>IF($A423="","",(VLOOKUP($A423,Cus!$A$2:$AH$1001,23,FALSE)))</f>
        <v/>
      </c>
      <c r="H423" s="3" t="str">
        <f t="shared" si="37"/>
        <v/>
      </c>
      <c r="I423" s="56" t="str">
        <f t="shared" si="38"/>
        <v/>
      </c>
      <c r="J423" s="3" t="str">
        <f t="shared" si="39"/>
        <v/>
      </c>
      <c r="K423" s="7" t="str">
        <f t="shared" si="40"/>
        <v/>
      </c>
    </row>
    <row r="424" spans="1:11">
      <c r="A424" s="1" t="str">
        <f>IF(Cus!$B424&lt;&gt;"",Cus!$A424,"")</f>
        <v/>
      </c>
      <c r="C424" s="16">
        <v>1</v>
      </c>
      <c r="D424" s="3" t="str">
        <f t="shared" si="36"/>
        <v/>
      </c>
      <c r="E424" s="3">
        <f>IF($C424=1,CommissionDD!$A$30,IF($C424=2,CommissionDD!$A$31,CommissionDD!$A$32))</f>
        <v>1500</v>
      </c>
      <c r="F424" s="3" t="str">
        <f t="shared" si="41"/>
        <v/>
      </c>
      <c r="G424" s="38" t="str">
        <f>IF($A424="","",(VLOOKUP($A424,Cus!$A$2:$AH$1001,23,FALSE)))</f>
        <v/>
      </c>
      <c r="H424" s="3" t="str">
        <f t="shared" si="37"/>
        <v/>
      </c>
      <c r="I424" s="56" t="str">
        <f t="shared" si="38"/>
        <v/>
      </c>
      <c r="J424" s="3" t="str">
        <f t="shared" si="39"/>
        <v/>
      </c>
      <c r="K424" s="7" t="str">
        <f t="shared" si="40"/>
        <v/>
      </c>
    </row>
    <row r="425" spans="1:11">
      <c r="A425" s="1" t="str">
        <f>IF(Cus!$B425&lt;&gt;"",Cus!$A425,"")</f>
        <v/>
      </c>
      <c r="C425" s="16">
        <v>1</v>
      </c>
      <c r="D425" s="3" t="str">
        <f t="shared" si="36"/>
        <v/>
      </c>
      <c r="E425" s="3">
        <f>IF($C425=1,CommissionDD!$A$30,IF($C425=2,CommissionDD!$A$31,CommissionDD!$A$32))</f>
        <v>1500</v>
      </c>
      <c r="F425" s="3" t="str">
        <f t="shared" si="41"/>
        <v/>
      </c>
      <c r="G425" s="38" t="str">
        <f>IF($A425="","",(VLOOKUP($A425,Cus!$A$2:$AH$1001,23,FALSE)))</f>
        <v/>
      </c>
      <c r="H425" s="3" t="str">
        <f t="shared" si="37"/>
        <v/>
      </c>
      <c r="I425" s="56" t="str">
        <f t="shared" si="38"/>
        <v/>
      </c>
      <c r="J425" s="3" t="str">
        <f t="shared" si="39"/>
        <v/>
      </c>
      <c r="K425" s="7" t="str">
        <f t="shared" si="40"/>
        <v/>
      </c>
    </row>
    <row r="426" spans="1:11">
      <c r="A426" s="1" t="str">
        <f>IF(Cus!$B426&lt;&gt;"",Cus!$A426,"")</f>
        <v/>
      </c>
      <c r="C426" s="16">
        <v>1</v>
      </c>
      <c r="D426" s="3" t="str">
        <f t="shared" si="36"/>
        <v/>
      </c>
      <c r="E426" s="3">
        <f>IF($C426=1,CommissionDD!$A$30,IF($C426=2,CommissionDD!$A$31,CommissionDD!$A$32))</f>
        <v>1500</v>
      </c>
      <c r="F426" s="3" t="str">
        <f t="shared" si="41"/>
        <v/>
      </c>
      <c r="G426" s="38" t="str">
        <f>IF($A426="","",(VLOOKUP($A426,Cus!$A$2:$AH$1001,23,FALSE)))</f>
        <v/>
      </c>
      <c r="H426" s="3" t="str">
        <f t="shared" si="37"/>
        <v/>
      </c>
      <c r="I426" s="56" t="str">
        <f t="shared" si="38"/>
        <v/>
      </c>
      <c r="J426" s="3" t="str">
        <f t="shared" si="39"/>
        <v/>
      </c>
      <c r="K426" s="7" t="str">
        <f t="shared" si="40"/>
        <v/>
      </c>
    </row>
    <row r="427" spans="1:11">
      <c r="A427" s="1" t="str">
        <f>IF(Cus!$B427&lt;&gt;"",Cus!$A427,"")</f>
        <v/>
      </c>
      <c r="C427" s="16">
        <v>1</v>
      </c>
      <c r="D427" s="3" t="str">
        <f t="shared" si="36"/>
        <v/>
      </c>
      <c r="E427" s="3">
        <f>IF($C427=1,CommissionDD!$A$30,IF($C427=2,CommissionDD!$A$31,CommissionDD!$A$32))</f>
        <v>1500</v>
      </c>
      <c r="F427" s="3" t="str">
        <f t="shared" si="41"/>
        <v/>
      </c>
      <c r="G427" s="38" t="str">
        <f>IF($A427="","",(VLOOKUP($A427,Cus!$A$2:$AH$1001,23,FALSE)))</f>
        <v/>
      </c>
      <c r="H427" s="3" t="str">
        <f t="shared" si="37"/>
        <v/>
      </c>
      <c r="I427" s="56" t="str">
        <f t="shared" si="38"/>
        <v/>
      </c>
      <c r="J427" s="3" t="str">
        <f t="shared" si="39"/>
        <v/>
      </c>
      <c r="K427" s="7" t="str">
        <f t="shared" si="40"/>
        <v/>
      </c>
    </row>
    <row r="428" spans="1:11">
      <c r="A428" s="1" t="str">
        <f>IF(Cus!$B428&lt;&gt;"",Cus!$A428,"")</f>
        <v/>
      </c>
      <c r="C428" s="16">
        <v>1</v>
      </c>
      <c r="D428" s="3" t="str">
        <f t="shared" si="36"/>
        <v/>
      </c>
      <c r="E428" s="3">
        <f>IF($C428=1,CommissionDD!$A$30,IF($C428=2,CommissionDD!$A$31,CommissionDD!$A$32))</f>
        <v>1500</v>
      </c>
      <c r="F428" s="3" t="str">
        <f t="shared" si="41"/>
        <v/>
      </c>
      <c r="G428" s="38" t="str">
        <f>IF($A428="","",(VLOOKUP($A428,Cus!$A$2:$AH$1001,23,FALSE)))</f>
        <v/>
      </c>
      <c r="H428" s="3" t="str">
        <f t="shared" si="37"/>
        <v/>
      </c>
      <c r="I428" s="56" t="str">
        <f t="shared" si="38"/>
        <v/>
      </c>
      <c r="J428" s="3" t="str">
        <f t="shared" si="39"/>
        <v/>
      </c>
      <c r="K428" s="7" t="str">
        <f t="shared" si="40"/>
        <v/>
      </c>
    </row>
    <row r="429" spans="1:11">
      <c r="A429" s="1" t="str">
        <f>IF(Cus!$B429&lt;&gt;"",Cus!$A429,"")</f>
        <v/>
      </c>
      <c r="C429" s="16">
        <v>1</v>
      </c>
      <c r="D429" s="3" t="str">
        <f t="shared" si="36"/>
        <v/>
      </c>
      <c r="E429" s="3">
        <f>IF($C429=1,CommissionDD!$A$30,IF($C429=2,CommissionDD!$A$31,CommissionDD!$A$32))</f>
        <v>1500</v>
      </c>
      <c r="F429" s="3" t="str">
        <f t="shared" si="41"/>
        <v/>
      </c>
      <c r="G429" s="38" t="str">
        <f>IF($A429="","",(VLOOKUP($A429,Cus!$A$2:$AH$1001,23,FALSE)))</f>
        <v/>
      </c>
      <c r="H429" s="3" t="str">
        <f t="shared" si="37"/>
        <v/>
      </c>
      <c r="I429" s="56" t="str">
        <f t="shared" si="38"/>
        <v/>
      </c>
      <c r="J429" s="3" t="str">
        <f t="shared" si="39"/>
        <v/>
      </c>
      <c r="K429" s="7" t="str">
        <f t="shared" si="40"/>
        <v/>
      </c>
    </row>
    <row r="430" spans="1:11">
      <c r="A430" s="1" t="str">
        <f>IF(Cus!$B430&lt;&gt;"",Cus!$A430,"")</f>
        <v/>
      </c>
      <c r="C430" s="16">
        <v>1</v>
      </c>
      <c r="D430" s="3" t="str">
        <f t="shared" si="36"/>
        <v/>
      </c>
      <c r="E430" s="3">
        <f>IF($C430=1,CommissionDD!$A$30,IF($C430=2,CommissionDD!$A$31,CommissionDD!$A$32))</f>
        <v>1500</v>
      </c>
      <c r="F430" s="3" t="str">
        <f t="shared" si="41"/>
        <v/>
      </c>
      <c r="G430" s="38" t="str">
        <f>IF($A430="","",(VLOOKUP($A430,Cus!$A$2:$AH$1001,23,FALSE)))</f>
        <v/>
      </c>
      <c r="H430" s="3" t="str">
        <f t="shared" si="37"/>
        <v/>
      </c>
      <c r="I430" s="56" t="str">
        <f t="shared" si="38"/>
        <v/>
      </c>
      <c r="J430" s="3" t="str">
        <f t="shared" si="39"/>
        <v/>
      </c>
      <c r="K430" s="7" t="str">
        <f t="shared" si="40"/>
        <v/>
      </c>
    </row>
    <row r="431" spans="1:11">
      <c r="A431" s="1" t="str">
        <f>IF(Cus!$B431&lt;&gt;"",Cus!$A431,"")</f>
        <v/>
      </c>
      <c r="C431" s="16">
        <v>1</v>
      </c>
      <c r="D431" s="3" t="str">
        <f t="shared" si="36"/>
        <v/>
      </c>
      <c r="E431" s="3">
        <f>IF($C431=1,CommissionDD!$A$30,IF($C431=2,CommissionDD!$A$31,CommissionDD!$A$32))</f>
        <v>1500</v>
      </c>
      <c r="F431" s="3" t="str">
        <f t="shared" si="41"/>
        <v/>
      </c>
      <c r="G431" s="38" t="str">
        <f>IF($A431="","",(VLOOKUP($A431,Cus!$A$2:$AH$1001,23,FALSE)))</f>
        <v/>
      </c>
      <c r="H431" s="3" t="str">
        <f t="shared" si="37"/>
        <v/>
      </c>
      <c r="I431" s="56" t="str">
        <f t="shared" si="38"/>
        <v/>
      </c>
      <c r="J431" s="3" t="str">
        <f t="shared" si="39"/>
        <v/>
      </c>
      <c r="K431" s="7" t="str">
        <f t="shared" si="40"/>
        <v/>
      </c>
    </row>
    <row r="432" spans="1:11">
      <c r="A432" s="1" t="str">
        <f>IF(Cus!$B432&lt;&gt;"",Cus!$A432,"")</f>
        <v/>
      </c>
      <c r="C432" s="16">
        <v>1</v>
      </c>
      <c r="D432" s="3" t="str">
        <f t="shared" si="36"/>
        <v/>
      </c>
      <c r="E432" s="3">
        <f>IF($C432=1,CommissionDD!$A$30,IF($C432=2,CommissionDD!$A$31,CommissionDD!$A$32))</f>
        <v>1500</v>
      </c>
      <c r="F432" s="3" t="str">
        <f t="shared" si="41"/>
        <v/>
      </c>
      <c r="G432" s="38" t="str">
        <f>IF($A432="","",(VLOOKUP($A432,Cus!$A$2:$AH$1001,23,FALSE)))</f>
        <v/>
      </c>
      <c r="H432" s="3" t="str">
        <f t="shared" si="37"/>
        <v/>
      </c>
      <c r="I432" s="56" t="str">
        <f t="shared" si="38"/>
        <v/>
      </c>
      <c r="J432" s="3" t="str">
        <f t="shared" si="39"/>
        <v/>
      </c>
      <c r="K432" s="7" t="str">
        <f t="shared" si="40"/>
        <v/>
      </c>
    </row>
    <row r="433" spans="1:11">
      <c r="A433" s="1" t="str">
        <f>IF(Cus!$B433&lt;&gt;"",Cus!$A433,"")</f>
        <v/>
      </c>
      <c r="C433" s="16">
        <v>1</v>
      </c>
      <c r="D433" s="3" t="str">
        <f t="shared" si="36"/>
        <v/>
      </c>
      <c r="E433" s="3">
        <f>IF($C433=1,CommissionDD!$A$30,IF($C433=2,CommissionDD!$A$31,CommissionDD!$A$32))</f>
        <v>1500</v>
      </c>
      <c r="F433" s="3" t="str">
        <f t="shared" si="41"/>
        <v/>
      </c>
      <c r="G433" s="38" t="str">
        <f>IF($A433="","",(VLOOKUP($A433,Cus!$A$2:$AH$1001,23,FALSE)))</f>
        <v/>
      </c>
      <c r="H433" s="3" t="str">
        <f t="shared" si="37"/>
        <v/>
      </c>
      <c r="I433" s="56" t="str">
        <f t="shared" si="38"/>
        <v/>
      </c>
      <c r="J433" s="3" t="str">
        <f t="shared" si="39"/>
        <v/>
      </c>
      <c r="K433" s="7" t="str">
        <f t="shared" si="40"/>
        <v/>
      </c>
    </row>
    <row r="434" spans="1:11">
      <c r="A434" s="1" t="str">
        <f>IF(Cus!$B434&lt;&gt;"",Cus!$A434,"")</f>
        <v/>
      </c>
      <c r="C434" s="16">
        <v>1</v>
      </c>
      <c r="D434" s="3" t="str">
        <f t="shared" si="36"/>
        <v/>
      </c>
      <c r="E434" s="3">
        <f>IF($C434=1,CommissionDD!$A$30,IF($C434=2,CommissionDD!$A$31,CommissionDD!$A$32))</f>
        <v>1500</v>
      </c>
      <c r="F434" s="3" t="str">
        <f t="shared" si="41"/>
        <v/>
      </c>
      <c r="G434" s="38" t="str">
        <f>IF($A434="","",(VLOOKUP($A434,Cus!$A$2:$AH$1001,23,FALSE)))</f>
        <v/>
      </c>
      <c r="H434" s="3" t="str">
        <f t="shared" si="37"/>
        <v/>
      </c>
      <c r="I434" s="56" t="str">
        <f t="shared" si="38"/>
        <v/>
      </c>
      <c r="J434" s="3" t="str">
        <f t="shared" si="39"/>
        <v/>
      </c>
      <c r="K434" s="7" t="str">
        <f t="shared" si="40"/>
        <v/>
      </c>
    </row>
    <row r="435" spans="1:11">
      <c r="A435" s="1" t="str">
        <f>IF(Cus!$B435&lt;&gt;"",Cus!$A435,"")</f>
        <v/>
      </c>
      <c r="C435" s="16">
        <v>1</v>
      </c>
      <c r="D435" s="3" t="str">
        <f t="shared" si="36"/>
        <v/>
      </c>
      <c r="E435" s="3">
        <f>IF($C435=1,CommissionDD!$A$30,IF($C435=2,CommissionDD!$A$31,CommissionDD!$A$32))</f>
        <v>1500</v>
      </c>
      <c r="F435" s="3" t="str">
        <f t="shared" si="41"/>
        <v/>
      </c>
      <c r="G435" s="38" t="str">
        <f>IF($A435="","",(VLOOKUP($A435,Cus!$A$2:$AH$1001,23,FALSE)))</f>
        <v/>
      </c>
      <c r="H435" s="3" t="str">
        <f t="shared" si="37"/>
        <v/>
      </c>
      <c r="I435" s="56" t="str">
        <f t="shared" si="38"/>
        <v/>
      </c>
      <c r="J435" s="3" t="str">
        <f t="shared" si="39"/>
        <v/>
      </c>
      <c r="K435" s="7" t="str">
        <f t="shared" si="40"/>
        <v/>
      </c>
    </row>
    <row r="436" spans="1:11">
      <c r="A436" s="1" t="str">
        <f>IF(Cus!$B436&lt;&gt;"",Cus!$A436,"")</f>
        <v/>
      </c>
      <c r="C436" s="16">
        <v>1</v>
      </c>
      <c r="D436" s="3" t="str">
        <f t="shared" si="36"/>
        <v/>
      </c>
      <c r="E436" s="3">
        <f>IF($C436=1,CommissionDD!$A$30,IF($C436=2,CommissionDD!$A$31,CommissionDD!$A$32))</f>
        <v>1500</v>
      </c>
      <c r="F436" s="3" t="str">
        <f t="shared" si="41"/>
        <v/>
      </c>
      <c r="G436" s="38" t="str">
        <f>IF($A436="","",(VLOOKUP($A436,Cus!$A$2:$AH$1001,23,FALSE)))</f>
        <v/>
      </c>
      <c r="H436" s="3" t="str">
        <f t="shared" si="37"/>
        <v/>
      </c>
      <c r="I436" s="56" t="str">
        <f t="shared" si="38"/>
        <v/>
      </c>
      <c r="J436" s="3" t="str">
        <f t="shared" si="39"/>
        <v/>
      </c>
      <c r="K436" s="7" t="str">
        <f t="shared" si="40"/>
        <v/>
      </c>
    </row>
    <row r="437" spans="1:11">
      <c r="A437" s="1" t="str">
        <f>IF(Cus!$B437&lt;&gt;"",Cus!$A437,"")</f>
        <v/>
      </c>
      <c r="C437" s="16">
        <v>1</v>
      </c>
      <c r="D437" s="3" t="str">
        <f t="shared" si="36"/>
        <v/>
      </c>
      <c r="E437" s="3">
        <f>IF($C437=1,CommissionDD!$A$30,IF($C437=2,CommissionDD!$A$31,CommissionDD!$A$32))</f>
        <v>1500</v>
      </c>
      <c r="F437" s="3" t="str">
        <f t="shared" si="41"/>
        <v/>
      </c>
      <c r="G437" s="38" t="str">
        <f>IF($A437="","",(VLOOKUP($A437,Cus!$A$2:$AH$1001,23,FALSE)))</f>
        <v/>
      </c>
      <c r="H437" s="3" t="str">
        <f t="shared" si="37"/>
        <v/>
      </c>
      <c r="I437" s="56" t="str">
        <f t="shared" si="38"/>
        <v/>
      </c>
      <c r="J437" s="3" t="str">
        <f t="shared" si="39"/>
        <v/>
      </c>
      <c r="K437" s="7" t="str">
        <f t="shared" si="40"/>
        <v/>
      </c>
    </row>
    <row r="438" spans="1:11">
      <c r="A438" s="1" t="str">
        <f>IF(Cus!$B438&lt;&gt;"",Cus!$A438,"")</f>
        <v/>
      </c>
      <c r="C438" s="16">
        <v>1</v>
      </c>
      <c r="D438" s="3" t="str">
        <f t="shared" si="36"/>
        <v/>
      </c>
      <c r="E438" s="3">
        <f>IF($C438=1,CommissionDD!$A$30,IF($C438=2,CommissionDD!$A$31,CommissionDD!$A$32))</f>
        <v>1500</v>
      </c>
      <c r="F438" s="3" t="str">
        <f t="shared" si="41"/>
        <v/>
      </c>
      <c r="G438" s="38" t="str">
        <f>IF($A438="","",(VLOOKUP($A438,Cus!$A$2:$AH$1001,23,FALSE)))</f>
        <v/>
      </c>
      <c r="H438" s="3" t="str">
        <f t="shared" si="37"/>
        <v/>
      </c>
      <c r="I438" s="56" t="str">
        <f t="shared" si="38"/>
        <v/>
      </c>
      <c r="J438" s="3" t="str">
        <f t="shared" si="39"/>
        <v/>
      </c>
      <c r="K438" s="7" t="str">
        <f t="shared" si="40"/>
        <v/>
      </c>
    </row>
    <row r="439" spans="1:11">
      <c r="A439" s="1" t="str">
        <f>IF(Cus!$B439&lt;&gt;"",Cus!$A439,"")</f>
        <v/>
      </c>
      <c r="C439" s="16">
        <v>1</v>
      </c>
      <c r="D439" s="3" t="str">
        <f t="shared" si="36"/>
        <v/>
      </c>
      <c r="E439" s="3">
        <f>IF($C439=1,CommissionDD!$A$30,IF($C439=2,CommissionDD!$A$31,CommissionDD!$A$32))</f>
        <v>1500</v>
      </c>
      <c r="F439" s="3" t="str">
        <f t="shared" si="41"/>
        <v/>
      </c>
      <c r="G439" s="38" t="str">
        <f>IF($A439="","",(VLOOKUP($A439,Cus!$A$2:$AH$1001,23,FALSE)))</f>
        <v/>
      </c>
      <c r="H439" s="3" t="str">
        <f t="shared" si="37"/>
        <v/>
      </c>
      <c r="I439" s="56" t="str">
        <f t="shared" si="38"/>
        <v/>
      </c>
      <c r="J439" s="3" t="str">
        <f t="shared" si="39"/>
        <v/>
      </c>
      <c r="K439" s="7" t="str">
        <f t="shared" si="40"/>
        <v/>
      </c>
    </row>
    <row r="440" spans="1:11">
      <c r="A440" s="1" t="str">
        <f>IF(Cus!$B440&lt;&gt;"",Cus!$A440,"")</f>
        <v/>
      </c>
      <c r="C440" s="16">
        <v>1</v>
      </c>
      <c r="D440" s="3" t="str">
        <f t="shared" si="36"/>
        <v/>
      </c>
      <c r="E440" s="3">
        <f>IF($C440=1,CommissionDD!$A$30,IF($C440=2,CommissionDD!$A$31,CommissionDD!$A$32))</f>
        <v>1500</v>
      </c>
      <c r="F440" s="3" t="str">
        <f t="shared" si="41"/>
        <v/>
      </c>
      <c r="G440" s="38" t="str">
        <f>IF($A440="","",(VLOOKUP($A440,Cus!$A$2:$AH$1001,23,FALSE)))</f>
        <v/>
      </c>
      <c r="H440" s="3" t="str">
        <f t="shared" si="37"/>
        <v/>
      </c>
      <c r="I440" s="56" t="str">
        <f t="shared" si="38"/>
        <v/>
      </c>
      <c r="J440" s="3" t="str">
        <f t="shared" si="39"/>
        <v/>
      </c>
      <c r="K440" s="7" t="str">
        <f t="shared" si="40"/>
        <v/>
      </c>
    </row>
    <row r="441" spans="1:11">
      <c r="A441" s="1" t="str">
        <f>IF(Cus!$B441&lt;&gt;"",Cus!$A441,"")</f>
        <v/>
      </c>
      <c r="C441" s="16">
        <v>1</v>
      </c>
      <c r="D441" s="3" t="str">
        <f t="shared" si="36"/>
        <v/>
      </c>
      <c r="E441" s="3">
        <f>IF($C441=1,CommissionDD!$A$30,IF($C441=2,CommissionDD!$A$31,CommissionDD!$A$32))</f>
        <v>1500</v>
      </c>
      <c r="F441" s="3" t="str">
        <f t="shared" si="41"/>
        <v/>
      </c>
      <c r="G441" s="38" t="str">
        <f>IF($A441="","",(VLOOKUP($A441,Cus!$A$2:$AH$1001,23,FALSE)))</f>
        <v/>
      </c>
      <c r="H441" s="3" t="str">
        <f t="shared" si="37"/>
        <v/>
      </c>
      <c r="I441" s="56" t="str">
        <f t="shared" si="38"/>
        <v/>
      </c>
      <c r="J441" s="3" t="str">
        <f t="shared" si="39"/>
        <v/>
      </c>
      <c r="K441" s="7" t="str">
        <f t="shared" si="40"/>
        <v/>
      </c>
    </row>
    <row r="442" spans="1:11">
      <c r="A442" s="1" t="str">
        <f>IF(Cus!$B442&lt;&gt;"",Cus!$A442,"")</f>
        <v/>
      </c>
      <c r="C442" s="16">
        <v>1</v>
      </c>
      <c r="D442" s="3" t="str">
        <f t="shared" si="36"/>
        <v/>
      </c>
      <c r="E442" s="3">
        <f>IF($C442=1,CommissionDD!$A$30,IF($C442=2,CommissionDD!$A$31,CommissionDD!$A$32))</f>
        <v>1500</v>
      </c>
      <c r="F442" s="3" t="str">
        <f t="shared" si="41"/>
        <v/>
      </c>
      <c r="G442" s="38" t="str">
        <f>IF($A442="","",(VLOOKUP($A442,Cus!$A$2:$AH$1001,23,FALSE)))</f>
        <v/>
      </c>
      <c r="H442" s="3" t="str">
        <f t="shared" si="37"/>
        <v/>
      </c>
      <c r="I442" s="56" t="str">
        <f t="shared" si="38"/>
        <v/>
      </c>
      <c r="J442" s="3" t="str">
        <f t="shared" si="39"/>
        <v/>
      </c>
      <c r="K442" s="7" t="str">
        <f t="shared" si="40"/>
        <v/>
      </c>
    </row>
    <row r="443" spans="1:11">
      <c r="A443" s="1" t="str">
        <f>IF(Cus!$B443&lt;&gt;"",Cus!$A443,"")</f>
        <v/>
      </c>
      <c r="C443" s="16">
        <v>1</v>
      </c>
      <c r="D443" s="3" t="str">
        <f t="shared" si="36"/>
        <v/>
      </c>
      <c r="E443" s="3">
        <f>IF($C443=1,CommissionDD!$A$30,IF($C443=2,CommissionDD!$A$31,CommissionDD!$A$32))</f>
        <v>1500</v>
      </c>
      <c r="F443" s="3" t="str">
        <f t="shared" si="41"/>
        <v/>
      </c>
      <c r="G443" s="38" t="str">
        <f>IF($A443="","",(VLOOKUP($A443,Cus!$A$2:$AH$1001,23,FALSE)))</f>
        <v/>
      </c>
      <c r="H443" s="3" t="str">
        <f t="shared" si="37"/>
        <v/>
      </c>
      <c r="I443" s="56" t="str">
        <f t="shared" si="38"/>
        <v/>
      </c>
      <c r="J443" s="3" t="str">
        <f t="shared" si="39"/>
        <v/>
      </c>
      <c r="K443" s="7" t="str">
        <f t="shared" si="40"/>
        <v/>
      </c>
    </row>
    <row r="444" spans="1:11">
      <c r="A444" s="1" t="str">
        <f>IF(Cus!$B444&lt;&gt;"",Cus!$A444,"")</f>
        <v/>
      </c>
      <c r="C444" s="16">
        <v>1</v>
      </c>
      <c r="D444" s="3" t="str">
        <f t="shared" si="36"/>
        <v/>
      </c>
      <c r="E444" s="3">
        <f>IF($C444=1,CommissionDD!$A$30,IF($C444=2,CommissionDD!$A$31,CommissionDD!$A$32))</f>
        <v>1500</v>
      </c>
      <c r="F444" s="3" t="str">
        <f t="shared" si="41"/>
        <v/>
      </c>
      <c r="G444" s="38" t="str">
        <f>IF($A444="","",(VLOOKUP($A444,Cus!$A$2:$AH$1001,23,FALSE)))</f>
        <v/>
      </c>
      <c r="H444" s="3" t="str">
        <f t="shared" si="37"/>
        <v/>
      </c>
      <c r="I444" s="56" t="str">
        <f t="shared" si="38"/>
        <v/>
      </c>
      <c r="J444" s="3" t="str">
        <f t="shared" si="39"/>
        <v/>
      </c>
      <c r="K444" s="7" t="str">
        <f t="shared" si="40"/>
        <v/>
      </c>
    </row>
    <row r="445" spans="1:11">
      <c r="A445" s="1" t="str">
        <f>IF(Cus!$B445&lt;&gt;"",Cus!$A445,"")</f>
        <v/>
      </c>
      <c r="C445" s="16">
        <v>1</v>
      </c>
      <c r="D445" s="3" t="str">
        <f t="shared" si="36"/>
        <v/>
      </c>
      <c r="E445" s="3">
        <f>IF($C445=1,CommissionDD!$A$30,IF($C445=2,CommissionDD!$A$31,CommissionDD!$A$32))</f>
        <v>1500</v>
      </c>
      <c r="F445" s="3" t="str">
        <f t="shared" si="41"/>
        <v/>
      </c>
      <c r="G445" s="38" t="str">
        <f>IF($A445="","",(VLOOKUP($A445,Cus!$A$2:$AH$1001,23,FALSE)))</f>
        <v/>
      </c>
      <c r="H445" s="3" t="str">
        <f t="shared" si="37"/>
        <v/>
      </c>
      <c r="I445" s="56" t="str">
        <f t="shared" si="38"/>
        <v/>
      </c>
      <c r="J445" s="3" t="str">
        <f t="shared" si="39"/>
        <v/>
      </c>
      <c r="K445" s="7" t="str">
        <f t="shared" si="40"/>
        <v/>
      </c>
    </row>
    <row r="446" spans="1:11">
      <c r="A446" s="1" t="str">
        <f>IF(Cus!$B446&lt;&gt;"",Cus!$A446,"")</f>
        <v/>
      </c>
      <c r="C446" s="16">
        <v>1</v>
      </c>
      <c r="D446" s="3" t="str">
        <f t="shared" si="36"/>
        <v/>
      </c>
      <c r="E446" s="3">
        <f>IF($C446=1,CommissionDD!$A$30,IF($C446=2,CommissionDD!$A$31,CommissionDD!$A$32))</f>
        <v>1500</v>
      </c>
      <c r="F446" s="3" t="str">
        <f t="shared" si="41"/>
        <v/>
      </c>
      <c r="G446" s="38" t="str">
        <f>IF($A446="","",(VLOOKUP($A446,Cus!$A$2:$AH$1001,23,FALSE)))</f>
        <v/>
      </c>
      <c r="H446" s="3" t="str">
        <f t="shared" si="37"/>
        <v/>
      </c>
      <c r="I446" s="56" t="str">
        <f t="shared" si="38"/>
        <v/>
      </c>
      <c r="J446" s="3" t="str">
        <f t="shared" si="39"/>
        <v/>
      </c>
      <c r="K446" s="7" t="str">
        <f t="shared" si="40"/>
        <v/>
      </c>
    </row>
    <row r="447" spans="1:11">
      <c r="A447" s="1" t="str">
        <f>IF(Cus!$B447&lt;&gt;"",Cus!$A447,"")</f>
        <v/>
      </c>
      <c r="C447" s="16">
        <v>1</v>
      </c>
      <c r="D447" s="3" t="str">
        <f t="shared" si="36"/>
        <v/>
      </c>
      <c r="E447" s="3">
        <f>IF($C447=1,CommissionDD!$A$30,IF($C447=2,CommissionDD!$A$31,CommissionDD!$A$32))</f>
        <v>1500</v>
      </c>
      <c r="F447" s="3" t="str">
        <f t="shared" si="41"/>
        <v/>
      </c>
      <c r="G447" s="38" t="str">
        <f>IF($A447="","",(VLOOKUP($A447,Cus!$A$2:$AH$1001,23,FALSE)))</f>
        <v/>
      </c>
      <c r="H447" s="3" t="str">
        <f t="shared" si="37"/>
        <v/>
      </c>
      <c r="I447" s="56" t="str">
        <f t="shared" si="38"/>
        <v/>
      </c>
      <c r="J447" s="3" t="str">
        <f t="shared" si="39"/>
        <v/>
      </c>
      <c r="K447" s="7" t="str">
        <f t="shared" si="40"/>
        <v/>
      </c>
    </row>
    <row r="448" spans="1:11">
      <c r="A448" s="1" t="str">
        <f>IF(Cus!$B448&lt;&gt;"",Cus!$A448,"")</f>
        <v/>
      </c>
      <c r="C448" s="16">
        <v>1</v>
      </c>
      <c r="D448" s="3" t="str">
        <f t="shared" si="36"/>
        <v/>
      </c>
      <c r="E448" s="3">
        <f>IF($C448=1,CommissionDD!$A$30,IF($C448=2,CommissionDD!$A$31,CommissionDD!$A$32))</f>
        <v>1500</v>
      </c>
      <c r="F448" s="3" t="str">
        <f t="shared" si="41"/>
        <v/>
      </c>
      <c r="G448" s="38" t="str">
        <f>IF($A448="","",(VLOOKUP($A448,Cus!$A$2:$AH$1001,23,FALSE)))</f>
        <v/>
      </c>
      <c r="H448" s="3" t="str">
        <f t="shared" si="37"/>
        <v/>
      </c>
      <c r="I448" s="56" t="str">
        <f t="shared" si="38"/>
        <v/>
      </c>
      <c r="J448" s="3" t="str">
        <f t="shared" si="39"/>
        <v/>
      </c>
      <c r="K448" s="7" t="str">
        <f t="shared" si="40"/>
        <v/>
      </c>
    </row>
    <row r="449" spans="1:11">
      <c r="A449" s="1" t="str">
        <f>IF(Cus!$B449&lt;&gt;"",Cus!$A449,"")</f>
        <v/>
      </c>
      <c r="C449" s="16">
        <v>1</v>
      </c>
      <c r="D449" s="3" t="str">
        <f t="shared" si="36"/>
        <v/>
      </c>
      <c r="E449" s="3">
        <f>IF($C449=1,CommissionDD!$A$30,IF($C449=2,CommissionDD!$A$31,CommissionDD!$A$32))</f>
        <v>1500</v>
      </c>
      <c r="F449" s="3" t="str">
        <f t="shared" si="41"/>
        <v/>
      </c>
      <c r="G449" s="38" t="str">
        <f>IF($A449="","",(VLOOKUP($A449,Cus!$A$2:$AH$1001,23,FALSE)))</f>
        <v/>
      </c>
      <c r="H449" s="3" t="str">
        <f t="shared" si="37"/>
        <v/>
      </c>
      <c r="I449" s="56" t="str">
        <f t="shared" si="38"/>
        <v/>
      </c>
      <c r="J449" s="3" t="str">
        <f t="shared" si="39"/>
        <v/>
      </c>
      <c r="K449" s="7" t="str">
        <f t="shared" si="40"/>
        <v/>
      </c>
    </row>
    <row r="450" spans="1:11">
      <c r="A450" s="1" t="str">
        <f>IF(Cus!$B450&lt;&gt;"",Cus!$A450,"")</f>
        <v/>
      </c>
      <c r="C450" s="16">
        <v>1</v>
      </c>
      <c r="D450" s="3" t="str">
        <f t="shared" ref="D450:D513" si="42">IF($A450="","",1500)</f>
        <v/>
      </c>
      <c r="E450" s="3">
        <f>IF($C450=1,CommissionDD!$A$30,IF($C450=2,CommissionDD!$A$31,CommissionDD!$A$32))</f>
        <v>1500</v>
      </c>
      <c r="F450" s="3" t="str">
        <f t="shared" si="41"/>
        <v/>
      </c>
      <c r="G450" s="38" t="str">
        <f>IF($A450="","",(VLOOKUP($A450,Cus!$A$2:$AH$1001,23,FALSE)))</f>
        <v/>
      </c>
      <c r="H450" s="3" t="str">
        <f t="shared" ref="H450:H513" si="43">IF($A450="","",395)</f>
        <v/>
      </c>
      <c r="I450" s="56" t="str">
        <f t="shared" ref="I450:I513" si="44">IF($A450="","",60)</f>
        <v/>
      </c>
      <c r="J450" s="3" t="str">
        <f t="shared" ref="J450:J513" si="45">IF($A450="","",$H450*$I450)</f>
        <v/>
      </c>
      <c r="K450" s="7" t="str">
        <f t="shared" ref="K450:K513" si="46">IF($G450="","",(DATE(YEAR($G450),MONTH($G450)+$C450,MIN(DAY($G450)))))</f>
        <v/>
      </c>
    </row>
    <row r="451" spans="1:11">
      <c r="A451" s="1" t="str">
        <f>IF(Cus!$B451&lt;&gt;"",Cus!$A451,"")</f>
        <v/>
      </c>
      <c r="C451" s="16">
        <v>1</v>
      </c>
      <c r="D451" s="3" t="str">
        <f t="shared" si="42"/>
        <v/>
      </c>
      <c r="E451" s="3">
        <f>IF($C451=1,CommissionDD!$A$30,IF($C451=2,CommissionDD!$A$31,CommissionDD!$A$32))</f>
        <v>1500</v>
      </c>
      <c r="F451" s="3" t="str">
        <f t="shared" ref="F451:F514" si="47">IF($A451="","",$D451-$E451)</f>
        <v/>
      </c>
      <c r="G451" s="38" t="str">
        <f>IF($A451="","",(VLOOKUP($A451,Cus!$A$2:$AH$1001,23,FALSE)))</f>
        <v/>
      </c>
      <c r="H451" s="3" t="str">
        <f t="shared" si="43"/>
        <v/>
      </c>
      <c r="I451" s="56" t="str">
        <f t="shared" si="44"/>
        <v/>
      </c>
      <c r="J451" s="3" t="str">
        <f t="shared" si="45"/>
        <v/>
      </c>
      <c r="K451" s="7" t="str">
        <f t="shared" si="46"/>
        <v/>
      </c>
    </row>
    <row r="452" spans="1:11">
      <c r="A452" s="1" t="str">
        <f>IF(Cus!$B452&lt;&gt;"",Cus!$A452,"")</f>
        <v/>
      </c>
      <c r="C452" s="16">
        <v>1</v>
      </c>
      <c r="D452" s="3" t="str">
        <f t="shared" si="42"/>
        <v/>
      </c>
      <c r="E452" s="3">
        <f>IF($C452=1,CommissionDD!$A$30,IF($C452=2,CommissionDD!$A$31,CommissionDD!$A$32))</f>
        <v>1500</v>
      </c>
      <c r="F452" s="3" t="str">
        <f t="shared" si="47"/>
        <v/>
      </c>
      <c r="G452" s="38" t="str">
        <f>IF($A452="","",(VLOOKUP($A452,Cus!$A$2:$AH$1001,23,FALSE)))</f>
        <v/>
      </c>
      <c r="H452" s="3" t="str">
        <f t="shared" si="43"/>
        <v/>
      </c>
      <c r="I452" s="56" t="str">
        <f t="shared" si="44"/>
        <v/>
      </c>
      <c r="J452" s="3" t="str">
        <f t="shared" si="45"/>
        <v/>
      </c>
      <c r="K452" s="7" t="str">
        <f t="shared" si="46"/>
        <v/>
      </c>
    </row>
    <row r="453" spans="1:11">
      <c r="A453" s="1" t="str">
        <f>IF(Cus!$B453&lt;&gt;"",Cus!$A453,"")</f>
        <v/>
      </c>
      <c r="C453" s="16">
        <v>1</v>
      </c>
      <c r="D453" s="3" t="str">
        <f t="shared" si="42"/>
        <v/>
      </c>
      <c r="E453" s="3">
        <f>IF($C453=1,CommissionDD!$A$30,IF($C453=2,CommissionDD!$A$31,CommissionDD!$A$32))</f>
        <v>1500</v>
      </c>
      <c r="F453" s="3" t="str">
        <f t="shared" si="47"/>
        <v/>
      </c>
      <c r="G453" s="38" t="str">
        <f>IF($A453="","",(VLOOKUP($A453,Cus!$A$2:$AH$1001,23,FALSE)))</f>
        <v/>
      </c>
      <c r="H453" s="3" t="str">
        <f t="shared" si="43"/>
        <v/>
      </c>
      <c r="I453" s="56" t="str">
        <f t="shared" si="44"/>
        <v/>
      </c>
      <c r="J453" s="3" t="str">
        <f t="shared" si="45"/>
        <v/>
      </c>
      <c r="K453" s="7" t="str">
        <f t="shared" si="46"/>
        <v/>
      </c>
    </row>
    <row r="454" spans="1:11">
      <c r="A454" s="1" t="str">
        <f>IF(Cus!$B454&lt;&gt;"",Cus!$A454,"")</f>
        <v/>
      </c>
      <c r="C454" s="16">
        <v>1</v>
      </c>
      <c r="D454" s="3" t="str">
        <f t="shared" si="42"/>
        <v/>
      </c>
      <c r="E454" s="3">
        <f>IF($C454=1,CommissionDD!$A$30,IF($C454=2,CommissionDD!$A$31,CommissionDD!$A$32))</f>
        <v>1500</v>
      </c>
      <c r="F454" s="3" t="str">
        <f t="shared" si="47"/>
        <v/>
      </c>
      <c r="G454" s="38" t="str">
        <f>IF($A454="","",(VLOOKUP($A454,Cus!$A$2:$AH$1001,23,FALSE)))</f>
        <v/>
      </c>
      <c r="H454" s="3" t="str">
        <f t="shared" si="43"/>
        <v/>
      </c>
      <c r="I454" s="56" t="str">
        <f t="shared" si="44"/>
        <v/>
      </c>
      <c r="J454" s="3" t="str">
        <f t="shared" si="45"/>
        <v/>
      </c>
      <c r="K454" s="7" t="str">
        <f t="shared" si="46"/>
        <v/>
      </c>
    </row>
    <row r="455" spans="1:11">
      <c r="A455" s="1" t="str">
        <f>IF(Cus!$B455&lt;&gt;"",Cus!$A455,"")</f>
        <v/>
      </c>
      <c r="C455" s="16">
        <v>1</v>
      </c>
      <c r="D455" s="3" t="str">
        <f t="shared" si="42"/>
        <v/>
      </c>
      <c r="E455" s="3">
        <f>IF($C455=1,CommissionDD!$A$30,IF($C455=2,CommissionDD!$A$31,CommissionDD!$A$32))</f>
        <v>1500</v>
      </c>
      <c r="F455" s="3" t="str">
        <f t="shared" si="47"/>
        <v/>
      </c>
      <c r="G455" s="38" t="str">
        <f>IF($A455="","",(VLOOKUP($A455,Cus!$A$2:$AH$1001,23,FALSE)))</f>
        <v/>
      </c>
      <c r="H455" s="3" t="str">
        <f t="shared" si="43"/>
        <v/>
      </c>
      <c r="I455" s="56" t="str">
        <f t="shared" si="44"/>
        <v/>
      </c>
      <c r="J455" s="3" t="str">
        <f t="shared" si="45"/>
        <v/>
      </c>
      <c r="K455" s="7" t="str">
        <f t="shared" si="46"/>
        <v/>
      </c>
    </row>
    <row r="456" spans="1:11">
      <c r="A456" s="1" t="str">
        <f>IF(Cus!$B456&lt;&gt;"",Cus!$A456,"")</f>
        <v/>
      </c>
      <c r="C456" s="16">
        <v>1</v>
      </c>
      <c r="D456" s="3" t="str">
        <f t="shared" si="42"/>
        <v/>
      </c>
      <c r="E456" s="3">
        <f>IF($C456=1,CommissionDD!$A$30,IF($C456=2,CommissionDD!$A$31,CommissionDD!$A$32))</f>
        <v>1500</v>
      </c>
      <c r="F456" s="3" t="str">
        <f t="shared" si="47"/>
        <v/>
      </c>
      <c r="G456" s="38" t="str">
        <f>IF($A456="","",(VLOOKUP($A456,Cus!$A$2:$AH$1001,23,FALSE)))</f>
        <v/>
      </c>
      <c r="H456" s="3" t="str">
        <f t="shared" si="43"/>
        <v/>
      </c>
      <c r="I456" s="56" t="str">
        <f t="shared" si="44"/>
        <v/>
      </c>
      <c r="J456" s="3" t="str">
        <f t="shared" si="45"/>
        <v/>
      </c>
      <c r="K456" s="7" t="str">
        <f t="shared" si="46"/>
        <v/>
      </c>
    </row>
    <row r="457" spans="1:11">
      <c r="A457" s="1" t="str">
        <f>IF(Cus!$B457&lt;&gt;"",Cus!$A457,"")</f>
        <v/>
      </c>
      <c r="C457" s="16">
        <v>1</v>
      </c>
      <c r="D457" s="3" t="str">
        <f t="shared" si="42"/>
        <v/>
      </c>
      <c r="E457" s="3">
        <f>IF($C457=1,CommissionDD!$A$30,IF($C457=2,CommissionDD!$A$31,CommissionDD!$A$32))</f>
        <v>1500</v>
      </c>
      <c r="F457" s="3" t="str">
        <f t="shared" si="47"/>
        <v/>
      </c>
      <c r="G457" s="38" t="str">
        <f>IF($A457="","",(VLOOKUP($A457,Cus!$A$2:$AH$1001,23,FALSE)))</f>
        <v/>
      </c>
      <c r="H457" s="3" t="str">
        <f t="shared" si="43"/>
        <v/>
      </c>
      <c r="I457" s="56" t="str">
        <f t="shared" si="44"/>
        <v/>
      </c>
      <c r="J457" s="3" t="str">
        <f t="shared" si="45"/>
        <v/>
      </c>
      <c r="K457" s="7" t="str">
        <f t="shared" si="46"/>
        <v/>
      </c>
    </row>
    <row r="458" spans="1:11">
      <c r="A458" s="1" t="str">
        <f>IF(Cus!$B458&lt;&gt;"",Cus!$A458,"")</f>
        <v/>
      </c>
      <c r="C458" s="16">
        <v>1</v>
      </c>
      <c r="D458" s="3" t="str">
        <f t="shared" si="42"/>
        <v/>
      </c>
      <c r="E458" s="3">
        <f>IF($C458=1,CommissionDD!$A$30,IF($C458=2,CommissionDD!$A$31,CommissionDD!$A$32))</f>
        <v>1500</v>
      </c>
      <c r="F458" s="3" t="str">
        <f t="shared" si="47"/>
        <v/>
      </c>
      <c r="G458" s="38" t="str">
        <f>IF($A458="","",(VLOOKUP($A458,Cus!$A$2:$AH$1001,23,FALSE)))</f>
        <v/>
      </c>
      <c r="H458" s="3" t="str">
        <f t="shared" si="43"/>
        <v/>
      </c>
      <c r="I458" s="56" t="str">
        <f t="shared" si="44"/>
        <v/>
      </c>
      <c r="J458" s="3" t="str">
        <f t="shared" si="45"/>
        <v/>
      </c>
      <c r="K458" s="7" t="str">
        <f t="shared" si="46"/>
        <v/>
      </c>
    </row>
    <row r="459" spans="1:11">
      <c r="A459" s="1" t="str">
        <f>IF(Cus!$B459&lt;&gt;"",Cus!$A459,"")</f>
        <v/>
      </c>
      <c r="C459" s="16">
        <v>1</v>
      </c>
      <c r="D459" s="3" t="str">
        <f t="shared" si="42"/>
        <v/>
      </c>
      <c r="E459" s="3">
        <f>IF($C459=1,CommissionDD!$A$30,IF($C459=2,CommissionDD!$A$31,CommissionDD!$A$32))</f>
        <v>1500</v>
      </c>
      <c r="F459" s="3" t="str">
        <f t="shared" si="47"/>
        <v/>
      </c>
      <c r="G459" s="38" t="str">
        <f>IF($A459="","",(VLOOKUP($A459,Cus!$A$2:$AH$1001,23,FALSE)))</f>
        <v/>
      </c>
      <c r="H459" s="3" t="str">
        <f t="shared" si="43"/>
        <v/>
      </c>
      <c r="I459" s="56" t="str">
        <f t="shared" si="44"/>
        <v/>
      </c>
      <c r="J459" s="3" t="str">
        <f t="shared" si="45"/>
        <v/>
      </c>
      <c r="K459" s="7" t="str">
        <f t="shared" si="46"/>
        <v/>
      </c>
    </row>
    <row r="460" spans="1:11">
      <c r="A460" s="1" t="str">
        <f>IF(Cus!$B460&lt;&gt;"",Cus!$A460,"")</f>
        <v/>
      </c>
      <c r="C460" s="16">
        <v>1</v>
      </c>
      <c r="D460" s="3" t="str">
        <f t="shared" si="42"/>
        <v/>
      </c>
      <c r="E460" s="3">
        <f>IF($C460=1,CommissionDD!$A$30,IF($C460=2,CommissionDD!$A$31,CommissionDD!$A$32))</f>
        <v>1500</v>
      </c>
      <c r="F460" s="3" t="str">
        <f t="shared" si="47"/>
        <v/>
      </c>
      <c r="G460" s="38" t="str">
        <f>IF($A460="","",(VLOOKUP($A460,Cus!$A$2:$AH$1001,23,FALSE)))</f>
        <v/>
      </c>
      <c r="H460" s="3" t="str">
        <f t="shared" si="43"/>
        <v/>
      </c>
      <c r="I460" s="56" t="str">
        <f t="shared" si="44"/>
        <v/>
      </c>
      <c r="J460" s="3" t="str">
        <f t="shared" si="45"/>
        <v/>
      </c>
      <c r="K460" s="7" t="str">
        <f t="shared" si="46"/>
        <v/>
      </c>
    </row>
    <row r="461" spans="1:11">
      <c r="A461" s="1" t="str">
        <f>IF(Cus!$B461&lt;&gt;"",Cus!$A461,"")</f>
        <v/>
      </c>
      <c r="C461" s="16">
        <v>1</v>
      </c>
      <c r="D461" s="3" t="str">
        <f t="shared" si="42"/>
        <v/>
      </c>
      <c r="E461" s="3">
        <f>IF($C461=1,CommissionDD!$A$30,IF($C461=2,CommissionDD!$A$31,CommissionDD!$A$32))</f>
        <v>1500</v>
      </c>
      <c r="F461" s="3" t="str">
        <f t="shared" si="47"/>
        <v/>
      </c>
      <c r="G461" s="38" t="str">
        <f>IF($A461="","",(VLOOKUP($A461,Cus!$A$2:$AH$1001,23,FALSE)))</f>
        <v/>
      </c>
      <c r="H461" s="3" t="str">
        <f t="shared" si="43"/>
        <v/>
      </c>
      <c r="I461" s="56" t="str">
        <f t="shared" si="44"/>
        <v/>
      </c>
      <c r="J461" s="3" t="str">
        <f t="shared" si="45"/>
        <v/>
      </c>
      <c r="K461" s="7" t="str">
        <f t="shared" si="46"/>
        <v/>
      </c>
    </row>
    <row r="462" spans="1:11">
      <c r="A462" s="1" t="str">
        <f>IF(Cus!$B462&lt;&gt;"",Cus!$A462,"")</f>
        <v/>
      </c>
      <c r="C462" s="16">
        <v>1</v>
      </c>
      <c r="D462" s="3" t="str">
        <f t="shared" si="42"/>
        <v/>
      </c>
      <c r="E462" s="3">
        <f>IF($C462=1,CommissionDD!$A$30,IF($C462=2,CommissionDD!$A$31,CommissionDD!$A$32))</f>
        <v>1500</v>
      </c>
      <c r="F462" s="3" t="str">
        <f t="shared" si="47"/>
        <v/>
      </c>
      <c r="G462" s="38" t="str">
        <f>IF($A462="","",(VLOOKUP($A462,Cus!$A$2:$AH$1001,23,FALSE)))</f>
        <v/>
      </c>
      <c r="H462" s="3" t="str">
        <f t="shared" si="43"/>
        <v/>
      </c>
      <c r="I462" s="56" t="str">
        <f t="shared" si="44"/>
        <v/>
      </c>
      <c r="J462" s="3" t="str">
        <f t="shared" si="45"/>
        <v/>
      </c>
      <c r="K462" s="7" t="str">
        <f t="shared" si="46"/>
        <v/>
      </c>
    </row>
    <row r="463" spans="1:11">
      <c r="A463" s="1" t="str">
        <f>IF(Cus!$B463&lt;&gt;"",Cus!$A463,"")</f>
        <v/>
      </c>
      <c r="C463" s="16">
        <v>1</v>
      </c>
      <c r="D463" s="3" t="str">
        <f t="shared" si="42"/>
        <v/>
      </c>
      <c r="E463" s="3">
        <f>IF($C463=1,CommissionDD!$A$30,IF($C463=2,CommissionDD!$A$31,CommissionDD!$A$32))</f>
        <v>1500</v>
      </c>
      <c r="F463" s="3" t="str">
        <f t="shared" si="47"/>
        <v/>
      </c>
      <c r="G463" s="38" t="str">
        <f>IF($A463="","",(VLOOKUP($A463,Cus!$A$2:$AH$1001,23,FALSE)))</f>
        <v/>
      </c>
      <c r="H463" s="3" t="str">
        <f t="shared" si="43"/>
        <v/>
      </c>
      <c r="I463" s="56" t="str">
        <f t="shared" si="44"/>
        <v/>
      </c>
      <c r="J463" s="3" t="str">
        <f t="shared" si="45"/>
        <v/>
      </c>
      <c r="K463" s="7" t="str">
        <f t="shared" si="46"/>
        <v/>
      </c>
    </row>
    <row r="464" spans="1:11">
      <c r="A464" s="1" t="str">
        <f>IF(Cus!$B464&lt;&gt;"",Cus!$A464,"")</f>
        <v/>
      </c>
      <c r="C464" s="16">
        <v>1</v>
      </c>
      <c r="D464" s="3" t="str">
        <f t="shared" si="42"/>
        <v/>
      </c>
      <c r="E464" s="3">
        <f>IF($C464=1,CommissionDD!$A$30,IF($C464=2,CommissionDD!$A$31,CommissionDD!$A$32))</f>
        <v>1500</v>
      </c>
      <c r="F464" s="3" t="str">
        <f t="shared" si="47"/>
        <v/>
      </c>
      <c r="G464" s="38" t="str">
        <f>IF($A464="","",(VLOOKUP($A464,Cus!$A$2:$AH$1001,23,FALSE)))</f>
        <v/>
      </c>
      <c r="H464" s="3" t="str">
        <f t="shared" si="43"/>
        <v/>
      </c>
      <c r="I464" s="56" t="str">
        <f t="shared" si="44"/>
        <v/>
      </c>
      <c r="J464" s="3" t="str">
        <f t="shared" si="45"/>
        <v/>
      </c>
      <c r="K464" s="7" t="str">
        <f t="shared" si="46"/>
        <v/>
      </c>
    </row>
    <row r="465" spans="1:11">
      <c r="A465" s="1" t="str">
        <f>IF(Cus!$B465&lt;&gt;"",Cus!$A465,"")</f>
        <v/>
      </c>
      <c r="C465" s="16">
        <v>1</v>
      </c>
      <c r="D465" s="3" t="str">
        <f t="shared" si="42"/>
        <v/>
      </c>
      <c r="E465" s="3">
        <f>IF($C465=1,CommissionDD!$A$30,IF($C465=2,CommissionDD!$A$31,CommissionDD!$A$32))</f>
        <v>1500</v>
      </c>
      <c r="F465" s="3" t="str">
        <f t="shared" si="47"/>
        <v/>
      </c>
      <c r="G465" s="38" t="str">
        <f>IF($A465="","",(VLOOKUP($A465,Cus!$A$2:$AH$1001,23,FALSE)))</f>
        <v/>
      </c>
      <c r="H465" s="3" t="str">
        <f t="shared" si="43"/>
        <v/>
      </c>
      <c r="I465" s="56" t="str">
        <f t="shared" si="44"/>
        <v/>
      </c>
      <c r="J465" s="3" t="str">
        <f t="shared" si="45"/>
        <v/>
      </c>
      <c r="K465" s="7" t="str">
        <f t="shared" si="46"/>
        <v/>
      </c>
    </row>
    <row r="466" spans="1:11">
      <c r="A466" s="1" t="str">
        <f>IF(Cus!$B466&lt;&gt;"",Cus!$A466,"")</f>
        <v/>
      </c>
      <c r="C466" s="16">
        <v>1</v>
      </c>
      <c r="D466" s="3" t="str">
        <f t="shared" si="42"/>
        <v/>
      </c>
      <c r="E466" s="3">
        <f>IF($C466=1,CommissionDD!$A$30,IF($C466=2,CommissionDD!$A$31,CommissionDD!$A$32))</f>
        <v>1500</v>
      </c>
      <c r="F466" s="3" t="str">
        <f t="shared" si="47"/>
        <v/>
      </c>
      <c r="G466" s="38" t="str">
        <f>IF($A466="","",(VLOOKUP($A466,Cus!$A$2:$AH$1001,23,FALSE)))</f>
        <v/>
      </c>
      <c r="H466" s="3" t="str">
        <f t="shared" si="43"/>
        <v/>
      </c>
      <c r="I466" s="56" t="str">
        <f t="shared" si="44"/>
        <v/>
      </c>
      <c r="J466" s="3" t="str">
        <f t="shared" si="45"/>
        <v/>
      </c>
      <c r="K466" s="7" t="str">
        <f t="shared" si="46"/>
        <v/>
      </c>
    </row>
    <row r="467" spans="1:11">
      <c r="A467" s="1" t="str">
        <f>IF(Cus!$B467&lt;&gt;"",Cus!$A467,"")</f>
        <v/>
      </c>
      <c r="C467" s="16">
        <v>1</v>
      </c>
      <c r="D467" s="3" t="str">
        <f t="shared" si="42"/>
        <v/>
      </c>
      <c r="E467" s="3">
        <f>IF($C467=1,CommissionDD!$A$30,IF($C467=2,CommissionDD!$A$31,CommissionDD!$A$32))</f>
        <v>1500</v>
      </c>
      <c r="F467" s="3" t="str">
        <f t="shared" si="47"/>
        <v/>
      </c>
      <c r="G467" s="38" t="str">
        <f>IF($A467="","",(VLOOKUP($A467,Cus!$A$2:$AH$1001,23,FALSE)))</f>
        <v/>
      </c>
      <c r="H467" s="3" t="str">
        <f t="shared" si="43"/>
        <v/>
      </c>
      <c r="I467" s="56" t="str">
        <f t="shared" si="44"/>
        <v/>
      </c>
      <c r="J467" s="3" t="str">
        <f t="shared" si="45"/>
        <v/>
      </c>
      <c r="K467" s="7" t="str">
        <f t="shared" si="46"/>
        <v/>
      </c>
    </row>
    <row r="468" spans="1:11">
      <c r="A468" s="1" t="str">
        <f>IF(Cus!$B468&lt;&gt;"",Cus!$A468,"")</f>
        <v/>
      </c>
      <c r="C468" s="16">
        <v>1</v>
      </c>
      <c r="D468" s="3" t="str">
        <f t="shared" si="42"/>
        <v/>
      </c>
      <c r="E468" s="3">
        <f>IF($C468=1,CommissionDD!$A$30,IF($C468=2,CommissionDD!$A$31,CommissionDD!$A$32))</f>
        <v>1500</v>
      </c>
      <c r="F468" s="3" t="str">
        <f t="shared" si="47"/>
        <v/>
      </c>
      <c r="G468" s="38" t="str">
        <f>IF($A468="","",(VLOOKUP($A468,Cus!$A$2:$AH$1001,23,FALSE)))</f>
        <v/>
      </c>
      <c r="H468" s="3" t="str">
        <f t="shared" si="43"/>
        <v/>
      </c>
      <c r="I468" s="56" t="str">
        <f t="shared" si="44"/>
        <v/>
      </c>
      <c r="J468" s="3" t="str">
        <f t="shared" si="45"/>
        <v/>
      </c>
      <c r="K468" s="7" t="str">
        <f t="shared" si="46"/>
        <v/>
      </c>
    </row>
    <row r="469" spans="1:11">
      <c r="A469" s="1" t="str">
        <f>IF(Cus!$B469&lt;&gt;"",Cus!$A469,"")</f>
        <v/>
      </c>
      <c r="C469" s="16">
        <v>1</v>
      </c>
      <c r="D469" s="3" t="str">
        <f t="shared" si="42"/>
        <v/>
      </c>
      <c r="E469" s="3">
        <f>IF($C469=1,CommissionDD!$A$30,IF($C469=2,CommissionDD!$A$31,CommissionDD!$A$32))</f>
        <v>1500</v>
      </c>
      <c r="F469" s="3" t="str">
        <f t="shared" si="47"/>
        <v/>
      </c>
      <c r="G469" s="38" t="str">
        <f>IF($A469="","",(VLOOKUP($A469,Cus!$A$2:$AH$1001,23,FALSE)))</f>
        <v/>
      </c>
      <c r="H469" s="3" t="str">
        <f t="shared" si="43"/>
        <v/>
      </c>
      <c r="I469" s="56" t="str">
        <f t="shared" si="44"/>
        <v/>
      </c>
      <c r="J469" s="3" t="str">
        <f t="shared" si="45"/>
        <v/>
      </c>
      <c r="K469" s="7" t="str">
        <f t="shared" si="46"/>
        <v/>
      </c>
    </row>
    <row r="470" spans="1:11">
      <c r="A470" s="1" t="str">
        <f>IF(Cus!$B470&lt;&gt;"",Cus!$A470,"")</f>
        <v/>
      </c>
      <c r="C470" s="16">
        <v>1</v>
      </c>
      <c r="D470" s="3" t="str">
        <f t="shared" si="42"/>
        <v/>
      </c>
      <c r="E470" s="3">
        <f>IF($C470=1,CommissionDD!$A$30,IF($C470=2,CommissionDD!$A$31,CommissionDD!$A$32))</f>
        <v>1500</v>
      </c>
      <c r="F470" s="3" t="str">
        <f t="shared" si="47"/>
        <v/>
      </c>
      <c r="G470" s="38" t="str">
        <f>IF($A470="","",(VLOOKUP($A470,Cus!$A$2:$AH$1001,23,FALSE)))</f>
        <v/>
      </c>
      <c r="H470" s="3" t="str">
        <f t="shared" si="43"/>
        <v/>
      </c>
      <c r="I470" s="56" t="str">
        <f t="shared" si="44"/>
        <v/>
      </c>
      <c r="J470" s="3" t="str">
        <f t="shared" si="45"/>
        <v/>
      </c>
      <c r="K470" s="7" t="str">
        <f t="shared" si="46"/>
        <v/>
      </c>
    </row>
    <row r="471" spans="1:11">
      <c r="A471" s="1" t="str">
        <f>IF(Cus!$B471&lt;&gt;"",Cus!$A471,"")</f>
        <v/>
      </c>
      <c r="C471" s="16">
        <v>1</v>
      </c>
      <c r="D471" s="3" t="str">
        <f t="shared" si="42"/>
        <v/>
      </c>
      <c r="E471" s="3">
        <f>IF($C471=1,CommissionDD!$A$30,IF($C471=2,CommissionDD!$A$31,CommissionDD!$A$32))</f>
        <v>1500</v>
      </c>
      <c r="F471" s="3" t="str">
        <f t="shared" si="47"/>
        <v/>
      </c>
      <c r="G471" s="38" t="str">
        <f>IF($A471="","",(VLOOKUP($A471,Cus!$A$2:$AH$1001,23,FALSE)))</f>
        <v/>
      </c>
      <c r="H471" s="3" t="str">
        <f t="shared" si="43"/>
        <v/>
      </c>
      <c r="I471" s="56" t="str">
        <f t="shared" si="44"/>
        <v/>
      </c>
      <c r="J471" s="3" t="str">
        <f t="shared" si="45"/>
        <v/>
      </c>
      <c r="K471" s="7" t="str">
        <f t="shared" si="46"/>
        <v/>
      </c>
    </row>
    <row r="472" spans="1:11">
      <c r="A472" s="1" t="str">
        <f>IF(Cus!$B472&lt;&gt;"",Cus!$A472,"")</f>
        <v/>
      </c>
      <c r="C472" s="16">
        <v>1</v>
      </c>
      <c r="D472" s="3" t="str">
        <f t="shared" si="42"/>
        <v/>
      </c>
      <c r="E472" s="3">
        <f>IF($C472=1,CommissionDD!$A$30,IF($C472=2,CommissionDD!$A$31,CommissionDD!$A$32))</f>
        <v>1500</v>
      </c>
      <c r="F472" s="3" t="str">
        <f t="shared" si="47"/>
        <v/>
      </c>
      <c r="G472" s="38" t="str">
        <f>IF($A472="","",(VLOOKUP($A472,Cus!$A$2:$AH$1001,23,FALSE)))</f>
        <v/>
      </c>
      <c r="H472" s="3" t="str">
        <f t="shared" si="43"/>
        <v/>
      </c>
      <c r="I472" s="56" t="str">
        <f t="shared" si="44"/>
        <v/>
      </c>
      <c r="J472" s="3" t="str">
        <f t="shared" si="45"/>
        <v/>
      </c>
      <c r="K472" s="7" t="str">
        <f t="shared" si="46"/>
        <v/>
      </c>
    </row>
    <row r="473" spans="1:11">
      <c r="A473" s="1" t="str">
        <f>IF(Cus!$B473&lt;&gt;"",Cus!$A473,"")</f>
        <v/>
      </c>
      <c r="C473" s="16">
        <v>1</v>
      </c>
      <c r="D473" s="3" t="str">
        <f t="shared" si="42"/>
        <v/>
      </c>
      <c r="E473" s="3">
        <f>IF($C473=1,CommissionDD!$A$30,IF($C473=2,CommissionDD!$A$31,CommissionDD!$A$32))</f>
        <v>1500</v>
      </c>
      <c r="F473" s="3" t="str">
        <f t="shared" si="47"/>
        <v/>
      </c>
      <c r="G473" s="38" t="str">
        <f>IF($A473="","",(VLOOKUP($A473,Cus!$A$2:$AH$1001,23,FALSE)))</f>
        <v/>
      </c>
      <c r="H473" s="3" t="str">
        <f t="shared" si="43"/>
        <v/>
      </c>
      <c r="I473" s="56" t="str">
        <f t="shared" si="44"/>
        <v/>
      </c>
      <c r="J473" s="3" t="str">
        <f t="shared" si="45"/>
        <v/>
      </c>
      <c r="K473" s="7" t="str">
        <f t="shared" si="46"/>
        <v/>
      </c>
    </row>
    <row r="474" spans="1:11">
      <c r="A474" s="1" t="str">
        <f>IF(Cus!$B474&lt;&gt;"",Cus!$A474,"")</f>
        <v/>
      </c>
      <c r="C474" s="16">
        <v>1</v>
      </c>
      <c r="D474" s="3" t="str">
        <f t="shared" si="42"/>
        <v/>
      </c>
      <c r="E474" s="3">
        <f>IF($C474=1,CommissionDD!$A$30,IF($C474=2,CommissionDD!$A$31,CommissionDD!$A$32))</f>
        <v>1500</v>
      </c>
      <c r="F474" s="3" t="str">
        <f t="shared" si="47"/>
        <v/>
      </c>
      <c r="G474" s="38" t="str">
        <f>IF($A474="","",(VLOOKUP($A474,Cus!$A$2:$AH$1001,23,FALSE)))</f>
        <v/>
      </c>
      <c r="H474" s="3" t="str">
        <f t="shared" si="43"/>
        <v/>
      </c>
      <c r="I474" s="56" t="str">
        <f t="shared" si="44"/>
        <v/>
      </c>
      <c r="J474" s="3" t="str">
        <f t="shared" si="45"/>
        <v/>
      </c>
      <c r="K474" s="7" t="str">
        <f t="shared" si="46"/>
        <v/>
      </c>
    </row>
    <row r="475" spans="1:11">
      <c r="A475" s="1" t="str">
        <f>IF(Cus!$B475&lt;&gt;"",Cus!$A475,"")</f>
        <v/>
      </c>
      <c r="C475" s="16">
        <v>1</v>
      </c>
      <c r="D475" s="3" t="str">
        <f t="shared" si="42"/>
        <v/>
      </c>
      <c r="E475" s="3">
        <f>IF($C475=1,CommissionDD!$A$30,IF($C475=2,CommissionDD!$A$31,CommissionDD!$A$32))</f>
        <v>1500</v>
      </c>
      <c r="F475" s="3" t="str">
        <f t="shared" si="47"/>
        <v/>
      </c>
      <c r="G475" s="38" t="str">
        <f>IF($A475="","",(VLOOKUP($A475,Cus!$A$2:$AH$1001,23,FALSE)))</f>
        <v/>
      </c>
      <c r="H475" s="3" t="str">
        <f t="shared" si="43"/>
        <v/>
      </c>
      <c r="I475" s="56" t="str">
        <f t="shared" si="44"/>
        <v/>
      </c>
      <c r="J475" s="3" t="str">
        <f t="shared" si="45"/>
        <v/>
      </c>
      <c r="K475" s="7" t="str">
        <f t="shared" si="46"/>
        <v/>
      </c>
    </row>
    <row r="476" spans="1:11">
      <c r="A476" s="1" t="str">
        <f>IF(Cus!$B476&lt;&gt;"",Cus!$A476,"")</f>
        <v/>
      </c>
      <c r="C476" s="16">
        <v>1</v>
      </c>
      <c r="D476" s="3" t="str">
        <f t="shared" si="42"/>
        <v/>
      </c>
      <c r="E476" s="3">
        <f>IF($C476=1,CommissionDD!$A$30,IF($C476=2,CommissionDD!$A$31,CommissionDD!$A$32))</f>
        <v>1500</v>
      </c>
      <c r="F476" s="3" t="str">
        <f t="shared" si="47"/>
        <v/>
      </c>
      <c r="G476" s="38" t="str">
        <f>IF($A476="","",(VLOOKUP($A476,Cus!$A$2:$AH$1001,23,FALSE)))</f>
        <v/>
      </c>
      <c r="H476" s="3" t="str">
        <f t="shared" si="43"/>
        <v/>
      </c>
      <c r="I476" s="56" t="str">
        <f t="shared" si="44"/>
        <v/>
      </c>
      <c r="J476" s="3" t="str">
        <f t="shared" si="45"/>
        <v/>
      </c>
      <c r="K476" s="7" t="str">
        <f t="shared" si="46"/>
        <v/>
      </c>
    </row>
    <row r="477" spans="1:11">
      <c r="A477" s="1" t="str">
        <f>IF(Cus!$B477&lt;&gt;"",Cus!$A477,"")</f>
        <v/>
      </c>
      <c r="C477" s="16">
        <v>1</v>
      </c>
      <c r="D477" s="3" t="str">
        <f t="shared" si="42"/>
        <v/>
      </c>
      <c r="E477" s="3">
        <f>IF($C477=1,CommissionDD!$A$30,IF($C477=2,CommissionDD!$A$31,CommissionDD!$A$32))</f>
        <v>1500</v>
      </c>
      <c r="F477" s="3" t="str">
        <f t="shared" si="47"/>
        <v/>
      </c>
      <c r="G477" s="38" t="str">
        <f>IF($A477="","",(VLOOKUP($A477,Cus!$A$2:$AH$1001,23,FALSE)))</f>
        <v/>
      </c>
      <c r="H477" s="3" t="str">
        <f t="shared" si="43"/>
        <v/>
      </c>
      <c r="I477" s="56" t="str">
        <f t="shared" si="44"/>
        <v/>
      </c>
      <c r="J477" s="3" t="str">
        <f t="shared" si="45"/>
        <v/>
      </c>
      <c r="K477" s="7" t="str">
        <f t="shared" si="46"/>
        <v/>
      </c>
    </row>
    <row r="478" spans="1:11">
      <c r="A478" s="1" t="str">
        <f>IF(Cus!$B478&lt;&gt;"",Cus!$A478,"")</f>
        <v/>
      </c>
      <c r="C478" s="16">
        <v>1</v>
      </c>
      <c r="D478" s="3" t="str">
        <f t="shared" si="42"/>
        <v/>
      </c>
      <c r="E478" s="3">
        <f>IF($C478=1,CommissionDD!$A$30,IF($C478=2,CommissionDD!$A$31,CommissionDD!$A$32))</f>
        <v>1500</v>
      </c>
      <c r="F478" s="3" t="str">
        <f t="shared" si="47"/>
        <v/>
      </c>
      <c r="G478" s="38" t="str">
        <f>IF($A478="","",(VLOOKUP($A478,Cus!$A$2:$AH$1001,23,FALSE)))</f>
        <v/>
      </c>
      <c r="H478" s="3" t="str">
        <f t="shared" si="43"/>
        <v/>
      </c>
      <c r="I478" s="56" t="str">
        <f t="shared" si="44"/>
        <v/>
      </c>
      <c r="J478" s="3" t="str">
        <f t="shared" si="45"/>
        <v/>
      </c>
      <c r="K478" s="7" t="str">
        <f t="shared" si="46"/>
        <v/>
      </c>
    </row>
    <row r="479" spans="1:11">
      <c r="A479" s="1" t="str">
        <f>IF(Cus!$B479&lt;&gt;"",Cus!$A479,"")</f>
        <v/>
      </c>
      <c r="C479" s="16">
        <v>1</v>
      </c>
      <c r="D479" s="3" t="str">
        <f t="shared" si="42"/>
        <v/>
      </c>
      <c r="E479" s="3">
        <f>IF($C479=1,CommissionDD!$A$30,IF($C479=2,CommissionDD!$A$31,CommissionDD!$A$32))</f>
        <v>1500</v>
      </c>
      <c r="F479" s="3" t="str">
        <f t="shared" si="47"/>
        <v/>
      </c>
      <c r="G479" s="38" t="str">
        <f>IF($A479="","",(VLOOKUP($A479,Cus!$A$2:$AH$1001,23,FALSE)))</f>
        <v/>
      </c>
      <c r="H479" s="3" t="str">
        <f t="shared" si="43"/>
        <v/>
      </c>
      <c r="I479" s="56" t="str">
        <f t="shared" si="44"/>
        <v/>
      </c>
      <c r="J479" s="3" t="str">
        <f t="shared" si="45"/>
        <v/>
      </c>
      <c r="K479" s="7" t="str">
        <f t="shared" si="46"/>
        <v/>
      </c>
    </row>
    <row r="480" spans="1:11">
      <c r="A480" s="1" t="str">
        <f>IF(Cus!$B480&lt;&gt;"",Cus!$A480,"")</f>
        <v/>
      </c>
      <c r="C480" s="16">
        <v>1</v>
      </c>
      <c r="D480" s="3" t="str">
        <f t="shared" si="42"/>
        <v/>
      </c>
      <c r="E480" s="3">
        <f>IF($C480=1,CommissionDD!$A$30,IF($C480=2,CommissionDD!$A$31,CommissionDD!$A$32))</f>
        <v>1500</v>
      </c>
      <c r="F480" s="3" t="str">
        <f t="shared" si="47"/>
        <v/>
      </c>
      <c r="G480" s="38" t="str">
        <f>IF($A480="","",(VLOOKUP($A480,Cus!$A$2:$AH$1001,23,FALSE)))</f>
        <v/>
      </c>
      <c r="H480" s="3" t="str">
        <f t="shared" si="43"/>
        <v/>
      </c>
      <c r="I480" s="56" t="str">
        <f t="shared" si="44"/>
        <v/>
      </c>
      <c r="J480" s="3" t="str">
        <f t="shared" si="45"/>
        <v/>
      </c>
      <c r="K480" s="7" t="str">
        <f t="shared" si="46"/>
        <v/>
      </c>
    </row>
    <row r="481" spans="1:11">
      <c r="A481" s="1" t="str">
        <f>IF(Cus!$B481&lt;&gt;"",Cus!$A481,"")</f>
        <v/>
      </c>
      <c r="C481" s="16">
        <v>1</v>
      </c>
      <c r="D481" s="3" t="str">
        <f t="shared" si="42"/>
        <v/>
      </c>
      <c r="E481" s="3">
        <f>IF($C481=1,CommissionDD!$A$30,IF($C481=2,CommissionDD!$A$31,CommissionDD!$A$32))</f>
        <v>1500</v>
      </c>
      <c r="F481" s="3" t="str">
        <f t="shared" si="47"/>
        <v/>
      </c>
      <c r="G481" s="38" t="str">
        <f>IF($A481="","",(VLOOKUP($A481,Cus!$A$2:$AH$1001,23,FALSE)))</f>
        <v/>
      </c>
      <c r="H481" s="3" t="str">
        <f t="shared" si="43"/>
        <v/>
      </c>
      <c r="I481" s="56" t="str">
        <f t="shared" si="44"/>
        <v/>
      </c>
      <c r="J481" s="3" t="str">
        <f t="shared" si="45"/>
        <v/>
      </c>
      <c r="K481" s="7" t="str">
        <f t="shared" si="46"/>
        <v/>
      </c>
    </row>
    <row r="482" spans="1:11">
      <c r="A482" s="1" t="str">
        <f>IF(Cus!$B482&lt;&gt;"",Cus!$A482,"")</f>
        <v/>
      </c>
      <c r="C482" s="16">
        <v>1</v>
      </c>
      <c r="D482" s="3" t="str">
        <f t="shared" si="42"/>
        <v/>
      </c>
      <c r="E482" s="3">
        <f>IF($C482=1,CommissionDD!$A$30,IF($C482=2,CommissionDD!$A$31,CommissionDD!$A$32))</f>
        <v>1500</v>
      </c>
      <c r="F482" s="3" t="str">
        <f t="shared" si="47"/>
        <v/>
      </c>
      <c r="G482" s="38" t="str">
        <f>IF($A482="","",(VLOOKUP($A482,Cus!$A$2:$AH$1001,23,FALSE)))</f>
        <v/>
      </c>
      <c r="H482" s="3" t="str">
        <f t="shared" si="43"/>
        <v/>
      </c>
      <c r="I482" s="56" t="str">
        <f t="shared" si="44"/>
        <v/>
      </c>
      <c r="J482" s="3" t="str">
        <f t="shared" si="45"/>
        <v/>
      </c>
      <c r="K482" s="7" t="str">
        <f t="shared" si="46"/>
        <v/>
      </c>
    </row>
    <row r="483" spans="1:11">
      <c r="A483" s="1" t="str">
        <f>IF(Cus!$B483&lt;&gt;"",Cus!$A483,"")</f>
        <v/>
      </c>
      <c r="C483" s="16">
        <v>1</v>
      </c>
      <c r="D483" s="3" t="str">
        <f t="shared" si="42"/>
        <v/>
      </c>
      <c r="E483" s="3">
        <f>IF($C483=1,CommissionDD!$A$30,IF($C483=2,CommissionDD!$A$31,CommissionDD!$A$32))</f>
        <v>1500</v>
      </c>
      <c r="F483" s="3" t="str">
        <f t="shared" si="47"/>
        <v/>
      </c>
      <c r="G483" s="38" t="str">
        <f>IF($A483="","",(VLOOKUP($A483,Cus!$A$2:$AH$1001,23,FALSE)))</f>
        <v/>
      </c>
      <c r="H483" s="3" t="str">
        <f t="shared" si="43"/>
        <v/>
      </c>
      <c r="I483" s="56" t="str">
        <f t="shared" si="44"/>
        <v/>
      </c>
      <c r="J483" s="3" t="str">
        <f t="shared" si="45"/>
        <v/>
      </c>
      <c r="K483" s="7" t="str">
        <f t="shared" si="46"/>
        <v/>
      </c>
    </row>
    <row r="484" spans="1:11">
      <c r="A484" s="1" t="str">
        <f>IF(Cus!$B484&lt;&gt;"",Cus!$A484,"")</f>
        <v/>
      </c>
      <c r="C484" s="16">
        <v>1</v>
      </c>
      <c r="D484" s="3" t="str">
        <f t="shared" si="42"/>
        <v/>
      </c>
      <c r="E484" s="3">
        <f>IF($C484=1,CommissionDD!$A$30,IF($C484=2,CommissionDD!$A$31,CommissionDD!$A$32))</f>
        <v>1500</v>
      </c>
      <c r="F484" s="3" t="str">
        <f t="shared" si="47"/>
        <v/>
      </c>
      <c r="G484" s="38" t="str">
        <f>IF($A484="","",(VLOOKUP($A484,Cus!$A$2:$AH$1001,23,FALSE)))</f>
        <v/>
      </c>
      <c r="H484" s="3" t="str">
        <f t="shared" si="43"/>
        <v/>
      </c>
      <c r="I484" s="56" t="str">
        <f t="shared" si="44"/>
        <v/>
      </c>
      <c r="J484" s="3" t="str">
        <f t="shared" si="45"/>
        <v/>
      </c>
      <c r="K484" s="7" t="str">
        <f t="shared" si="46"/>
        <v/>
      </c>
    </row>
    <row r="485" spans="1:11">
      <c r="A485" s="1" t="str">
        <f>IF(Cus!$B485&lt;&gt;"",Cus!$A485,"")</f>
        <v/>
      </c>
      <c r="C485" s="16">
        <v>1</v>
      </c>
      <c r="D485" s="3" t="str">
        <f t="shared" si="42"/>
        <v/>
      </c>
      <c r="E485" s="3">
        <f>IF($C485=1,CommissionDD!$A$30,IF($C485=2,CommissionDD!$A$31,CommissionDD!$A$32))</f>
        <v>1500</v>
      </c>
      <c r="F485" s="3" t="str">
        <f t="shared" si="47"/>
        <v/>
      </c>
      <c r="G485" s="38" t="str">
        <f>IF($A485="","",(VLOOKUP($A485,Cus!$A$2:$AH$1001,23,FALSE)))</f>
        <v/>
      </c>
      <c r="H485" s="3" t="str">
        <f t="shared" si="43"/>
        <v/>
      </c>
      <c r="I485" s="56" t="str">
        <f t="shared" si="44"/>
        <v/>
      </c>
      <c r="J485" s="3" t="str">
        <f t="shared" si="45"/>
        <v/>
      </c>
      <c r="K485" s="7" t="str">
        <f t="shared" si="46"/>
        <v/>
      </c>
    </row>
    <row r="486" spans="1:11">
      <c r="A486" s="1" t="str">
        <f>IF(Cus!$B486&lt;&gt;"",Cus!$A486,"")</f>
        <v/>
      </c>
      <c r="C486" s="16">
        <v>1</v>
      </c>
      <c r="D486" s="3" t="str">
        <f t="shared" si="42"/>
        <v/>
      </c>
      <c r="E486" s="3">
        <f>IF($C486=1,CommissionDD!$A$30,IF($C486=2,CommissionDD!$A$31,CommissionDD!$A$32))</f>
        <v>1500</v>
      </c>
      <c r="F486" s="3" t="str">
        <f t="shared" si="47"/>
        <v/>
      </c>
      <c r="G486" s="38" t="str">
        <f>IF($A486="","",(VLOOKUP($A486,Cus!$A$2:$AH$1001,23,FALSE)))</f>
        <v/>
      </c>
      <c r="H486" s="3" t="str">
        <f t="shared" si="43"/>
        <v/>
      </c>
      <c r="I486" s="56" t="str">
        <f t="shared" si="44"/>
        <v/>
      </c>
      <c r="J486" s="3" t="str">
        <f t="shared" si="45"/>
        <v/>
      </c>
      <c r="K486" s="7" t="str">
        <f t="shared" si="46"/>
        <v/>
      </c>
    </row>
    <row r="487" spans="1:11">
      <c r="A487" s="1" t="str">
        <f>IF(Cus!$B487&lt;&gt;"",Cus!$A487,"")</f>
        <v/>
      </c>
      <c r="C487" s="16">
        <v>1</v>
      </c>
      <c r="D487" s="3" t="str">
        <f t="shared" si="42"/>
        <v/>
      </c>
      <c r="E487" s="3">
        <f>IF($C487=1,CommissionDD!$A$30,IF($C487=2,CommissionDD!$A$31,CommissionDD!$A$32))</f>
        <v>1500</v>
      </c>
      <c r="F487" s="3" t="str">
        <f t="shared" si="47"/>
        <v/>
      </c>
      <c r="G487" s="38" t="str">
        <f>IF($A487="","",(VLOOKUP($A487,Cus!$A$2:$AH$1001,23,FALSE)))</f>
        <v/>
      </c>
      <c r="H487" s="3" t="str">
        <f t="shared" si="43"/>
        <v/>
      </c>
      <c r="I487" s="56" t="str">
        <f t="shared" si="44"/>
        <v/>
      </c>
      <c r="J487" s="3" t="str">
        <f t="shared" si="45"/>
        <v/>
      </c>
      <c r="K487" s="7" t="str">
        <f t="shared" si="46"/>
        <v/>
      </c>
    </row>
    <row r="488" spans="1:11">
      <c r="A488" s="1" t="str">
        <f>IF(Cus!$B488&lt;&gt;"",Cus!$A488,"")</f>
        <v/>
      </c>
      <c r="C488" s="16">
        <v>1</v>
      </c>
      <c r="D488" s="3" t="str">
        <f t="shared" si="42"/>
        <v/>
      </c>
      <c r="E488" s="3">
        <f>IF($C488=1,CommissionDD!$A$30,IF($C488=2,CommissionDD!$A$31,CommissionDD!$A$32))</f>
        <v>1500</v>
      </c>
      <c r="F488" s="3" t="str">
        <f t="shared" si="47"/>
        <v/>
      </c>
      <c r="G488" s="38" t="str">
        <f>IF($A488="","",(VLOOKUP($A488,Cus!$A$2:$AH$1001,23,FALSE)))</f>
        <v/>
      </c>
      <c r="H488" s="3" t="str">
        <f t="shared" si="43"/>
        <v/>
      </c>
      <c r="I488" s="56" t="str">
        <f t="shared" si="44"/>
        <v/>
      </c>
      <c r="J488" s="3" t="str">
        <f t="shared" si="45"/>
        <v/>
      </c>
      <c r="K488" s="7" t="str">
        <f t="shared" si="46"/>
        <v/>
      </c>
    </row>
    <row r="489" spans="1:11">
      <c r="A489" s="1" t="str">
        <f>IF(Cus!$B489&lt;&gt;"",Cus!$A489,"")</f>
        <v/>
      </c>
      <c r="C489" s="16">
        <v>1</v>
      </c>
      <c r="D489" s="3" t="str">
        <f t="shared" si="42"/>
        <v/>
      </c>
      <c r="E489" s="3">
        <f>IF($C489=1,CommissionDD!$A$30,IF($C489=2,CommissionDD!$A$31,CommissionDD!$A$32))</f>
        <v>1500</v>
      </c>
      <c r="F489" s="3" t="str">
        <f t="shared" si="47"/>
        <v/>
      </c>
      <c r="G489" s="38" t="str">
        <f>IF($A489="","",(VLOOKUP($A489,Cus!$A$2:$AH$1001,23,FALSE)))</f>
        <v/>
      </c>
      <c r="H489" s="3" t="str">
        <f t="shared" si="43"/>
        <v/>
      </c>
      <c r="I489" s="56" t="str">
        <f t="shared" si="44"/>
        <v/>
      </c>
      <c r="J489" s="3" t="str">
        <f t="shared" si="45"/>
        <v/>
      </c>
      <c r="K489" s="7" t="str">
        <f t="shared" si="46"/>
        <v/>
      </c>
    </row>
    <row r="490" spans="1:11">
      <c r="A490" s="1" t="str">
        <f>IF(Cus!$B490&lt;&gt;"",Cus!$A490,"")</f>
        <v/>
      </c>
      <c r="C490" s="16">
        <v>1</v>
      </c>
      <c r="D490" s="3" t="str">
        <f t="shared" si="42"/>
        <v/>
      </c>
      <c r="E490" s="3">
        <f>IF($C490=1,CommissionDD!$A$30,IF($C490=2,CommissionDD!$A$31,CommissionDD!$A$32))</f>
        <v>1500</v>
      </c>
      <c r="F490" s="3" t="str">
        <f t="shared" si="47"/>
        <v/>
      </c>
      <c r="G490" s="38" t="str">
        <f>IF($A490="","",(VLOOKUP($A490,Cus!$A$2:$AH$1001,23,FALSE)))</f>
        <v/>
      </c>
      <c r="H490" s="3" t="str">
        <f t="shared" si="43"/>
        <v/>
      </c>
      <c r="I490" s="56" t="str">
        <f t="shared" si="44"/>
        <v/>
      </c>
      <c r="J490" s="3" t="str">
        <f t="shared" si="45"/>
        <v/>
      </c>
      <c r="K490" s="7" t="str">
        <f t="shared" si="46"/>
        <v/>
      </c>
    </row>
    <row r="491" spans="1:11">
      <c r="A491" s="1" t="str">
        <f>IF(Cus!$B491&lt;&gt;"",Cus!$A491,"")</f>
        <v/>
      </c>
      <c r="C491" s="16">
        <v>1</v>
      </c>
      <c r="D491" s="3" t="str">
        <f t="shared" si="42"/>
        <v/>
      </c>
      <c r="E491" s="3">
        <f>IF($C491=1,CommissionDD!$A$30,IF($C491=2,CommissionDD!$A$31,CommissionDD!$A$32))</f>
        <v>1500</v>
      </c>
      <c r="F491" s="3" t="str">
        <f t="shared" si="47"/>
        <v/>
      </c>
      <c r="G491" s="38" t="str">
        <f>IF($A491="","",(VLOOKUP($A491,Cus!$A$2:$AH$1001,23,FALSE)))</f>
        <v/>
      </c>
      <c r="H491" s="3" t="str">
        <f t="shared" si="43"/>
        <v/>
      </c>
      <c r="I491" s="56" t="str">
        <f t="shared" si="44"/>
        <v/>
      </c>
      <c r="J491" s="3" t="str">
        <f t="shared" si="45"/>
        <v/>
      </c>
      <c r="K491" s="7" t="str">
        <f t="shared" si="46"/>
        <v/>
      </c>
    </row>
    <row r="492" spans="1:11">
      <c r="A492" s="1" t="str">
        <f>IF(Cus!$B492&lt;&gt;"",Cus!$A492,"")</f>
        <v/>
      </c>
      <c r="C492" s="16">
        <v>1</v>
      </c>
      <c r="D492" s="3" t="str">
        <f t="shared" si="42"/>
        <v/>
      </c>
      <c r="E492" s="3">
        <f>IF($C492=1,CommissionDD!$A$30,IF($C492=2,CommissionDD!$A$31,CommissionDD!$A$32))</f>
        <v>1500</v>
      </c>
      <c r="F492" s="3" t="str">
        <f t="shared" si="47"/>
        <v/>
      </c>
      <c r="G492" s="38" t="str">
        <f>IF($A492="","",(VLOOKUP($A492,Cus!$A$2:$AH$1001,23,FALSE)))</f>
        <v/>
      </c>
      <c r="H492" s="3" t="str">
        <f t="shared" si="43"/>
        <v/>
      </c>
      <c r="I492" s="56" t="str">
        <f t="shared" si="44"/>
        <v/>
      </c>
      <c r="J492" s="3" t="str">
        <f t="shared" si="45"/>
        <v/>
      </c>
      <c r="K492" s="7" t="str">
        <f t="shared" si="46"/>
        <v/>
      </c>
    </row>
    <row r="493" spans="1:11">
      <c r="A493" s="1" t="str">
        <f>IF(Cus!$B493&lt;&gt;"",Cus!$A493,"")</f>
        <v/>
      </c>
      <c r="C493" s="16">
        <v>1</v>
      </c>
      <c r="D493" s="3" t="str">
        <f t="shared" si="42"/>
        <v/>
      </c>
      <c r="E493" s="3">
        <f>IF($C493=1,CommissionDD!$A$30,IF($C493=2,CommissionDD!$A$31,CommissionDD!$A$32))</f>
        <v>1500</v>
      </c>
      <c r="F493" s="3" t="str">
        <f t="shared" si="47"/>
        <v/>
      </c>
      <c r="G493" s="38" t="str">
        <f>IF($A493="","",(VLOOKUP($A493,Cus!$A$2:$AH$1001,23,FALSE)))</f>
        <v/>
      </c>
      <c r="H493" s="3" t="str">
        <f t="shared" si="43"/>
        <v/>
      </c>
      <c r="I493" s="56" t="str">
        <f t="shared" si="44"/>
        <v/>
      </c>
      <c r="J493" s="3" t="str">
        <f t="shared" si="45"/>
        <v/>
      </c>
      <c r="K493" s="7" t="str">
        <f t="shared" si="46"/>
        <v/>
      </c>
    </row>
    <row r="494" spans="1:11">
      <c r="A494" s="1" t="str">
        <f>IF(Cus!$B494&lt;&gt;"",Cus!$A494,"")</f>
        <v/>
      </c>
      <c r="C494" s="16">
        <v>1</v>
      </c>
      <c r="D494" s="3" t="str">
        <f t="shared" si="42"/>
        <v/>
      </c>
      <c r="E494" s="3">
        <f>IF($C494=1,CommissionDD!$A$30,IF($C494=2,CommissionDD!$A$31,CommissionDD!$A$32))</f>
        <v>1500</v>
      </c>
      <c r="F494" s="3" t="str">
        <f t="shared" si="47"/>
        <v/>
      </c>
      <c r="G494" s="38" t="str">
        <f>IF($A494="","",(VLOOKUP($A494,Cus!$A$2:$AH$1001,23,FALSE)))</f>
        <v/>
      </c>
      <c r="H494" s="3" t="str">
        <f t="shared" si="43"/>
        <v/>
      </c>
      <c r="I494" s="56" t="str">
        <f t="shared" si="44"/>
        <v/>
      </c>
      <c r="J494" s="3" t="str">
        <f t="shared" si="45"/>
        <v/>
      </c>
      <c r="K494" s="7" t="str">
        <f t="shared" si="46"/>
        <v/>
      </c>
    </row>
    <row r="495" spans="1:11">
      <c r="A495" s="1" t="str">
        <f>IF(Cus!$B495&lt;&gt;"",Cus!$A495,"")</f>
        <v/>
      </c>
      <c r="C495" s="16">
        <v>1</v>
      </c>
      <c r="D495" s="3" t="str">
        <f t="shared" si="42"/>
        <v/>
      </c>
      <c r="E495" s="3">
        <f>IF($C495=1,CommissionDD!$A$30,IF($C495=2,CommissionDD!$A$31,CommissionDD!$A$32))</f>
        <v>1500</v>
      </c>
      <c r="F495" s="3" t="str">
        <f t="shared" si="47"/>
        <v/>
      </c>
      <c r="G495" s="38" t="str">
        <f>IF($A495="","",(VLOOKUP($A495,Cus!$A$2:$AH$1001,23,FALSE)))</f>
        <v/>
      </c>
      <c r="H495" s="3" t="str">
        <f t="shared" si="43"/>
        <v/>
      </c>
      <c r="I495" s="56" t="str">
        <f t="shared" si="44"/>
        <v/>
      </c>
      <c r="J495" s="3" t="str">
        <f t="shared" si="45"/>
        <v/>
      </c>
      <c r="K495" s="7" t="str">
        <f t="shared" si="46"/>
        <v/>
      </c>
    </row>
    <row r="496" spans="1:11">
      <c r="A496" s="1" t="str">
        <f>IF(Cus!$B496&lt;&gt;"",Cus!$A496,"")</f>
        <v/>
      </c>
      <c r="C496" s="16">
        <v>1</v>
      </c>
      <c r="D496" s="3" t="str">
        <f t="shared" si="42"/>
        <v/>
      </c>
      <c r="E496" s="3">
        <f>IF($C496=1,CommissionDD!$A$30,IF($C496=2,CommissionDD!$A$31,CommissionDD!$A$32))</f>
        <v>1500</v>
      </c>
      <c r="F496" s="3" t="str">
        <f t="shared" si="47"/>
        <v/>
      </c>
      <c r="G496" s="38" t="str">
        <f>IF($A496="","",(VLOOKUP($A496,Cus!$A$2:$AH$1001,23,FALSE)))</f>
        <v/>
      </c>
      <c r="H496" s="3" t="str">
        <f t="shared" si="43"/>
        <v/>
      </c>
      <c r="I496" s="56" t="str">
        <f t="shared" si="44"/>
        <v/>
      </c>
      <c r="J496" s="3" t="str">
        <f t="shared" si="45"/>
        <v/>
      </c>
      <c r="K496" s="7" t="str">
        <f t="shared" si="46"/>
        <v/>
      </c>
    </row>
    <row r="497" spans="1:11">
      <c r="A497" s="1" t="str">
        <f>IF(Cus!$B497&lt;&gt;"",Cus!$A497,"")</f>
        <v/>
      </c>
      <c r="C497" s="16">
        <v>1</v>
      </c>
      <c r="D497" s="3" t="str">
        <f t="shared" si="42"/>
        <v/>
      </c>
      <c r="E497" s="3">
        <f>IF($C497=1,CommissionDD!$A$30,IF($C497=2,CommissionDD!$A$31,CommissionDD!$A$32))</f>
        <v>1500</v>
      </c>
      <c r="F497" s="3" t="str">
        <f t="shared" si="47"/>
        <v/>
      </c>
      <c r="G497" s="38" t="str">
        <f>IF($A497="","",(VLOOKUP($A497,Cus!$A$2:$AH$1001,23,FALSE)))</f>
        <v/>
      </c>
      <c r="H497" s="3" t="str">
        <f t="shared" si="43"/>
        <v/>
      </c>
      <c r="I497" s="56" t="str">
        <f t="shared" si="44"/>
        <v/>
      </c>
      <c r="J497" s="3" t="str">
        <f t="shared" si="45"/>
        <v/>
      </c>
      <c r="K497" s="7" t="str">
        <f t="shared" si="46"/>
        <v/>
      </c>
    </row>
    <row r="498" spans="1:11">
      <c r="A498" s="1" t="str">
        <f>IF(Cus!$B498&lt;&gt;"",Cus!$A498,"")</f>
        <v/>
      </c>
      <c r="C498" s="16">
        <v>1</v>
      </c>
      <c r="D498" s="3" t="str">
        <f t="shared" si="42"/>
        <v/>
      </c>
      <c r="E498" s="3">
        <f>IF($C498=1,CommissionDD!$A$30,IF($C498=2,CommissionDD!$A$31,CommissionDD!$A$32))</f>
        <v>1500</v>
      </c>
      <c r="F498" s="3" t="str">
        <f t="shared" si="47"/>
        <v/>
      </c>
      <c r="G498" s="38" t="str">
        <f>IF($A498="","",(VLOOKUP($A498,Cus!$A$2:$AH$1001,23,FALSE)))</f>
        <v/>
      </c>
      <c r="H498" s="3" t="str">
        <f t="shared" si="43"/>
        <v/>
      </c>
      <c r="I498" s="56" t="str">
        <f t="shared" si="44"/>
        <v/>
      </c>
      <c r="J498" s="3" t="str">
        <f t="shared" si="45"/>
        <v/>
      </c>
      <c r="K498" s="7" t="str">
        <f t="shared" si="46"/>
        <v/>
      </c>
    </row>
    <row r="499" spans="1:11">
      <c r="A499" s="1" t="str">
        <f>IF(Cus!$B499&lt;&gt;"",Cus!$A499,"")</f>
        <v/>
      </c>
      <c r="C499" s="16">
        <v>1</v>
      </c>
      <c r="D499" s="3" t="str">
        <f t="shared" si="42"/>
        <v/>
      </c>
      <c r="E499" s="3">
        <f>IF($C499=1,CommissionDD!$A$30,IF($C499=2,CommissionDD!$A$31,CommissionDD!$A$32))</f>
        <v>1500</v>
      </c>
      <c r="F499" s="3" t="str">
        <f t="shared" si="47"/>
        <v/>
      </c>
      <c r="G499" s="38" t="str">
        <f>IF($A499="","",(VLOOKUP($A499,Cus!$A$2:$AH$1001,23,FALSE)))</f>
        <v/>
      </c>
      <c r="H499" s="3" t="str">
        <f t="shared" si="43"/>
        <v/>
      </c>
      <c r="I499" s="56" t="str">
        <f t="shared" si="44"/>
        <v/>
      </c>
      <c r="J499" s="3" t="str">
        <f t="shared" si="45"/>
        <v/>
      </c>
      <c r="K499" s="7" t="str">
        <f t="shared" si="46"/>
        <v/>
      </c>
    </row>
    <row r="500" spans="1:11">
      <c r="A500" s="1" t="str">
        <f>IF(Cus!$B500&lt;&gt;"",Cus!$A500,"")</f>
        <v/>
      </c>
      <c r="C500" s="16">
        <v>1</v>
      </c>
      <c r="D500" s="3" t="str">
        <f t="shared" si="42"/>
        <v/>
      </c>
      <c r="E500" s="3">
        <f>IF($C500=1,CommissionDD!$A$30,IF($C500=2,CommissionDD!$A$31,CommissionDD!$A$32))</f>
        <v>1500</v>
      </c>
      <c r="F500" s="3" t="str">
        <f t="shared" si="47"/>
        <v/>
      </c>
      <c r="G500" s="38" t="str">
        <f>IF($A500="","",(VLOOKUP($A500,Cus!$A$2:$AH$1001,23,FALSE)))</f>
        <v/>
      </c>
      <c r="H500" s="3" t="str">
        <f t="shared" si="43"/>
        <v/>
      </c>
      <c r="I500" s="56" t="str">
        <f t="shared" si="44"/>
        <v/>
      </c>
      <c r="J500" s="3" t="str">
        <f t="shared" si="45"/>
        <v/>
      </c>
      <c r="K500" s="7" t="str">
        <f t="shared" si="46"/>
        <v/>
      </c>
    </row>
    <row r="501" spans="1:11">
      <c r="A501" s="1" t="str">
        <f>IF(Cus!$B501&lt;&gt;"",Cus!$A501,"")</f>
        <v/>
      </c>
      <c r="C501" s="16">
        <v>1</v>
      </c>
      <c r="D501" s="3" t="str">
        <f t="shared" si="42"/>
        <v/>
      </c>
      <c r="E501" s="3">
        <f>IF($C501=1,CommissionDD!$A$30,IF($C501=2,CommissionDD!$A$31,CommissionDD!$A$32))</f>
        <v>1500</v>
      </c>
      <c r="F501" s="3" t="str">
        <f t="shared" si="47"/>
        <v/>
      </c>
      <c r="G501" s="38" t="str">
        <f>IF($A501="","",(VLOOKUP($A501,Cus!$A$2:$AH$1001,23,FALSE)))</f>
        <v/>
      </c>
      <c r="H501" s="3" t="str">
        <f t="shared" si="43"/>
        <v/>
      </c>
      <c r="I501" s="56" t="str">
        <f t="shared" si="44"/>
        <v/>
      </c>
      <c r="J501" s="3" t="str">
        <f t="shared" si="45"/>
        <v/>
      </c>
      <c r="K501" s="7" t="str">
        <f t="shared" si="46"/>
        <v/>
      </c>
    </row>
    <row r="502" spans="1:11">
      <c r="A502" s="1" t="str">
        <f>IF(Cus!$B502&lt;&gt;"",Cus!$A502,"")</f>
        <v/>
      </c>
      <c r="C502" s="16">
        <v>1</v>
      </c>
      <c r="D502" s="3" t="str">
        <f t="shared" si="42"/>
        <v/>
      </c>
      <c r="E502" s="3">
        <f>IF($C502=1,CommissionDD!$A$30,IF($C502=2,CommissionDD!$A$31,CommissionDD!$A$32))</f>
        <v>1500</v>
      </c>
      <c r="F502" s="3" t="str">
        <f t="shared" si="47"/>
        <v/>
      </c>
      <c r="G502" s="38" t="str">
        <f>IF($A502="","",(VLOOKUP($A502,Cus!$A$2:$AH$1001,23,FALSE)))</f>
        <v/>
      </c>
      <c r="H502" s="3" t="str">
        <f t="shared" si="43"/>
        <v/>
      </c>
      <c r="I502" s="56" t="str">
        <f t="shared" si="44"/>
        <v/>
      </c>
      <c r="J502" s="3" t="str">
        <f t="shared" si="45"/>
        <v/>
      </c>
      <c r="K502" s="7" t="str">
        <f t="shared" si="46"/>
        <v/>
      </c>
    </row>
    <row r="503" spans="1:11">
      <c r="A503" s="1" t="str">
        <f>IF(Cus!$B503&lt;&gt;"",Cus!$A503,"")</f>
        <v/>
      </c>
      <c r="C503" s="16">
        <v>1</v>
      </c>
      <c r="D503" s="3" t="str">
        <f t="shared" si="42"/>
        <v/>
      </c>
      <c r="E503" s="3">
        <f>IF($C503=1,CommissionDD!$A$30,IF($C503=2,CommissionDD!$A$31,CommissionDD!$A$32))</f>
        <v>1500</v>
      </c>
      <c r="F503" s="3" t="str">
        <f t="shared" si="47"/>
        <v/>
      </c>
      <c r="G503" s="38" t="str">
        <f>IF($A503="","",(VLOOKUP($A503,Cus!$A$2:$AH$1001,23,FALSE)))</f>
        <v/>
      </c>
      <c r="H503" s="3" t="str">
        <f t="shared" si="43"/>
        <v/>
      </c>
      <c r="I503" s="56" t="str">
        <f t="shared" si="44"/>
        <v/>
      </c>
      <c r="J503" s="3" t="str">
        <f t="shared" si="45"/>
        <v/>
      </c>
      <c r="K503" s="7" t="str">
        <f t="shared" si="46"/>
        <v/>
      </c>
    </row>
    <row r="504" spans="1:11">
      <c r="A504" s="1" t="str">
        <f>IF(Cus!$B504&lt;&gt;"",Cus!$A504,"")</f>
        <v/>
      </c>
      <c r="C504" s="16">
        <v>1</v>
      </c>
      <c r="D504" s="3" t="str">
        <f t="shared" si="42"/>
        <v/>
      </c>
      <c r="E504" s="3">
        <f>IF($C504=1,CommissionDD!$A$30,IF($C504=2,CommissionDD!$A$31,CommissionDD!$A$32))</f>
        <v>1500</v>
      </c>
      <c r="F504" s="3" t="str">
        <f t="shared" si="47"/>
        <v/>
      </c>
      <c r="G504" s="38" t="str">
        <f>IF($A504="","",(VLOOKUP($A504,Cus!$A$2:$AH$1001,23,FALSE)))</f>
        <v/>
      </c>
      <c r="H504" s="3" t="str">
        <f t="shared" si="43"/>
        <v/>
      </c>
      <c r="I504" s="56" t="str">
        <f t="shared" si="44"/>
        <v/>
      </c>
      <c r="J504" s="3" t="str">
        <f t="shared" si="45"/>
        <v/>
      </c>
      <c r="K504" s="7" t="str">
        <f t="shared" si="46"/>
        <v/>
      </c>
    </row>
    <row r="505" spans="1:11">
      <c r="A505" s="1" t="str">
        <f>IF(Cus!$B505&lt;&gt;"",Cus!$A505,"")</f>
        <v/>
      </c>
      <c r="C505" s="16">
        <v>1</v>
      </c>
      <c r="D505" s="3" t="str">
        <f t="shared" si="42"/>
        <v/>
      </c>
      <c r="E505" s="3">
        <f>IF($C505=1,CommissionDD!$A$30,IF($C505=2,CommissionDD!$A$31,CommissionDD!$A$32))</f>
        <v>1500</v>
      </c>
      <c r="F505" s="3" t="str">
        <f t="shared" si="47"/>
        <v/>
      </c>
      <c r="G505" s="38" t="str">
        <f>IF($A505="","",(VLOOKUP($A505,Cus!$A$2:$AH$1001,23,FALSE)))</f>
        <v/>
      </c>
      <c r="H505" s="3" t="str">
        <f t="shared" si="43"/>
        <v/>
      </c>
      <c r="I505" s="56" t="str">
        <f t="shared" si="44"/>
        <v/>
      </c>
      <c r="J505" s="3" t="str">
        <f t="shared" si="45"/>
        <v/>
      </c>
      <c r="K505" s="7" t="str">
        <f t="shared" si="46"/>
        <v/>
      </c>
    </row>
    <row r="506" spans="1:11">
      <c r="A506" s="1" t="str">
        <f>IF(Cus!$B506&lt;&gt;"",Cus!$A506,"")</f>
        <v/>
      </c>
      <c r="C506" s="16">
        <v>1</v>
      </c>
      <c r="D506" s="3" t="str">
        <f t="shared" si="42"/>
        <v/>
      </c>
      <c r="E506" s="3">
        <f>IF($C506=1,CommissionDD!$A$30,IF($C506=2,CommissionDD!$A$31,CommissionDD!$A$32))</f>
        <v>1500</v>
      </c>
      <c r="F506" s="3" t="str">
        <f t="shared" si="47"/>
        <v/>
      </c>
      <c r="G506" s="38" t="str">
        <f>IF($A506="","",(VLOOKUP($A506,Cus!$A$2:$AH$1001,23,FALSE)))</f>
        <v/>
      </c>
      <c r="H506" s="3" t="str">
        <f t="shared" si="43"/>
        <v/>
      </c>
      <c r="I506" s="56" t="str">
        <f t="shared" si="44"/>
        <v/>
      </c>
      <c r="J506" s="3" t="str">
        <f t="shared" si="45"/>
        <v/>
      </c>
      <c r="K506" s="7" t="str">
        <f t="shared" si="46"/>
        <v/>
      </c>
    </row>
    <row r="507" spans="1:11">
      <c r="A507" s="1" t="str">
        <f>IF(Cus!$B507&lt;&gt;"",Cus!$A507,"")</f>
        <v/>
      </c>
      <c r="C507" s="16">
        <v>1</v>
      </c>
      <c r="D507" s="3" t="str">
        <f t="shared" si="42"/>
        <v/>
      </c>
      <c r="E507" s="3">
        <f>IF($C507=1,CommissionDD!$A$30,IF($C507=2,CommissionDD!$A$31,CommissionDD!$A$32))</f>
        <v>1500</v>
      </c>
      <c r="F507" s="3" t="str">
        <f t="shared" si="47"/>
        <v/>
      </c>
      <c r="G507" s="38" t="str">
        <f>IF($A507="","",(VLOOKUP($A507,Cus!$A$2:$AH$1001,23,FALSE)))</f>
        <v/>
      </c>
      <c r="H507" s="3" t="str">
        <f t="shared" si="43"/>
        <v/>
      </c>
      <c r="I507" s="56" t="str">
        <f t="shared" si="44"/>
        <v/>
      </c>
      <c r="J507" s="3" t="str">
        <f t="shared" si="45"/>
        <v/>
      </c>
      <c r="K507" s="7" t="str">
        <f t="shared" si="46"/>
        <v/>
      </c>
    </row>
    <row r="508" spans="1:11">
      <c r="A508" s="1" t="str">
        <f>IF(Cus!$B508&lt;&gt;"",Cus!$A508,"")</f>
        <v/>
      </c>
      <c r="C508" s="16">
        <v>1</v>
      </c>
      <c r="D508" s="3" t="str">
        <f t="shared" si="42"/>
        <v/>
      </c>
      <c r="E508" s="3">
        <f>IF($C508=1,CommissionDD!$A$30,IF($C508=2,CommissionDD!$A$31,CommissionDD!$A$32))</f>
        <v>1500</v>
      </c>
      <c r="F508" s="3" t="str">
        <f t="shared" si="47"/>
        <v/>
      </c>
      <c r="G508" s="38" t="str">
        <f>IF($A508="","",(VLOOKUP($A508,Cus!$A$2:$AH$1001,23,FALSE)))</f>
        <v/>
      </c>
      <c r="H508" s="3" t="str">
        <f t="shared" si="43"/>
        <v/>
      </c>
      <c r="I508" s="56" t="str">
        <f t="shared" si="44"/>
        <v/>
      </c>
      <c r="J508" s="3" t="str">
        <f t="shared" si="45"/>
        <v/>
      </c>
      <c r="K508" s="7" t="str">
        <f t="shared" si="46"/>
        <v/>
      </c>
    </row>
    <row r="509" spans="1:11">
      <c r="A509" s="1" t="str">
        <f>IF(Cus!$B509&lt;&gt;"",Cus!$A509,"")</f>
        <v/>
      </c>
      <c r="C509" s="16">
        <v>1</v>
      </c>
      <c r="D509" s="3" t="str">
        <f t="shared" si="42"/>
        <v/>
      </c>
      <c r="E509" s="3">
        <f>IF($C509=1,CommissionDD!$A$30,IF($C509=2,CommissionDD!$A$31,CommissionDD!$A$32))</f>
        <v>1500</v>
      </c>
      <c r="F509" s="3" t="str">
        <f t="shared" si="47"/>
        <v/>
      </c>
      <c r="G509" s="38" t="str">
        <f>IF($A509="","",(VLOOKUP($A509,Cus!$A$2:$AH$1001,23,FALSE)))</f>
        <v/>
      </c>
      <c r="H509" s="3" t="str">
        <f t="shared" si="43"/>
        <v/>
      </c>
      <c r="I509" s="56" t="str">
        <f t="shared" si="44"/>
        <v/>
      </c>
      <c r="J509" s="3" t="str">
        <f t="shared" si="45"/>
        <v/>
      </c>
      <c r="K509" s="7" t="str">
        <f t="shared" si="46"/>
        <v/>
      </c>
    </row>
    <row r="510" spans="1:11">
      <c r="A510" s="1" t="str">
        <f>IF(Cus!$B510&lt;&gt;"",Cus!$A510,"")</f>
        <v/>
      </c>
      <c r="C510" s="16">
        <v>1</v>
      </c>
      <c r="D510" s="3" t="str">
        <f t="shared" si="42"/>
        <v/>
      </c>
      <c r="E510" s="3">
        <f>IF($C510=1,CommissionDD!$A$30,IF($C510=2,CommissionDD!$A$31,CommissionDD!$A$32))</f>
        <v>1500</v>
      </c>
      <c r="F510" s="3" t="str">
        <f t="shared" si="47"/>
        <v/>
      </c>
      <c r="G510" s="38" t="str">
        <f>IF($A510="","",(VLOOKUP($A510,Cus!$A$2:$AH$1001,23,FALSE)))</f>
        <v/>
      </c>
      <c r="H510" s="3" t="str">
        <f t="shared" si="43"/>
        <v/>
      </c>
      <c r="I510" s="56" t="str">
        <f t="shared" si="44"/>
        <v/>
      </c>
      <c r="J510" s="3" t="str">
        <f t="shared" si="45"/>
        <v/>
      </c>
      <c r="K510" s="7" t="str">
        <f t="shared" si="46"/>
        <v/>
      </c>
    </row>
    <row r="511" spans="1:11">
      <c r="A511" s="1" t="str">
        <f>IF(Cus!$B511&lt;&gt;"",Cus!$A511,"")</f>
        <v/>
      </c>
      <c r="C511" s="16">
        <v>1</v>
      </c>
      <c r="D511" s="3" t="str">
        <f t="shared" si="42"/>
        <v/>
      </c>
      <c r="E511" s="3">
        <f>IF($C511=1,CommissionDD!$A$30,IF($C511=2,CommissionDD!$A$31,CommissionDD!$A$32))</f>
        <v>1500</v>
      </c>
      <c r="F511" s="3" t="str">
        <f t="shared" si="47"/>
        <v/>
      </c>
      <c r="G511" s="38" t="str">
        <f>IF($A511="","",(VLOOKUP($A511,Cus!$A$2:$AH$1001,23,FALSE)))</f>
        <v/>
      </c>
      <c r="H511" s="3" t="str">
        <f t="shared" si="43"/>
        <v/>
      </c>
      <c r="I511" s="56" t="str">
        <f t="shared" si="44"/>
        <v/>
      </c>
      <c r="J511" s="3" t="str">
        <f t="shared" si="45"/>
        <v/>
      </c>
      <c r="K511" s="7" t="str">
        <f t="shared" si="46"/>
        <v/>
      </c>
    </row>
    <row r="512" spans="1:11">
      <c r="A512" s="1" t="str">
        <f>IF(Cus!$B512&lt;&gt;"",Cus!$A512,"")</f>
        <v/>
      </c>
      <c r="C512" s="16">
        <v>1</v>
      </c>
      <c r="D512" s="3" t="str">
        <f t="shared" si="42"/>
        <v/>
      </c>
      <c r="E512" s="3">
        <f>IF($C512=1,CommissionDD!$A$30,IF($C512=2,CommissionDD!$A$31,CommissionDD!$A$32))</f>
        <v>1500</v>
      </c>
      <c r="F512" s="3" t="str">
        <f t="shared" si="47"/>
        <v/>
      </c>
      <c r="G512" s="38" t="str">
        <f>IF($A512="","",(VLOOKUP($A512,Cus!$A$2:$AH$1001,23,FALSE)))</f>
        <v/>
      </c>
      <c r="H512" s="3" t="str">
        <f t="shared" si="43"/>
        <v/>
      </c>
      <c r="I512" s="56" t="str">
        <f t="shared" si="44"/>
        <v/>
      </c>
      <c r="J512" s="3" t="str">
        <f t="shared" si="45"/>
        <v/>
      </c>
      <c r="K512" s="7" t="str">
        <f t="shared" si="46"/>
        <v/>
      </c>
    </row>
    <row r="513" spans="1:11">
      <c r="A513" s="1" t="str">
        <f>IF(Cus!$B513&lt;&gt;"",Cus!$A513,"")</f>
        <v/>
      </c>
      <c r="C513" s="16">
        <v>1</v>
      </c>
      <c r="D513" s="3" t="str">
        <f t="shared" si="42"/>
        <v/>
      </c>
      <c r="E513" s="3">
        <f>IF($C513=1,CommissionDD!$A$30,IF($C513=2,CommissionDD!$A$31,CommissionDD!$A$32))</f>
        <v>1500</v>
      </c>
      <c r="F513" s="3" t="str">
        <f t="shared" si="47"/>
        <v/>
      </c>
      <c r="G513" s="38" t="str">
        <f>IF($A513="","",(VLOOKUP($A513,Cus!$A$2:$AH$1001,23,FALSE)))</f>
        <v/>
      </c>
      <c r="H513" s="3" t="str">
        <f t="shared" si="43"/>
        <v/>
      </c>
      <c r="I513" s="56" t="str">
        <f t="shared" si="44"/>
        <v/>
      </c>
      <c r="J513" s="3" t="str">
        <f t="shared" si="45"/>
        <v/>
      </c>
      <c r="K513" s="7" t="str">
        <f t="shared" si="46"/>
        <v/>
      </c>
    </row>
    <row r="514" spans="1:11">
      <c r="A514" s="1" t="str">
        <f>IF(Cus!$B514&lt;&gt;"",Cus!$A514,"")</f>
        <v/>
      </c>
      <c r="C514" s="16">
        <v>1</v>
      </c>
      <c r="D514" s="3" t="str">
        <f t="shared" ref="D514:D577" si="48">IF($A514="","",1500)</f>
        <v/>
      </c>
      <c r="E514" s="3">
        <f>IF($C514=1,CommissionDD!$A$30,IF($C514=2,CommissionDD!$A$31,CommissionDD!$A$32))</f>
        <v>1500</v>
      </c>
      <c r="F514" s="3" t="str">
        <f t="shared" si="47"/>
        <v/>
      </c>
      <c r="G514" s="38" t="str">
        <f>IF($A514="","",(VLOOKUP($A514,Cus!$A$2:$AH$1001,23,FALSE)))</f>
        <v/>
      </c>
      <c r="H514" s="3" t="str">
        <f t="shared" ref="H514:H577" si="49">IF($A514="","",395)</f>
        <v/>
      </c>
      <c r="I514" s="56" t="str">
        <f t="shared" ref="I514:I577" si="50">IF($A514="","",60)</f>
        <v/>
      </c>
      <c r="J514" s="3" t="str">
        <f t="shared" ref="J514:J577" si="51">IF($A514="","",$H514*$I514)</f>
        <v/>
      </c>
      <c r="K514" s="7" t="str">
        <f t="shared" ref="K514:K577" si="52">IF($G514="","",(DATE(YEAR($G514),MONTH($G514)+$C514,MIN(DAY($G514)))))</f>
        <v/>
      </c>
    </row>
    <row r="515" spans="1:11">
      <c r="A515" s="1" t="str">
        <f>IF(Cus!$B515&lt;&gt;"",Cus!$A515,"")</f>
        <v/>
      </c>
      <c r="C515" s="16">
        <v>1</v>
      </c>
      <c r="D515" s="3" t="str">
        <f t="shared" si="48"/>
        <v/>
      </c>
      <c r="E515" s="3">
        <f>IF($C515=1,CommissionDD!$A$30,IF($C515=2,CommissionDD!$A$31,CommissionDD!$A$32))</f>
        <v>1500</v>
      </c>
      <c r="F515" s="3" t="str">
        <f t="shared" ref="F515:F578" si="53">IF($A515="","",$D515-$E515)</f>
        <v/>
      </c>
      <c r="G515" s="38" t="str">
        <f>IF($A515="","",(VLOOKUP($A515,Cus!$A$2:$AH$1001,23,FALSE)))</f>
        <v/>
      </c>
      <c r="H515" s="3" t="str">
        <f t="shared" si="49"/>
        <v/>
      </c>
      <c r="I515" s="56" t="str">
        <f t="shared" si="50"/>
        <v/>
      </c>
      <c r="J515" s="3" t="str">
        <f t="shared" si="51"/>
        <v/>
      </c>
      <c r="K515" s="7" t="str">
        <f t="shared" si="52"/>
        <v/>
      </c>
    </row>
    <row r="516" spans="1:11">
      <c r="A516" s="1" t="str">
        <f>IF(Cus!$B516&lt;&gt;"",Cus!$A516,"")</f>
        <v/>
      </c>
      <c r="C516" s="16">
        <v>1</v>
      </c>
      <c r="D516" s="3" t="str">
        <f t="shared" si="48"/>
        <v/>
      </c>
      <c r="E516" s="3">
        <f>IF($C516=1,CommissionDD!$A$30,IF($C516=2,CommissionDD!$A$31,CommissionDD!$A$32))</f>
        <v>1500</v>
      </c>
      <c r="F516" s="3" t="str">
        <f t="shared" si="53"/>
        <v/>
      </c>
      <c r="G516" s="38" t="str">
        <f>IF($A516="","",(VLOOKUP($A516,Cus!$A$2:$AH$1001,23,FALSE)))</f>
        <v/>
      </c>
      <c r="H516" s="3" t="str">
        <f t="shared" si="49"/>
        <v/>
      </c>
      <c r="I516" s="56" t="str">
        <f t="shared" si="50"/>
        <v/>
      </c>
      <c r="J516" s="3" t="str">
        <f t="shared" si="51"/>
        <v/>
      </c>
      <c r="K516" s="7" t="str">
        <f t="shared" si="52"/>
        <v/>
      </c>
    </row>
    <row r="517" spans="1:11">
      <c r="A517" s="1" t="str">
        <f>IF(Cus!$B517&lt;&gt;"",Cus!$A517,"")</f>
        <v/>
      </c>
      <c r="C517" s="16">
        <v>1</v>
      </c>
      <c r="D517" s="3" t="str">
        <f t="shared" si="48"/>
        <v/>
      </c>
      <c r="E517" s="3">
        <f>IF($C517=1,CommissionDD!$A$30,IF($C517=2,CommissionDD!$A$31,CommissionDD!$A$32))</f>
        <v>1500</v>
      </c>
      <c r="F517" s="3" t="str">
        <f t="shared" si="53"/>
        <v/>
      </c>
      <c r="G517" s="38" t="str">
        <f>IF($A517="","",(VLOOKUP($A517,Cus!$A$2:$AH$1001,23,FALSE)))</f>
        <v/>
      </c>
      <c r="H517" s="3" t="str">
        <f t="shared" si="49"/>
        <v/>
      </c>
      <c r="I517" s="56" t="str">
        <f t="shared" si="50"/>
        <v/>
      </c>
      <c r="J517" s="3" t="str">
        <f t="shared" si="51"/>
        <v/>
      </c>
      <c r="K517" s="7" t="str">
        <f t="shared" si="52"/>
        <v/>
      </c>
    </row>
    <row r="518" spans="1:11">
      <c r="A518" s="1" t="str">
        <f>IF(Cus!$B518&lt;&gt;"",Cus!$A518,"")</f>
        <v/>
      </c>
      <c r="C518" s="16">
        <v>1</v>
      </c>
      <c r="D518" s="3" t="str">
        <f t="shared" si="48"/>
        <v/>
      </c>
      <c r="E518" s="3">
        <f>IF($C518=1,CommissionDD!$A$30,IF($C518=2,CommissionDD!$A$31,CommissionDD!$A$32))</f>
        <v>1500</v>
      </c>
      <c r="F518" s="3" t="str">
        <f t="shared" si="53"/>
        <v/>
      </c>
      <c r="G518" s="38" t="str">
        <f>IF($A518="","",(VLOOKUP($A518,Cus!$A$2:$AH$1001,23,FALSE)))</f>
        <v/>
      </c>
      <c r="H518" s="3" t="str">
        <f t="shared" si="49"/>
        <v/>
      </c>
      <c r="I518" s="56" t="str">
        <f t="shared" si="50"/>
        <v/>
      </c>
      <c r="J518" s="3" t="str">
        <f t="shared" si="51"/>
        <v/>
      </c>
      <c r="K518" s="7" t="str">
        <f t="shared" si="52"/>
        <v/>
      </c>
    </row>
    <row r="519" spans="1:11">
      <c r="A519" s="1" t="str">
        <f>IF(Cus!$B519&lt;&gt;"",Cus!$A519,"")</f>
        <v/>
      </c>
      <c r="C519" s="16">
        <v>1</v>
      </c>
      <c r="D519" s="3" t="str">
        <f t="shared" si="48"/>
        <v/>
      </c>
      <c r="E519" s="3">
        <f>IF($C519=1,CommissionDD!$A$30,IF($C519=2,CommissionDD!$A$31,CommissionDD!$A$32))</f>
        <v>1500</v>
      </c>
      <c r="F519" s="3" t="str">
        <f t="shared" si="53"/>
        <v/>
      </c>
      <c r="G519" s="38" t="str">
        <f>IF($A519="","",(VLOOKUP($A519,Cus!$A$2:$AH$1001,23,FALSE)))</f>
        <v/>
      </c>
      <c r="H519" s="3" t="str">
        <f t="shared" si="49"/>
        <v/>
      </c>
      <c r="I519" s="56" t="str">
        <f t="shared" si="50"/>
        <v/>
      </c>
      <c r="J519" s="3" t="str">
        <f t="shared" si="51"/>
        <v/>
      </c>
      <c r="K519" s="7" t="str">
        <f t="shared" si="52"/>
        <v/>
      </c>
    </row>
    <row r="520" spans="1:11">
      <c r="A520" s="1" t="str">
        <f>IF(Cus!$B520&lt;&gt;"",Cus!$A520,"")</f>
        <v/>
      </c>
      <c r="C520" s="16">
        <v>1</v>
      </c>
      <c r="D520" s="3" t="str">
        <f t="shared" si="48"/>
        <v/>
      </c>
      <c r="E520" s="3">
        <f>IF($C520=1,CommissionDD!$A$30,IF($C520=2,CommissionDD!$A$31,CommissionDD!$A$32))</f>
        <v>1500</v>
      </c>
      <c r="F520" s="3" t="str">
        <f t="shared" si="53"/>
        <v/>
      </c>
      <c r="G520" s="38" t="str">
        <f>IF($A520="","",(VLOOKUP($A520,Cus!$A$2:$AH$1001,23,FALSE)))</f>
        <v/>
      </c>
      <c r="H520" s="3" t="str">
        <f t="shared" si="49"/>
        <v/>
      </c>
      <c r="I520" s="56" t="str">
        <f t="shared" si="50"/>
        <v/>
      </c>
      <c r="J520" s="3" t="str">
        <f t="shared" si="51"/>
        <v/>
      </c>
      <c r="K520" s="7" t="str">
        <f t="shared" si="52"/>
        <v/>
      </c>
    </row>
    <row r="521" spans="1:11">
      <c r="A521" s="1" t="str">
        <f>IF(Cus!$B521&lt;&gt;"",Cus!$A521,"")</f>
        <v/>
      </c>
      <c r="C521" s="16">
        <v>1</v>
      </c>
      <c r="D521" s="3" t="str">
        <f t="shared" si="48"/>
        <v/>
      </c>
      <c r="E521" s="3">
        <f>IF($C521=1,CommissionDD!$A$30,IF($C521=2,CommissionDD!$A$31,CommissionDD!$A$32))</f>
        <v>1500</v>
      </c>
      <c r="F521" s="3" t="str">
        <f t="shared" si="53"/>
        <v/>
      </c>
      <c r="G521" s="38" t="str">
        <f>IF($A521="","",(VLOOKUP($A521,Cus!$A$2:$AH$1001,23,FALSE)))</f>
        <v/>
      </c>
      <c r="H521" s="3" t="str">
        <f t="shared" si="49"/>
        <v/>
      </c>
      <c r="I521" s="56" t="str">
        <f t="shared" si="50"/>
        <v/>
      </c>
      <c r="J521" s="3" t="str">
        <f t="shared" si="51"/>
        <v/>
      </c>
      <c r="K521" s="7" t="str">
        <f t="shared" si="52"/>
        <v/>
      </c>
    </row>
    <row r="522" spans="1:11">
      <c r="A522" s="1" t="str">
        <f>IF(Cus!$B522&lt;&gt;"",Cus!$A522,"")</f>
        <v/>
      </c>
      <c r="C522" s="16">
        <v>1</v>
      </c>
      <c r="D522" s="3" t="str">
        <f t="shared" si="48"/>
        <v/>
      </c>
      <c r="E522" s="3">
        <f>IF($C522=1,CommissionDD!$A$30,IF($C522=2,CommissionDD!$A$31,CommissionDD!$A$32))</f>
        <v>1500</v>
      </c>
      <c r="F522" s="3" t="str">
        <f t="shared" si="53"/>
        <v/>
      </c>
      <c r="G522" s="38" t="str">
        <f>IF($A522="","",(VLOOKUP($A522,Cus!$A$2:$AH$1001,23,FALSE)))</f>
        <v/>
      </c>
      <c r="H522" s="3" t="str">
        <f t="shared" si="49"/>
        <v/>
      </c>
      <c r="I522" s="56" t="str">
        <f t="shared" si="50"/>
        <v/>
      </c>
      <c r="J522" s="3" t="str">
        <f t="shared" si="51"/>
        <v/>
      </c>
      <c r="K522" s="7" t="str">
        <f t="shared" si="52"/>
        <v/>
      </c>
    </row>
    <row r="523" spans="1:11">
      <c r="A523" s="1" t="str">
        <f>IF(Cus!$B523&lt;&gt;"",Cus!$A523,"")</f>
        <v/>
      </c>
      <c r="C523" s="16">
        <v>1</v>
      </c>
      <c r="D523" s="3" t="str">
        <f t="shared" si="48"/>
        <v/>
      </c>
      <c r="E523" s="3">
        <f>IF($C523=1,CommissionDD!$A$30,IF($C523=2,CommissionDD!$A$31,CommissionDD!$A$32))</f>
        <v>1500</v>
      </c>
      <c r="F523" s="3" t="str">
        <f t="shared" si="53"/>
        <v/>
      </c>
      <c r="G523" s="38" t="str">
        <f>IF($A523="","",(VLOOKUP($A523,Cus!$A$2:$AH$1001,23,FALSE)))</f>
        <v/>
      </c>
      <c r="H523" s="3" t="str">
        <f t="shared" si="49"/>
        <v/>
      </c>
      <c r="I523" s="56" t="str">
        <f t="shared" si="50"/>
        <v/>
      </c>
      <c r="J523" s="3" t="str">
        <f t="shared" si="51"/>
        <v/>
      </c>
      <c r="K523" s="7" t="str">
        <f t="shared" si="52"/>
        <v/>
      </c>
    </row>
    <row r="524" spans="1:11">
      <c r="A524" s="1" t="str">
        <f>IF(Cus!$B524&lt;&gt;"",Cus!$A524,"")</f>
        <v/>
      </c>
      <c r="C524" s="16">
        <v>1</v>
      </c>
      <c r="D524" s="3" t="str">
        <f t="shared" si="48"/>
        <v/>
      </c>
      <c r="E524" s="3">
        <f>IF($C524=1,CommissionDD!$A$30,IF($C524=2,CommissionDD!$A$31,CommissionDD!$A$32))</f>
        <v>1500</v>
      </c>
      <c r="F524" s="3" t="str">
        <f t="shared" si="53"/>
        <v/>
      </c>
      <c r="G524" s="38" t="str">
        <f>IF($A524="","",(VLOOKUP($A524,Cus!$A$2:$AH$1001,23,FALSE)))</f>
        <v/>
      </c>
      <c r="H524" s="3" t="str">
        <f t="shared" si="49"/>
        <v/>
      </c>
      <c r="I524" s="56" t="str">
        <f t="shared" si="50"/>
        <v/>
      </c>
      <c r="J524" s="3" t="str">
        <f t="shared" si="51"/>
        <v/>
      </c>
      <c r="K524" s="7" t="str">
        <f t="shared" si="52"/>
        <v/>
      </c>
    </row>
    <row r="525" spans="1:11">
      <c r="A525" s="1" t="str">
        <f>IF(Cus!$B525&lt;&gt;"",Cus!$A525,"")</f>
        <v/>
      </c>
      <c r="C525" s="16">
        <v>1</v>
      </c>
      <c r="D525" s="3" t="str">
        <f t="shared" si="48"/>
        <v/>
      </c>
      <c r="E525" s="3">
        <f>IF($C525=1,CommissionDD!$A$30,IF($C525=2,CommissionDD!$A$31,CommissionDD!$A$32))</f>
        <v>1500</v>
      </c>
      <c r="F525" s="3" t="str">
        <f t="shared" si="53"/>
        <v/>
      </c>
      <c r="G525" s="38" t="str">
        <f>IF($A525="","",(VLOOKUP($A525,Cus!$A$2:$AH$1001,23,FALSE)))</f>
        <v/>
      </c>
      <c r="H525" s="3" t="str">
        <f t="shared" si="49"/>
        <v/>
      </c>
      <c r="I525" s="56" t="str">
        <f t="shared" si="50"/>
        <v/>
      </c>
      <c r="J525" s="3" t="str">
        <f t="shared" si="51"/>
        <v/>
      </c>
      <c r="K525" s="7" t="str">
        <f t="shared" si="52"/>
        <v/>
      </c>
    </row>
    <row r="526" spans="1:11">
      <c r="A526" s="1" t="str">
        <f>IF(Cus!$B526&lt;&gt;"",Cus!$A526,"")</f>
        <v/>
      </c>
      <c r="C526" s="16">
        <v>1</v>
      </c>
      <c r="D526" s="3" t="str">
        <f t="shared" si="48"/>
        <v/>
      </c>
      <c r="E526" s="3">
        <f>IF($C526=1,CommissionDD!$A$30,IF($C526=2,CommissionDD!$A$31,CommissionDD!$A$32))</f>
        <v>1500</v>
      </c>
      <c r="F526" s="3" t="str">
        <f t="shared" si="53"/>
        <v/>
      </c>
      <c r="G526" s="38" t="str">
        <f>IF($A526="","",(VLOOKUP($A526,Cus!$A$2:$AH$1001,23,FALSE)))</f>
        <v/>
      </c>
      <c r="H526" s="3" t="str">
        <f t="shared" si="49"/>
        <v/>
      </c>
      <c r="I526" s="56" t="str">
        <f t="shared" si="50"/>
        <v/>
      </c>
      <c r="J526" s="3" t="str">
        <f t="shared" si="51"/>
        <v/>
      </c>
      <c r="K526" s="7" t="str">
        <f t="shared" si="52"/>
        <v/>
      </c>
    </row>
    <row r="527" spans="1:11">
      <c r="A527" s="1" t="str">
        <f>IF(Cus!$B527&lt;&gt;"",Cus!$A527,"")</f>
        <v/>
      </c>
      <c r="C527" s="16">
        <v>1</v>
      </c>
      <c r="D527" s="3" t="str">
        <f t="shared" si="48"/>
        <v/>
      </c>
      <c r="E527" s="3">
        <f>IF($C527=1,CommissionDD!$A$30,IF($C527=2,CommissionDD!$A$31,CommissionDD!$A$32))</f>
        <v>1500</v>
      </c>
      <c r="F527" s="3" t="str">
        <f t="shared" si="53"/>
        <v/>
      </c>
      <c r="G527" s="38" t="str">
        <f>IF($A527="","",(VLOOKUP($A527,Cus!$A$2:$AH$1001,23,FALSE)))</f>
        <v/>
      </c>
      <c r="H527" s="3" t="str">
        <f t="shared" si="49"/>
        <v/>
      </c>
      <c r="I527" s="56" t="str">
        <f t="shared" si="50"/>
        <v/>
      </c>
      <c r="J527" s="3" t="str">
        <f t="shared" si="51"/>
        <v/>
      </c>
      <c r="K527" s="7" t="str">
        <f t="shared" si="52"/>
        <v/>
      </c>
    </row>
    <row r="528" spans="1:11">
      <c r="A528" s="1" t="str">
        <f>IF(Cus!$B528&lt;&gt;"",Cus!$A528,"")</f>
        <v/>
      </c>
      <c r="C528" s="16">
        <v>1</v>
      </c>
      <c r="D528" s="3" t="str">
        <f t="shared" si="48"/>
        <v/>
      </c>
      <c r="E528" s="3">
        <f>IF($C528=1,CommissionDD!$A$30,IF($C528=2,CommissionDD!$A$31,CommissionDD!$A$32))</f>
        <v>1500</v>
      </c>
      <c r="F528" s="3" t="str">
        <f t="shared" si="53"/>
        <v/>
      </c>
      <c r="G528" s="38" t="str">
        <f>IF($A528="","",(VLOOKUP($A528,Cus!$A$2:$AH$1001,23,FALSE)))</f>
        <v/>
      </c>
      <c r="H528" s="3" t="str">
        <f t="shared" si="49"/>
        <v/>
      </c>
      <c r="I528" s="56" t="str">
        <f t="shared" si="50"/>
        <v/>
      </c>
      <c r="J528" s="3" t="str">
        <f t="shared" si="51"/>
        <v/>
      </c>
      <c r="K528" s="7" t="str">
        <f t="shared" si="52"/>
        <v/>
      </c>
    </row>
    <row r="529" spans="1:12">
      <c r="A529" s="1" t="str">
        <f>IF(Cus!$B529&lt;&gt;"",Cus!$A529,"")</f>
        <v/>
      </c>
      <c r="C529" s="16">
        <v>1</v>
      </c>
      <c r="D529" s="3" t="str">
        <f t="shared" si="48"/>
        <v/>
      </c>
      <c r="E529" s="3">
        <f>IF($C529=1,CommissionDD!$A$30,IF($C529=2,CommissionDD!$A$31,CommissionDD!$A$32))</f>
        <v>1500</v>
      </c>
      <c r="F529" s="3" t="str">
        <f t="shared" si="53"/>
        <v/>
      </c>
      <c r="G529" s="38" t="str">
        <f>IF($A529="","",(VLOOKUP($A529,Cus!$A$2:$AH$1001,23,FALSE)))</f>
        <v/>
      </c>
      <c r="H529" s="3" t="str">
        <f t="shared" si="49"/>
        <v/>
      </c>
      <c r="I529" s="56" t="str">
        <f t="shared" si="50"/>
        <v/>
      </c>
      <c r="J529" s="3" t="str">
        <f t="shared" si="51"/>
        <v/>
      </c>
      <c r="K529" s="7" t="str">
        <f t="shared" si="52"/>
        <v/>
      </c>
    </row>
    <row r="530" spans="1:12">
      <c r="A530" s="1" t="str">
        <f>IF(Cus!$B530&lt;&gt;"",Cus!$A530,"")</f>
        <v/>
      </c>
      <c r="C530" s="16">
        <v>1</v>
      </c>
      <c r="D530" s="3" t="str">
        <f t="shared" si="48"/>
        <v/>
      </c>
      <c r="E530" s="3">
        <f>IF($C530=1,CommissionDD!$A$30,IF($C530=2,CommissionDD!$A$31,CommissionDD!$A$32))</f>
        <v>1500</v>
      </c>
      <c r="F530" s="3" t="str">
        <f t="shared" si="53"/>
        <v/>
      </c>
      <c r="G530" s="38" t="str">
        <f>IF($A530="","",(VLOOKUP($A530,Cus!$A$2:$AH$1001,23,FALSE)))</f>
        <v/>
      </c>
      <c r="H530" s="3" t="str">
        <f t="shared" si="49"/>
        <v/>
      </c>
      <c r="I530" s="56" t="str">
        <f t="shared" si="50"/>
        <v/>
      </c>
      <c r="J530" s="3" t="str">
        <f t="shared" si="51"/>
        <v/>
      </c>
      <c r="K530" s="7" t="str">
        <f t="shared" si="52"/>
        <v/>
      </c>
    </row>
    <row r="531" spans="1:12">
      <c r="A531" s="1" t="str">
        <f>IF(Cus!$B531&lt;&gt;"",Cus!$A531,"")</f>
        <v/>
      </c>
      <c r="C531" s="16">
        <v>1</v>
      </c>
      <c r="D531" s="3" t="str">
        <f t="shared" si="48"/>
        <v/>
      </c>
      <c r="E531" s="3">
        <f>IF($C531=1,CommissionDD!$A$30,IF($C531=2,CommissionDD!$A$31,CommissionDD!$A$32))</f>
        <v>1500</v>
      </c>
      <c r="F531" s="3" t="str">
        <f t="shared" si="53"/>
        <v/>
      </c>
      <c r="G531" s="38" t="str">
        <f>IF($A531="","",(VLOOKUP($A531,Cus!$A$2:$AH$1001,23,FALSE)))</f>
        <v/>
      </c>
      <c r="H531" s="3" t="str">
        <f t="shared" si="49"/>
        <v/>
      </c>
      <c r="I531" s="56" t="str">
        <f t="shared" si="50"/>
        <v/>
      </c>
      <c r="J531" s="3" t="str">
        <f t="shared" si="51"/>
        <v/>
      </c>
      <c r="K531" s="7" t="str">
        <f t="shared" si="52"/>
        <v/>
      </c>
    </row>
    <row r="532" spans="1:12">
      <c r="A532" s="1" t="str">
        <f>IF(Cus!$B532&lt;&gt;"",Cus!$A532,"")</f>
        <v/>
      </c>
      <c r="C532" s="16">
        <v>1</v>
      </c>
      <c r="D532" s="3" t="str">
        <f t="shared" si="48"/>
        <v/>
      </c>
      <c r="E532" s="3">
        <f>IF($C532=1,CommissionDD!$A$30,IF($C532=2,CommissionDD!$A$31,CommissionDD!$A$32))</f>
        <v>1500</v>
      </c>
      <c r="F532" s="3" t="str">
        <f t="shared" si="53"/>
        <v/>
      </c>
      <c r="G532" s="38" t="str">
        <f>IF($A532="","",(VLOOKUP($A532,Cus!$A$2:$AH$1001,23,FALSE)))</f>
        <v/>
      </c>
      <c r="H532" s="3" t="str">
        <f t="shared" si="49"/>
        <v/>
      </c>
      <c r="I532" s="56" t="str">
        <f t="shared" si="50"/>
        <v/>
      </c>
      <c r="J532" s="3" t="str">
        <f t="shared" si="51"/>
        <v/>
      </c>
      <c r="K532" s="7" t="str">
        <f t="shared" si="52"/>
        <v/>
      </c>
    </row>
    <row r="533" spans="1:12">
      <c r="A533" s="1" t="str">
        <f>IF(Cus!$B533&lt;&gt;"",Cus!$A533,"")</f>
        <v/>
      </c>
      <c r="C533" s="16">
        <v>1</v>
      </c>
      <c r="D533" s="3" t="str">
        <f t="shared" si="48"/>
        <v/>
      </c>
      <c r="E533" s="3">
        <f>IF($C533=1,CommissionDD!$A$30,IF($C533=2,CommissionDD!$A$31,CommissionDD!$A$32))</f>
        <v>1500</v>
      </c>
      <c r="F533" s="3" t="str">
        <f t="shared" si="53"/>
        <v/>
      </c>
      <c r="G533" s="38" t="str">
        <f>IF($A533="","",(VLOOKUP($A533,Cus!$A$2:$AH$1001,23,FALSE)))</f>
        <v/>
      </c>
      <c r="H533" s="3" t="str">
        <f t="shared" si="49"/>
        <v/>
      </c>
      <c r="I533" s="56" t="str">
        <f t="shared" si="50"/>
        <v/>
      </c>
      <c r="J533" s="3" t="str">
        <f t="shared" si="51"/>
        <v/>
      </c>
      <c r="K533" s="7" t="str">
        <f t="shared" si="52"/>
        <v/>
      </c>
    </row>
    <row r="534" spans="1:12">
      <c r="A534" s="1" t="str">
        <f>IF(Cus!$B534&lt;&gt;"",Cus!$A534,"")</f>
        <v/>
      </c>
      <c r="C534" s="16">
        <v>1</v>
      </c>
      <c r="D534" s="3" t="str">
        <f t="shared" si="48"/>
        <v/>
      </c>
      <c r="E534" s="3">
        <f>IF($C534=1,CommissionDD!$A$30,IF($C534=2,CommissionDD!$A$31,CommissionDD!$A$32))</f>
        <v>1500</v>
      </c>
      <c r="F534" s="3" t="str">
        <f t="shared" si="53"/>
        <v/>
      </c>
      <c r="G534" s="38" t="str">
        <f>IF($A534="","",(VLOOKUP($A534,Cus!$A$2:$AH$1001,23,FALSE)))</f>
        <v/>
      </c>
      <c r="H534" s="3" t="str">
        <f t="shared" si="49"/>
        <v/>
      </c>
      <c r="I534" s="56" t="str">
        <f t="shared" si="50"/>
        <v/>
      </c>
      <c r="J534" s="3" t="str">
        <f t="shared" si="51"/>
        <v/>
      </c>
      <c r="K534" s="7" t="str">
        <f t="shared" si="52"/>
        <v/>
      </c>
    </row>
    <row r="535" spans="1:12">
      <c r="A535" s="1" t="str">
        <f>IF(Cus!$B535&lt;&gt;"",Cus!$A535,"")</f>
        <v/>
      </c>
      <c r="C535" s="16">
        <v>1</v>
      </c>
      <c r="D535" s="3" t="str">
        <f t="shared" si="48"/>
        <v/>
      </c>
      <c r="E535" s="3">
        <f>IF($C535=1,CommissionDD!$A$30,IF($C535=2,CommissionDD!$A$31,CommissionDD!$A$32))</f>
        <v>1500</v>
      </c>
      <c r="F535" s="3" t="str">
        <f t="shared" si="53"/>
        <v/>
      </c>
      <c r="G535" s="38" t="str">
        <f>IF($A535="","",(VLOOKUP($A535,Cus!$A$2:$AH$1001,23,FALSE)))</f>
        <v/>
      </c>
      <c r="H535" s="3" t="str">
        <f t="shared" si="49"/>
        <v/>
      </c>
      <c r="I535" s="56" t="str">
        <f t="shared" si="50"/>
        <v/>
      </c>
      <c r="J535" s="3" t="str">
        <f t="shared" si="51"/>
        <v/>
      </c>
      <c r="K535" s="7" t="str">
        <f t="shared" si="52"/>
        <v/>
      </c>
    </row>
    <row r="536" spans="1:12">
      <c r="A536" s="1" t="str">
        <f>IF(Cus!$B536&lt;&gt;"",Cus!$A536,"")</f>
        <v/>
      </c>
      <c r="C536" s="16">
        <v>1</v>
      </c>
      <c r="D536" s="3" t="str">
        <f t="shared" si="48"/>
        <v/>
      </c>
      <c r="E536" s="3">
        <f>IF($C536=1,CommissionDD!$A$30,IF($C536=2,CommissionDD!$A$31,CommissionDD!$A$32))</f>
        <v>1500</v>
      </c>
      <c r="F536" s="3" t="str">
        <f t="shared" si="53"/>
        <v/>
      </c>
      <c r="G536" s="38" t="str">
        <f>IF($A536="","",(VLOOKUP($A536,Cus!$A$2:$AH$1001,23,FALSE)))</f>
        <v/>
      </c>
      <c r="H536" s="3" t="str">
        <f t="shared" si="49"/>
        <v/>
      </c>
      <c r="I536" s="56" t="str">
        <f t="shared" si="50"/>
        <v/>
      </c>
      <c r="J536" s="3" t="str">
        <f t="shared" si="51"/>
        <v/>
      </c>
      <c r="K536" s="7" t="str">
        <f t="shared" si="52"/>
        <v/>
      </c>
    </row>
    <row r="537" spans="1:12">
      <c r="A537" s="1" t="str">
        <f>IF(Cus!$B537&lt;&gt;"",Cus!$A537,"")</f>
        <v/>
      </c>
      <c r="C537" s="16">
        <v>1</v>
      </c>
      <c r="D537" s="3" t="str">
        <f t="shared" si="48"/>
        <v/>
      </c>
      <c r="E537" s="3">
        <f>IF($C537=1,CommissionDD!$A$30,IF($C537=2,CommissionDD!$A$31,CommissionDD!$A$32))</f>
        <v>1500</v>
      </c>
      <c r="F537" s="3" t="str">
        <f t="shared" si="53"/>
        <v/>
      </c>
      <c r="G537" s="38" t="str">
        <f>IF($A537="","",(VLOOKUP($A537,Cus!$A$2:$AH$1001,23,FALSE)))</f>
        <v/>
      </c>
      <c r="H537" s="3" t="str">
        <f t="shared" si="49"/>
        <v/>
      </c>
      <c r="I537" s="56" t="str">
        <f t="shared" si="50"/>
        <v/>
      </c>
      <c r="J537" s="3" t="str">
        <f t="shared" si="51"/>
        <v/>
      </c>
      <c r="K537" s="7" t="str">
        <f t="shared" si="52"/>
        <v/>
      </c>
    </row>
    <row r="538" spans="1:12">
      <c r="A538" s="1" t="str">
        <f>IF(Cus!$B538&lt;&gt;"",Cus!$A538,"")</f>
        <v/>
      </c>
      <c r="C538" s="16">
        <v>1</v>
      </c>
      <c r="D538" s="3" t="str">
        <f t="shared" si="48"/>
        <v/>
      </c>
      <c r="E538" s="3">
        <f>IF($C538=1,CommissionDD!$A$30,IF($C538=2,CommissionDD!$A$31,CommissionDD!$A$32))</f>
        <v>1500</v>
      </c>
      <c r="F538" s="3" t="str">
        <f t="shared" si="53"/>
        <v/>
      </c>
      <c r="G538" s="38" t="str">
        <f>IF($A538="","",(VLOOKUP($A538,Cus!$A$2:$AH$1001,23,FALSE)))</f>
        <v/>
      </c>
      <c r="H538" s="3" t="str">
        <f t="shared" si="49"/>
        <v/>
      </c>
      <c r="I538" s="56" t="str">
        <f t="shared" si="50"/>
        <v/>
      </c>
      <c r="J538" s="3" t="str">
        <f t="shared" si="51"/>
        <v/>
      </c>
      <c r="K538" s="7" t="str">
        <f t="shared" si="52"/>
        <v/>
      </c>
    </row>
    <row r="539" spans="1:12">
      <c r="A539" s="1" t="str">
        <f>IF(Cus!$B539&lt;&gt;"",Cus!$A539,"")</f>
        <v/>
      </c>
      <c r="C539" s="16">
        <v>1</v>
      </c>
      <c r="D539" s="3" t="str">
        <f t="shared" si="48"/>
        <v/>
      </c>
      <c r="E539" s="3">
        <f>IF($C539=1,CommissionDD!$A$30,IF($C539=2,CommissionDD!$A$31,CommissionDD!$A$32))</f>
        <v>1500</v>
      </c>
      <c r="F539" s="3" t="str">
        <f t="shared" si="53"/>
        <v/>
      </c>
      <c r="G539" s="38" t="str">
        <f>IF($A539="","",(VLOOKUP($A539,Cus!$A$2:$AH$1001,23,FALSE)))</f>
        <v/>
      </c>
      <c r="H539" s="3" t="str">
        <f t="shared" si="49"/>
        <v/>
      </c>
      <c r="I539" s="56" t="str">
        <f t="shared" si="50"/>
        <v/>
      </c>
      <c r="J539" s="3" t="str">
        <f t="shared" si="51"/>
        <v/>
      </c>
      <c r="K539" s="7" t="str">
        <f t="shared" si="52"/>
        <v/>
      </c>
    </row>
    <row r="540" spans="1:12">
      <c r="A540" s="1" t="str">
        <f>IF(Cus!$B540&lt;&gt;"",Cus!$A540,"")</f>
        <v>K0000539</v>
      </c>
      <c r="B540" s="31">
        <v>1531953</v>
      </c>
      <c r="C540" s="16">
        <v>1</v>
      </c>
      <c r="D540" s="3">
        <f t="shared" si="48"/>
        <v>1500</v>
      </c>
      <c r="E540" s="3">
        <f>IF($C540=1,CommissionDD!$A$30,IF($C540=2,CommissionDD!$A$31,CommissionDD!$A$32))</f>
        <v>1500</v>
      </c>
      <c r="F540" s="3">
        <f t="shared" si="53"/>
        <v>0</v>
      </c>
      <c r="G540" s="38">
        <f>IF($A540="","",(VLOOKUP($A540,Cus!$A$2:$AH$1001,23,FALSE)))</f>
        <v>41605</v>
      </c>
      <c r="H540" s="3">
        <f t="shared" si="49"/>
        <v>395</v>
      </c>
      <c r="I540" s="56">
        <f t="shared" si="50"/>
        <v>60</v>
      </c>
      <c r="J540" s="3">
        <f t="shared" si="51"/>
        <v>23700</v>
      </c>
      <c r="K540" s="7">
        <f t="shared" si="52"/>
        <v>41635</v>
      </c>
      <c r="L540" s="31">
        <v>85534915</v>
      </c>
    </row>
    <row r="541" spans="1:12">
      <c r="A541" s="1" t="str">
        <f>IF(Cus!$B541&lt;&gt;"",Cus!$A541,"")</f>
        <v/>
      </c>
      <c r="C541" s="16">
        <v>1</v>
      </c>
      <c r="D541" s="3" t="str">
        <f t="shared" si="48"/>
        <v/>
      </c>
      <c r="E541" s="3">
        <f>IF($C541=1,CommissionDD!$A$30,IF($C541=2,CommissionDD!$A$31,CommissionDD!$A$32))</f>
        <v>1500</v>
      </c>
      <c r="F541" s="3" t="str">
        <f t="shared" si="53"/>
        <v/>
      </c>
      <c r="G541" s="38" t="str">
        <f>IF($A541="","",(VLOOKUP($A541,Cus!$A$2:$AH$1001,23,FALSE)))</f>
        <v/>
      </c>
      <c r="H541" s="3" t="str">
        <f t="shared" si="49"/>
        <v/>
      </c>
      <c r="I541" s="56" t="str">
        <f t="shared" si="50"/>
        <v/>
      </c>
      <c r="J541" s="3" t="str">
        <f t="shared" si="51"/>
        <v/>
      </c>
      <c r="K541" s="7" t="str">
        <f t="shared" si="52"/>
        <v/>
      </c>
    </row>
    <row r="542" spans="1:12">
      <c r="A542" s="1" t="str">
        <f>IF(Cus!$B542&lt;&gt;"",Cus!$A542,"")</f>
        <v/>
      </c>
      <c r="C542" s="16">
        <v>1</v>
      </c>
      <c r="D542" s="3" t="str">
        <f t="shared" si="48"/>
        <v/>
      </c>
      <c r="E542" s="3">
        <f>IF($C542=1,CommissionDD!$A$30,IF($C542=2,CommissionDD!$A$31,CommissionDD!$A$32))</f>
        <v>1500</v>
      </c>
      <c r="F542" s="3" t="str">
        <f t="shared" si="53"/>
        <v/>
      </c>
      <c r="G542" s="38" t="str">
        <f>IF($A542="","",(VLOOKUP($A542,Cus!$A$2:$AH$1001,23,FALSE)))</f>
        <v/>
      </c>
      <c r="H542" s="3" t="str">
        <f t="shared" si="49"/>
        <v/>
      </c>
      <c r="I542" s="56" t="str">
        <f t="shared" si="50"/>
        <v/>
      </c>
      <c r="J542" s="3" t="str">
        <f t="shared" si="51"/>
        <v/>
      </c>
      <c r="K542" s="7" t="str">
        <f t="shared" si="52"/>
        <v/>
      </c>
    </row>
    <row r="543" spans="1:12">
      <c r="A543" s="1" t="str">
        <f>IF(Cus!$B543&lt;&gt;"",Cus!$A543,"")</f>
        <v/>
      </c>
      <c r="C543" s="16">
        <v>1</v>
      </c>
      <c r="D543" s="3" t="str">
        <f t="shared" si="48"/>
        <v/>
      </c>
      <c r="E543" s="3">
        <f>IF($C543=1,CommissionDD!$A$30,IF($C543=2,CommissionDD!$A$31,CommissionDD!$A$32))</f>
        <v>1500</v>
      </c>
      <c r="F543" s="3" t="str">
        <f t="shared" si="53"/>
        <v/>
      </c>
      <c r="G543" s="38" t="str">
        <f>IF($A543="","",(VLOOKUP($A543,Cus!$A$2:$AH$1001,23,FALSE)))</f>
        <v/>
      </c>
      <c r="H543" s="3" t="str">
        <f t="shared" si="49"/>
        <v/>
      </c>
      <c r="I543" s="56" t="str">
        <f t="shared" si="50"/>
        <v/>
      </c>
      <c r="J543" s="3" t="str">
        <f t="shared" si="51"/>
        <v/>
      </c>
      <c r="K543" s="7" t="str">
        <f t="shared" si="52"/>
        <v/>
      </c>
    </row>
    <row r="544" spans="1:12">
      <c r="A544" s="1" t="str">
        <f>IF(Cus!$B544&lt;&gt;"",Cus!$A544,"")</f>
        <v/>
      </c>
      <c r="C544" s="16">
        <v>1</v>
      </c>
      <c r="D544" s="3" t="str">
        <f t="shared" si="48"/>
        <v/>
      </c>
      <c r="E544" s="3">
        <f>IF($C544=1,CommissionDD!$A$30,IF($C544=2,CommissionDD!$A$31,CommissionDD!$A$32))</f>
        <v>1500</v>
      </c>
      <c r="F544" s="3" t="str">
        <f t="shared" si="53"/>
        <v/>
      </c>
      <c r="G544" s="38" t="str">
        <f>IF($A544="","",(VLOOKUP($A544,Cus!$A$2:$AH$1001,23,FALSE)))</f>
        <v/>
      </c>
      <c r="H544" s="3" t="str">
        <f t="shared" si="49"/>
        <v/>
      </c>
      <c r="I544" s="56" t="str">
        <f t="shared" si="50"/>
        <v/>
      </c>
      <c r="J544" s="3" t="str">
        <f t="shared" si="51"/>
        <v/>
      </c>
      <c r="K544" s="7" t="str">
        <f t="shared" si="52"/>
        <v/>
      </c>
    </row>
    <row r="545" spans="1:12">
      <c r="A545" s="1" t="str">
        <f>IF(Cus!$B545&lt;&gt;"",Cus!$A545,"")</f>
        <v/>
      </c>
      <c r="C545" s="16">
        <v>1</v>
      </c>
      <c r="D545" s="3" t="str">
        <f t="shared" si="48"/>
        <v/>
      </c>
      <c r="E545" s="3">
        <f>IF($C545=1,CommissionDD!$A$30,IF($C545=2,CommissionDD!$A$31,CommissionDD!$A$32))</f>
        <v>1500</v>
      </c>
      <c r="F545" s="3" t="str">
        <f t="shared" si="53"/>
        <v/>
      </c>
      <c r="G545" s="38" t="str">
        <f>IF($A545="","",(VLOOKUP($A545,Cus!$A$2:$AH$1001,23,FALSE)))</f>
        <v/>
      </c>
      <c r="H545" s="3" t="str">
        <f t="shared" si="49"/>
        <v/>
      </c>
      <c r="I545" s="56" t="str">
        <f t="shared" si="50"/>
        <v/>
      </c>
      <c r="J545" s="3" t="str">
        <f t="shared" si="51"/>
        <v/>
      </c>
      <c r="K545" s="7" t="str">
        <f t="shared" si="52"/>
        <v/>
      </c>
    </row>
    <row r="546" spans="1:12">
      <c r="A546" s="1" t="str">
        <f>IF(Cus!$B546&lt;&gt;"",Cus!$A546,"")</f>
        <v/>
      </c>
      <c r="C546" s="16">
        <v>1</v>
      </c>
      <c r="D546" s="3" t="str">
        <f t="shared" si="48"/>
        <v/>
      </c>
      <c r="E546" s="3">
        <f>IF($C546=1,CommissionDD!$A$30,IF($C546=2,CommissionDD!$A$31,CommissionDD!$A$32))</f>
        <v>1500</v>
      </c>
      <c r="F546" s="3" t="str">
        <f t="shared" si="53"/>
        <v/>
      </c>
      <c r="G546" s="38" t="str">
        <f>IF($A546="","",(VLOOKUP($A546,Cus!$A$2:$AH$1001,23,FALSE)))</f>
        <v/>
      </c>
      <c r="H546" s="3" t="str">
        <f t="shared" si="49"/>
        <v/>
      </c>
      <c r="I546" s="56" t="str">
        <f t="shared" si="50"/>
        <v/>
      </c>
      <c r="J546" s="3" t="str">
        <f t="shared" si="51"/>
        <v/>
      </c>
      <c r="K546" s="7" t="str">
        <f t="shared" si="52"/>
        <v/>
      </c>
    </row>
    <row r="547" spans="1:12">
      <c r="A547" s="1" t="str">
        <f>IF(Cus!$B547&lt;&gt;"",Cus!$A547,"")</f>
        <v>K0000546</v>
      </c>
      <c r="C547" s="16">
        <v>1</v>
      </c>
      <c r="D547" s="3">
        <f t="shared" si="48"/>
        <v>1500</v>
      </c>
      <c r="E547" s="3">
        <f>IF($C547=1,CommissionDD!$A$30,IF($C547=2,CommissionDD!$A$31,CommissionDD!$A$32))</f>
        <v>1500</v>
      </c>
      <c r="F547" s="3">
        <f t="shared" si="53"/>
        <v>0</v>
      </c>
      <c r="G547" s="38">
        <f>IF($A547="","",(VLOOKUP($A547,Cus!$A$2:$AH$1001,23,FALSE)))</f>
        <v>41608</v>
      </c>
      <c r="H547" s="3">
        <f t="shared" si="49"/>
        <v>395</v>
      </c>
      <c r="I547" s="56">
        <f t="shared" si="50"/>
        <v>60</v>
      </c>
      <c r="J547" s="3">
        <f t="shared" si="51"/>
        <v>23700</v>
      </c>
      <c r="K547" s="7">
        <f t="shared" si="52"/>
        <v>41638</v>
      </c>
    </row>
    <row r="548" spans="1:12">
      <c r="A548" s="1" t="str">
        <f>IF(Cus!$B548&lt;&gt;"",Cus!$A548,"")</f>
        <v/>
      </c>
      <c r="C548" s="16">
        <v>1</v>
      </c>
      <c r="D548" s="3" t="str">
        <f t="shared" si="48"/>
        <v/>
      </c>
      <c r="E548" s="3">
        <f>IF($C548=1,CommissionDD!$A$30,IF($C548=2,CommissionDD!$A$31,CommissionDD!$A$32))</f>
        <v>1500</v>
      </c>
      <c r="F548" s="3" t="str">
        <f t="shared" si="53"/>
        <v/>
      </c>
      <c r="G548" s="38" t="str">
        <f>IF($A548="","",(VLOOKUP($A548,Cus!$A$2:$AH$1001,23,FALSE)))</f>
        <v/>
      </c>
      <c r="H548" s="3" t="str">
        <f t="shared" si="49"/>
        <v/>
      </c>
      <c r="I548" s="56" t="str">
        <f t="shared" si="50"/>
        <v/>
      </c>
      <c r="J548" s="3" t="str">
        <f t="shared" si="51"/>
        <v/>
      </c>
      <c r="K548" s="7" t="str">
        <f t="shared" si="52"/>
        <v/>
      </c>
    </row>
    <row r="549" spans="1:12">
      <c r="A549" s="1" t="str">
        <f>IF(Cus!$B549&lt;&gt;"",Cus!$A549,"")</f>
        <v/>
      </c>
      <c r="C549" s="16">
        <v>1</v>
      </c>
      <c r="D549" s="3" t="str">
        <f t="shared" si="48"/>
        <v/>
      </c>
      <c r="E549" s="3">
        <f>IF($C549=1,CommissionDD!$A$30,IF($C549=2,CommissionDD!$A$31,CommissionDD!$A$32))</f>
        <v>1500</v>
      </c>
      <c r="F549" s="3" t="str">
        <f t="shared" si="53"/>
        <v/>
      </c>
      <c r="G549" s="38" t="str">
        <f>IF($A549="","",(VLOOKUP($A549,Cus!$A$2:$AH$1001,23,FALSE)))</f>
        <v/>
      </c>
      <c r="H549" s="3" t="str">
        <f t="shared" si="49"/>
        <v/>
      </c>
      <c r="I549" s="56" t="str">
        <f t="shared" si="50"/>
        <v/>
      </c>
      <c r="J549" s="3" t="str">
        <f t="shared" si="51"/>
        <v/>
      </c>
      <c r="K549" s="7" t="str">
        <f t="shared" si="52"/>
        <v/>
      </c>
    </row>
    <row r="550" spans="1:12">
      <c r="A550" s="1" t="str">
        <f>IF(Cus!$B550&lt;&gt;"",Cus!$A550,"")</f>
        <v/>
      </c>
      <c r="C550" s="16">
        <v>1</v>
      </c>
      <c r="D550" s="3" t="str">
        <f t="shared" si="48"/>
        <v/>
      </c>
      <c r="E550" s="3">
        <f>IF($C550=1,CommissionDD!$A$30,IF($C550=2,CommissionDD!$A$31,CommissionDD!$A$32))</f>
        <v>1500</v>
      </c>
      <c r="F550" s="3" t="str">
        <f t="shared" si="53"/>
        <v/>
      </c>
      <c r="G550" s="38" t="str">
        <f>IF($A550="","",(VLOOKUP($A550,Cus!$A$2:$AH$1001,23,FALSE)))</f>
        <v/>
      </c>
      <c r="H550" s="3" t="str">
        <f t="shared" si="49"/>
        <v/>
      </c>
      <c r="I550" s="56" t="str">
        <f t="shared" si="50"/>
        <v/>
      </c>
      <c r="J550" s="3" t="str">
        <f t="shared" si="51"/>
        <v/>
      </c>
      <c r="K550" s="7" t="str">
        <f t="shared" si="52"/>
        <v/>
      </c>
    </row>
    <row r="551" spans="1:12">
      <c r="A551" s="1" t="str">
        <f>IF(Cus!$B551&lt;&gt;"",Cus!$A551,"")</f>
        <v/>
      </c>
      <c r="C551" s="16">
        <v>1</v>
      </c>
      <c r="D551" s="3" t="str">
        <f t="shared" si="48"/>
        <v/>
      </c>
      <c r="E551" s="3">
        <f>IF($C551=1,CommissionDD!$A$30,IF($C551=2,CommissionDD!$A$31,CommissionDD!$A$32))</f>
        <v>1500</v>
      </c>
      <c r="F551" s="3" t="str">
        <f t="shared" si="53"/>
        <v/>
      </c>
      <c r="G551" s="38" t="str">
        <f>IF($A551="","",(VLOOKUP($A551,Cus!$A$2:$AH$1001,23,FALSE)))</f>
        <v/>
      </c>
      <c r="H551" s="3" t="str">
        <f t="shared" si="49"/>
        <v/>
      </c>
      <c r="I551" s="56" t="str">
        <f t="shared" si="50"/>
        <v/>
      </c>
      <c r="J551" s="3" t="str">
        <f t="shared" si="51"/>
        <v/>
      </c>
      <c r="K551" s="7" t="str">
        <f t="shared" si="52"/>
        <v/>
      </c>
    </row>
    <row r="552" spans="1:12">
      <c r="A552" s="1" t="str">
        <f>IF(Cus!$B552&lt;&gt;"",Cus!$A552,"")</f>
        <v/>
      </c>
      <c r="C552" s="16">
        <v>1</v>
      </c>
      <c r="D552" s="3" t="str">
        <f t="shared" si="48"/>
        <v/>
      </c>
      <c r="E552" s="3">
        <f>IF($C552=1,CommissionDD!$A$30,IF($C552=2,CommissionDD!$A$31,CommissionDD!$A$32))</f>
        <v>1500</v>
      </c>
      <c r="F552" s="3" t="str">
        <f t="shared" si="53"/>
        <v/>
      </c>
      <c r="G552" s="38" t="str">
        <f>IF($A552="","",(VLOOKUP($A552,Cus!$A$2:$AH$1001,23,FALSE)))</f>
        <v/>
      </c>
      <c r="H552" s="3" t="str">
        <f t="shared" si="49"/>
        <v/>
      </c>
      <c r="I552" s="56" t="str">
        <f t="shared" si="50"/>
        <v/>
      </c>
      <c r="J552" s="3" t="str">
        <f t="shared" si="51"/>
        <v/>
      </c>
      <c r="K552" s="7" t="str">
        <f t="shared" si="52"/>
        <v/>
      </c>
    </row>
    <row r="553" spans="1:12">
      <c r="A553" s="1" t="str">
        <f>IF(Cus!$B553&lt;&gt;"",Cus!$A553,"")</f>
        <v/>
      </c>
      <c r="C553" s="16">
        <v>1</v>
      </c>
      <c r="D553" s="3" t="str">
        <f t="shared" si="48"/>
        <v/>
      </c>
      <c r="E553" s="3">
        <f>IF($C553=1,CommissionDD!$A$30,IF($C553=2,CommissionDD!$A$31,CommissionDD!$A$32))</f>
        <v>1500</v>
      </c>
      <c r="F553" s="3" t="str">
        <f t="shared" si="53"/>
        <v/>
      </c>
      <c r="G553" s="38" t="str">
        <f>IF($A553="","",(VLOOKUP($A553,Cus!$A$2:$AH$1001,23,FALSE)))</f>
        <v/>
      </c>
      <c r="H553" s="3" t="str">
        <f t="shared" si="49"/>
        <v/>
      </c>
      <c r="I553" s="56" t="str">
        <f t="shared" si="50"/>
        <v/>
      </c>
      <c r="J553" s="3" t="str">
        <f t="shared" si="51"/>
        <v/>
      </c>
      <c r="K553" s="7" t="str">
        <f t="shared" si="52"/>
        <v/>
      </c>
    </row>
    <row r="554" spans="1:12">
      <c r="A554" s="1" t="str">
        <f>IF(Cus!$B554&lt;&gt;"",Cus!$A554,"")</f>
        <v/>
      </c>
      <c r="C554" s="16">
        <v>1</v>
      </c>
      <c r="D554" s="3" t="str">
        <f t="shared" si="48"/>
        <v/>
      </c>
      <c r="E554" s="3">
        <f>IF($C554=1,CommissionDD!$A$30,IF($C554=2,CommissionDD!$A$31,CommissionDD!$A$32))</f>
        <v>1500</v>
      </c>
      <c r="F554" s="3" t="str">
        <f t="shared" si="53"/>
        <v/>
      </c>
      <c r="G554" s="38" t="str">
        <f>IF($A554="","",(VLOOKUP($A554,Cus!$A$2:$AH$1001,23,FALSE)))</f>
        <v/>
      </c>
      <c r="H554" s="3" t="str">
        <f t="shared" si="49"/>
        <v/>
      </c>
      <c r="I554" s="56" t="str">
        <f t="shared" si="50"/>
        <v/>
      </c>
      <c r="J554" s="3" t="str">
        <f t="shared" si="51"/>
        <v/>
      </c>
      <c r="K554" s="7" t="str">
        <f t="shared" si="52"/>
        <v/>
      </c>
    </row>
    <row r="555" spans="1:12">
      <c r="A555" s="1" t="str">
        <f>IF(Cus!$B555&lt;&gt;"",Cus!$A555,"")</f>
        <v/>
      </c>
      <c r="C555" s="16">
        <v>1</v>
      </c>
      <c r="D555" s="3" t="str">
        <f t="shared" si="48"/>
        <v/>
      </c>
      <c r="E555" s="3">
        <f>IF($C555=1,CommissionDD!$A$30,IF($C555=2,CommissionDD!$A$31,CommissionDD!$A$32))</f>
        <v>1500</v>
      </c>
      <c r="F555" s="3" t="str">
        <f t="shared" si="53"/>
        <v/>
      </c>
      <c r="G555" s="38" t="str">
        <f>IF($A555="","",(VLOOKUP($A555,Cus!$A$2:$AH$1001,23,FALSE)))</f>
        <v/>
      </c>
      <c r="H555" s="3" t="str">
        <f t="shared" si="49"/>
        <v/>
      </c>
      <c r="I555" s="56" t="str">
        <f t="shared" si="50"/>
        <v/>
      </c>
      <c r="J555" s="3" t="str">
        <f t="shared" si="51"/>
        <v/>
      </c>
      <c r="K555" s="7" t="str">
        <f t="shared" si="52"/>
        <v/>
      </c>
    </row>
    <row r="556" spans="1:12">
      <c r="A556" s="1" t="str">
        <f>IF(Cus!$B556&lt;&gt;"",Cus!$A556,"")</f>
        <v/>
      </c>
      <c r="C556" s="16">
        <v>1</v>
      </c>
      <c r="D556" s="3" t="str">
        <f t="shared" si="48"/>
        <v/>
      </c>
      <c r="E556" s="3">
        <f>IF($C556=1,CommissionDD!$A$30,IF($C556=2,CommissionDD!$A$31,CommissionDD!$A$32))</f>
        <v>1500</v>
      </c>
      <c r="F556" s="3" t="str">
        <f t="shared" si="53"/>
        <v/>
      </c>
      <c r="G556" s="38" t="str">
        <f>IF($A556="","",(VLOOKUP($A556,Cus!$A$2:$AH$1001,23,FALSE)))</f>
        <v/>
      </c>
      <c r="H556" s="3" t="str">
        <f t="shared" si="49"/>
        <v/>
      </c>
      <c r="I556" s="56" t="str">
        <f t="shared" si="50"/>
        <v/>
      </c>
      <c r="J556" s="3" t="str">
        <f t="shared" si="51"/>
        <v/>
      </c>
      <c r="K556" s="7" t="str">
        <f t="shared" si="52"/>
        <v/>
      </c>
    </row>
    <row r="557" spans="1:12">
      <c r="A557" s="1" t="str">
        <f>IF(Cus!$B557&lt;&gt;"",Cus!$A557,"")</f>
        <v>K0000556</v>
      </c>
      <c r="B557" s="31">
        <v>1531953</v>
      </c>
      <c r="C557" s="16">
        <v>1</v>
      </c>
      <c r="D557" s="3">
        <f t="shared" si="48"/>
        <v>1500</v>
      </c>
      <c r="E557" s="3">
        <f>IF($C557=1,CommissionDD!$A$30,IF($C557=2,CommissionDD!$A$31,CommissionDD!$A$32))</f>
        <v>1500</v>
      </c>
      <c r="F557" s="3">
        <f t="shared" si="53"/>
        <v>0</v>
      </c>
      <c r="G557" s="38">
        <f>IF($A557="","",(VLOOKUP($A557,Cus!$A$2:$AH$1001,23,FALSE)))</f>
        <v>41608</v>
      </c>
      <c r="H557" s="3">
        <f t="shared" si="49"/>
        <v>395</v>
      </c>
      <c r="I557" s="56">
        <f t="shared" si="50"/>
        <v>60</v>
      </c>
      <c r="J557" s="3">
        <f t="shared" si="51"/>
        <v>23700</v>
      </c>
      <c r="K557" s="7">
        <f t="shared" si="52"/>
        <v>41638</v>
      </c>
      <c r="L557" s="31">
        <v>857004196</v>
      </c>
    </row>
    <row r="558" spans="1:12">
      <c r="A558" s="1" t="str">
        <f>IF(Cus!$B558&lt;&gt;"",Cus!$A558,"")</f>
        <v/>
      </c>
      <c r="C558" s="16">
        <v>1</v>
      </c>
      <c r="D558" s="3" t="str">
        <f t="shared" si="48"/>
        <v/>
      </c>
      <c r="E558" s="3">
        <f>IF($C558=1,CommissionDD!$A$30,IF($C558=2,CommissionDD!$A$31,CommissionDD!$A$32))</f>
        <v>1500</v>
      </c>
      <c r="F558" s="3" t="str">
        <f t="shared" si="53"/>
        <v/>
      </c>
      <c r="G558" s="38" t="str">
        <f>IF($A558="","",(VLOOKUP($A558,Cus!$A$2:$AH$1001,23,FALSE)))</f>
        <v/>
      </c>
      <c r="H558" s="3" t="str">
        <f t="shared" si="49"/>
        <v/>
      </c>
      <c r="I558" s="56" t="str">
        <f t="shared" si="50"/>
        <v/>
      </c>
      <c r="J558" s="3" t="str">
        <f t="shared" si="51"/>
        <v/>
      </c>
      <c r="K558" s="7" t="str">
        <f t="shared" si="52"/>
        <v/>
      </c>
    </row>
    <row r="559" spans="1:12">
      <c r="A559" s="1" t="str">
        <f>IF(Cus!$B559&lt;&gt;"",Cus!$A559,"")</f>
        <v/>
      </c>
      <c r="C559" s="16">
        <v>1</v>
      </c>
      <c r="D559" s="3" t="str">
        <f t="shared" si="48"/>
        <v/>
      </c>
      <c r="E559" s="3">
        <f>IF($C559=1,CommissionDD!$A$30,IF($C559=2,CommissionDD!$A$31,CommissionDD!$A$32))</f>
        <v>1500</v>
      </c>
      <c r="F559" s="3" t="str">
        <f t="shared" si="53"/>
        <v/>
      </c>
      <c r="G559" s="38" t="str">
        <f>IF($A559="","",(VLOOKUP($A559,Cus!$A$2:$AH$1001,23,FALSE)))</f>
        <v/>
      </c>
      <c r="H559" s="3" t="str">
        <f t="shared" si="49"/>
        <v/>
      </c>
      <c r="I559" s="56" t="str">
        <f t="shared" si="50"/>
        <v/>
      </c>
      <c r="J559" s="3" t="str">
        <f t="shared" si="51"/>
        <v/>
      </c>
      <c r="K559" s="7" t="str">
        <f t="shared" si="52"/>
        <v/>
      </c>
    </row>
    <row r="560" spans="1:12">
      <c r="A560" s="1" t="str">
        <f>IF(Cus!$B560&lt;&gt;"",Cus!$A560,"")</f>
        <v/>
      </c>
      <c r="C560" s="16">
        <v>1</v>
      </c>
      <c r="D560" s="3" t="str">
        <f t="shared" si="48"/>
        <v/>
      </c>
      <c r="E560" s="3">
        <f>IF($C560=1,CommissionDD!$A$30,IF($C560=2,CommissionDD!$A$31,CommissionDD!$A$32))</f>
        <v>1500</v>
      </c>
      <c r="F560" s="3" t="str">
        <f t="shared" si="53"/>
        <v/>
      </c>
      <c r="G560" s="38" t="str">
        <f>IF($A560="","",(VLOOKUP($A560,Cus!$A$2:$AH$1001,23,FALSE)))</f>
        <v/>
      </c>
      <c r="H560" s="3" t="str">
        <f t="shared" si="49"/>
        <v/>
      </c>
      <c r="I560" s="56" t="str">
        <f t="shared" si="50"/>
        <v/>
      </c>
      <c r="J560" s="3" t="str">
        <f t="shared" si="51"/>
        <v/>
      </c>
      <c r="K560" s="7" t="str">
        <f t="shared" si="52"/>
        <v/>
      </c>
    </row>
    <row r="561" spans="1:11">
      <c r="A561" s="1" t="str">
        <f>IF(Cus!$B561&lt;&gt;"",Cus!$A561,"")</f>
        <v/>
      </c>
      <c r="C561" s="16">
        <v>1</v>
      </c>
      <c r="D561" s="3" t="str">
        <f t="shared" si="48"/>
        <v/>
      </c>
      <c r="E561" s="3">
        <f>IF($C561=1,CommissionDD!$A$30,IF($C561=2,CommissionDD!$A$31,CommissionDD!$A$32))</f>
        <v>1500</v>
      </c>
      <c r="F561" s="3" t="str">
        <f t="shared" si="53"/>
        <v/>
      </c>
      <c r="G561" s="38" t="str">
        <f>IF($A561="","",(VLOOKUP($A561,Cus!$A$2:$AH$1001,23,FALSE)))</f>
        <v/>
      </c>
      <c r="H561" s="3" t="str">
        <f t="shared" si="49"/>
        <v/>
      </c>
      <c r="I561" s="56" t="str">
        <f t="shared" si="50"/>
        <v/>
      </c>
      <c r="J561" s="3" t="str">
        <f t="shared" si="51"/>
        <v/>
      </c>
      <c r="K561" s="7" t="str">
        <f t="shared" si="52"/>
        <v/>
      </c>
    </row>
    <row r="562" spans="1:11">
      <c r="A562" s="1" t="str">
        <f>IF(Cus!$B562&lt;&gt;"",Cus!$A562,"")</f>
        <v/>
      </c>
      <c r="C562" s="16">
        <v>1</v>
      </c>
      <c r="D562" s="3" t="str">
        <f t="shared" si="48"/>
        <v/>
      </c>
      <c r="E562" s="3">
        <f>IF($C562=1,CommissionDD!$A$30,IF($C562=2,CommissionDD!$A$31,CommissionDD!$A$32))</f>
        <v>1500</v>
      </c>
      <c r="F562" s="3" t="str">
        <f t="shared" si="53"/>
        <v/>
      </c>
      <c r="G562" s="38" t="str">
        <f>IF($A562="","",(VLOOKUP($A562,Cus!$A$2:$AH$1001,23,FALSE)))</f>
        <v/>
      </c>
      <c r="H562" s="3" t="str">
        <f t="shared" si="49"/>
        <v/>
      </c>
      <c r="I562" s="56" t="str">
        <f t="shared" si="50"/>
        <v/>
      </c>
      <c r="J562" s="3" t="str">
        <f t="shared" si="51"/>
        <v/>
      </c>
      <c r="K562" s="7" t="str">
        <f t="shared" si="52"/>
        <v/>
      </c>
    </row>
    <row r="563" spans="1:11">
      <c r="A563" s="1" t="str">
        <f>IF(Cus!$B563&lt;&gt;"",Cus!$A563,"")</f>
        <v/>
      </c>
      <c r="C563" s="16">
        <v>1</v>
      </c>
      <c r="D563" s="3" t="str">
        <f t="shared" si="48"/>
        <v/>
      </c>
      <c r="E563" s="3">
        <f>IF($C563=1,CommissionDD!$A$30,IF($C563=2,CommissionDD!$A$31,CommissionDD!$A$32))</f>
        <v>1500</v>
      </c>
      <c r="F563" s="3" t="str">
        <f t="shared" si="53"/>
        <v/>
      </c>
      <c r="G563" s="38" t="str">
        <f>IF($A563="","",(VLOOKUP($A563,Cus!$A$2:$AH$1001,23,FALSE)))</f>
        <v/>
      </c>
      <c r="H563" s="3" t="str">
        <f t="shared" si="49"/>
        <v/>
      </c>
      <c r="I563" s="56" t="str">
        <f t="shared" si="50"/>
        <v/>
      </c>
      <c r="J563" s="3" t="str">
        <f t="shared" si="51"/>
        <v/>
      </c>
      <c r="K563" s="7" t="str">
        <f t="shared" si="52"/>
        <v/>
      </c>
    </row>
    <row r="564" spans="1:11">
      <c r="A564" s="1" t="str">
        <f>IF(Cus!$B564&lt;&gt;"",Cus!$A564,"")</f>
        <v/>
      </c>
      <c r="C564" s="16">
        <v>1</v>
      </c>
      <c r="D564" s="3" t="str">
        <f t="shared" si="48"/>
        <v/>
      </c>
      <c r="E564" s="3">
        <f>IF($C564=1,CommissionDD!$A$30,IF($C564=2,CommissionDD!$A$31,CommissionDD!$A$32))</f>
        <v>1500</v>
      </c>
      <c r="F564" s="3" t="str">
        <f t="shared" si="53"/>
        <v/>
      </c>
      <c r="G564" s="38" t="str">
        <f>IF($A564="","",(VLOOKUP($A564,Cus!$A$2:$AH$1001,23,FALSE)))</f>
        <v/>
      </c>
      <c r="H564" s="3" t="str">
        <f t="shared" si="49"/>
        <v/>
      </c>
      <c r="I564" s="56" t="str">
        <f t="shared" si="50"/>
        <v/>
      </c>
      <c r="J564" s="3" t="str">
        <f t="shared" si="51"/>
        <v/>
      </c>
      <c r="K564" s="7" t="str">
        <f t="shared" si="52"/>
        <v/>
      </c>
    </row>
    <row r="565" spans="1:11">
      <c r="A565" s="1" t="str">
        <f>IF(Cus!$B565&lt;&gt;"",Cus!$A565,"")</f>
        <v/>
      </c>
      <c r="C565" s="16">
        <v>1</v>
      </c>
      <c r="D565" s="3" t="str">
        <f t="shared" si="48"/>
        <v/>
      </c>
      <c r="E565" s="3">
        <f>IF($C565=1,CommissionDD!$A$30,IF($C565=2,CommissionDD!$A$31,CommissionDD!$A$32))</f>
        <v>1500</v>
      </c>
      <c r="F565" s="3" t="str">
        <f t="shared" si="53"/>
        <v/>
      </c>
      <c r="G565" s="38" t="str">
        <f>IF($A565="","",(VLOOKUP($A565,Cus!$A$2:$AH$1001,23,FALSE)))</f>
        <v/>
      </c>
      <c r="H565" s="3" t="str">
        <f t="shared" si="49"/>
        <v/>
      </c>
      <c r="I565" s="56" t="str">
        <f t="shared" si="50"/>
        <v/>
      </c>
      <c r="J565" s="3" t="str">
        <f t="shared" si="51"/>
        <v/>
      </c>
      <c r="K565" s="7" t="str">
        <f t="shared" si="52"/>
        <v/>
      </c>
    </row>
    <row r="566" spans="1:11">
      <c r="A566" s="1" t="str">
        <f>IF(Cus!$B566&lt;&gt;"",Cus!$A566,"")</f>
        <v/>
      </c>
      <c r="C566" s="16">
        <v>1</v>
      </c>
      <c r="D566" s="3" t="str">
        <f t="shared" si="48"/>
        <v/>
      </c>
      <c r="E566" s="3">
        <f>IF($C566=1,CommissionDD!$A$30,IF($C566=2,CommissionDD!$A$31,CommissionDD!$A$32))</f>
        <v>1500</v>
      </c>
      <c r="F566" s="3" t="str">
        <f t="shared" si="53"/>
        <v/>
      </c>
      <c r="G566" s="38" t="str">
        <f>IF($A566="","",(VLOOKUP($A566,Cus!$A$2:$AH$1001,23,FALSE)))</f>
        <v/>
      </c>
      <c r="H566" s="3" t="str">
        <f t="shared" si="49"/>
        <v/>
      </c>
      <c r="I566" s="56" t="str">
        <f t="shared" si="50"/>
        <v/>
      </c>
      <c r="J566" s="3" t="str">
        <f t="shared" si="51"/>
        <v/>
      </c>
      <c r="K566" s="7" t="str">
        <f t="shared" si="52"/>
        <v/>
      </c>
    </row>
    <row r="567" spans="1:11">
      <c r="A567" s="1" t="str">
        <f>IF(Cus!$B567&lt;&gt;"",Cus!$A567,"")</f>
        <v/>
      </c>
      <c r="C567" s="16">
        <v>1</v>
      </c>
      <c r="D567" s="3" t="str">
        <f t="shared" si="48"/>
        <v/>
      </c>
      <c r="E567" s="3">
        <f>IF($C567=1,CommissionDD!$A$30,IF($C567=2,CommissionDD!$A$31,CommissionDD!$A$32))</f>
        <v>1500</v>
      </c>
      <c r="F567" s="3" t="str">
        <f t="shared" si="53"/>
        <v/>
      </c>
      <c r="G567" s="38" t="str">
        <f>IF($A567="","",(VLOOKUP($A567,Cus!$A$2:$AH$1001,23,FALSE)))</f>
        <v/>
      </c>
      <c r="H567" s="3" t="str">
        <f t="shared" si="49"/>
        <v/>
      </c>
      <c r="I567" s="56" t="str">
        <f t="shared" si="50"/>
        <v/>
      </c>
      <c r="J567" s="3" t="str">
        <f t="shared" si="51"/>
        <v/>
      </c>
      <c r="K567" s="7" t="str">
        <f t="shared" si="52"/>
        <v/>
      </c>
    </row>
    <row r="568" spans="1:11">
      <c r="A568" s="1" t="str">
        <f>IF(Cus!$B568&lt;&gt;"",Cus!$A568,"")</f>
        <v/>
      </c>
      <c r="C568" s="16">
        <v>1</v>
      </c>
      <c r="D568" s="3" t="str">
        <f t="shared" si="48"/>
        <v/>
      </c>
      <c r="E568" s="3">
        <f>IF($C568=1,CommissionDD!$A$30,IF($C568=2,CommissionDD!$A$31,CommissionDD!$A$32))</f>
        <v>1500</v>
      </c>
      <c r="F568" s="3" t="str">
        <f t="shared" si="53"/>
        <v/>
      </c>
      <c r="G568" s="38" t="str">
        <f>IF($A568="","",(VLOOKUP($A568,Cus!$A$2:$AH$1001,23,FALSE)))</f>
        <v/>
      </c>
      <c r="H568" s="3" t="str">
        <f t="shared" si="49"/>
        <v/>
      </c>
      <c r="I568" s="56" t="str">
        <f t="shared" si="50"/>
        <v/>
      </c>
      <c r="J568" s="3" t="str">
        <f t="shared" si="51"/>
        <v/>
      </c>
      <c r="K568" s="7" t="str">
        <f t="shared" si="52"/>
        <v/>
      </c>
    </row>
    <row r="569" spans="1:11">
      <c r="A569" s="1" t="str">
        <f>IF(Cus!$B569&lt;&gt;"",Cus!$A569,"")</f>
        <v/>
      </c>
      <c r="C569" s="16">
        <v>1</v>
      </c>
      <c r="D569" s="3" t="str">
        <f t="shared" si="48"/>
        <v/>
      </c>
      <c r="E569" s="3">
        <f>IF($C569=1,CommissionDD!$A$30,IF($C569=2,CommissionDD!$A$31,CommissionDD!$A$32))</f>
        <v>1500</v>
      </c>
      <c r="F569" s="3" t="str">
        <f t="shared" si="53"/>
        <v/>
      </c>
      <c r="G569" s="38" t="str">
        <f>IF($A569="","",(VLOOKUP($A569,Cus!$A$2:$AH$1001,23,FALSE)))</f>
        <v/>
      </c>
      <c r="H569" s="3" t="str">
        <f t="shared" si="49"/>
        <v/>
      </c>
      <c r="I569" s="56" t="str">
        <f t="shared" si="50"/>
        <v/>
      </c>
      <c r="J569" s="3" t="str">
        <f t="shared" si="51"/>
        <v/>
      </c>
      <c r="K569" s="7" t="str">
        <f t="shared" si="52"/>
        <v/>
      </c>
    </row>
    <row r="570" spans="1:11">
      <c r="A570" s="1" t="str">
        <f>IF(Cus!$B570&lt;&gt;"",Cus!$A570,"")</f>
        <v/>
      </c>
      <c r="C570" s="16">
        <v>1</v>
      </c>
      <c r="D570" s="3" t="str">
        <f t="shared" si="48"/>
        <v/>
      </c>
      <c r="E570" s="3">
        <f>IF($C570=1,CommissionDD!$A$30,IF($C570=2,CommissionDD!$A$31,CommissionDD!$A$32))</f>
        <v>1500</v>
      </c>
      <c r="F570" s="3" t="str">
        <f t="shared" si="53"/>
        <v/>
      </c>
      <c r="G570" s="38" t="str">
        <f>IF($A570="","",(VLOOKUP($A570,Cus!$A$2:$AH$1001,23,FALSE)))</f>
        <v/>
      </c>
      <c r="H570" s="3" t="str">
        <f t="shared" si="49"/>
        <v/>
      </c>
      <c r="I570" s="56" t="str">
        <f t="shared" si="50"/>
        <v/>
      </c>
      <c r="J570" s="3" t="str">
        <f t="shared" si="51"/>
        <v/>
      </c>
      <c r="K570" s="7" t="str">
        <f t="shared" si="52"/>
        <v/>
      </c>
    </row>
    <row r="571" spans="1:11">
      <c r="A571" s="1" t="str">
        <f>IF(Cus!$B571&lt;&gt;"",Cus!$A571,"")</f>
        <v/>
      </c>
      <c r="C571" s="16">
        <v>1</v>
      </c>
      <c r="D571" s="3" t="str">
        <f t="shared" si="48"/>
        <v/>
      </c>
      <c r="E571" s="3">
        <f>IF($C571=1,CommissionDD!$A$30,IF($C571=2,CommissionDD!$A$31,CommissionDD!$A$32))</f>
        <v>1500</v>
      </c>
      <c r="F571" s="3" t="str">
        <f t="shared" si="53"/>
        <v/>
      </c>
      <c r="G571" s="38" t="str">
        <f>IF($A571="","",(VLOOKUP($A571,Cus!$A$2:$AH$1001,23,FALSE)))</f>
        <v/>
      </c>
      <c r="H571" s="3" t="str">
        <f t="shared" si="49"/>
        <v/>
      </c>
      <c r="I571" s="56" t="str">
        <f t="shared" si="50"/>
        <v/>
      </c>
      <c r="J571" s="3" t="str">
        <f t="shared" si="51"/>
        <v/>
      </c>
      <c r="K571" s="7" t="str">
        <f t="shared" si="52"/>
        <v/>
      </c>
    </row>
    <row r="572" spans="1:11">
      <c r="A572" s="1" t="str">
        <f>IF(Cus!$B572&lt;&gt;"",Cus!$A572,"")</f>
        <v/>
      </c>
      <c r="C572" s="16">
        <v>1</v>
      </c>
      <c r="D572" s="3" t="str">
        <f t="shared" si="48"/>
        <v/>
      </c>
      <c r="E572" s="3">
        <f>IF($C572=1,CommissionDD!$A$30,IF($C572=2,CommissionDD!$A$31,CommissionDD!$A$32))</f>
        <v>1500</v>
      </c>
      <c r="F572" s="3" t="str">
        <f t="shared" si="53"/>
        <v/>
      </c>
      <c r="G572" s="38" t="str">
        <f>IF($A572="","",(VLOOKUP($A572,Cus!$A$2:$AH$1001,23,FALSE)))</f>
        <v/>
      </c>
      <c r="H572" s="3" t="str">
        <f t="shared" si="49"/>
        <v/>
      </c>
      <c r="I572" s="56" t="str">
        <f t="shared" si="50"/>
        <v/>
      </c>
      <c r="J572" s="3" t="str">
        <f t="shared" si="51"/>
        <v/>
      </c>
      <c r="K572" s="7" t="str">
        <f t="shared" si="52"/>
        <v/>
      </c>
    </row>
    <row r="573" spans="1:11">
      <c r="A573" s="1" t="str">
        <f>IF(Cus!$B573&lt;&gt;"",Cus!$A573,"")</f>
        <v/>
      </c>
      <c r="C573" s="16">
        <v>1</v>
      </c>
      <c r="D573" s="3" t="str">
        <f t="shared" si="48"/>
        <v/>
      </c>
      <c r="E573" s="3">
        <f>IF($C573=1,CommissionDD!$A$30,IF($C573=2,CommissionDD!$A$31,CommissionDD!$A$32))</f>
        <v>1500</v>
      </c>
      <c r="F573" s="3" t="str">
        <f t="shared" si="53"/>
        <v/>
      </c>
      <c r="G573" s="38" t="str">
        <f>IF($A573="","",(VLOOKUP($A573,Cus!$A$2:$AH$1001,23,FALSE)))</f>
        <v/>
      </c>
      <c r="H573" s="3" t="str">
        <f t="shared" si="49"/>
        <v/>
      </c>
      <c r="I573" s="56" t="str">
        <f t="shared" si="50"/>
        <v/>
      </c>
      <c r="J573" s="3" t="str">
        <f t="shared" si="51"/>
        <v/>
      </c>
      <c r="K573" s="7" t="str">
        <f t="shared" si="52"/>
        <v/>
      </c>
    </row>
    <row r="574" spans="1:11">
      <c r="A574" s="1" t="str">
        <f>IF(Cus!$B574&lt;&gt;"",Cus!$A574,"")</f>
        <v/>
      </c>
      <c r="C574" s="16">
        <v>1</v>
      </c>
      <c r="D574" s="3" t="str">
        <f t="shared" si="48"/>
        <v/>
      </c>
      <c r="E574" s="3">
        <f>IF($C574=1,CommissionDD!$A$30,IF($C574=2,CommissionDD!$A$31,CommissionDD!$A$32))</f>
        <v>1500</v>
      </c>
      <c r="F574" s="3" t="str">
        <f t="shared" si="53"/>
        <v/>
      </c>
      <c r="G574" s="38" t="str">
        <f>IF($A574="","",(VLOOKUP($A574,Cus!$A$2:$AH$1001,23,FALSE)))</f>
        <v/>
      </c>
      <c r="H574" s="3" t="str">
        <f t="shared" si="49"/>
        <v/>
      </c>
      <c r="I574" s="56" t="str">
        <f t="shared" si="50"/>
        <v/>
      </c>
      <c r="J574" s="3" t="str">
        <f t="shared" si="51"/>
        <v/>
      </c>
      <c r="K574" s="7" t="str">
        <f t="shared" si="52"/>
        <v/>
      </c>
    </row>
    <row r="575" spans="1:11">
      <c r="A575" s="1" t="str">
        <f>IF(Cus!$B575&lt;&gt;"",Cus!$A575,"")</f>
        <v/>
      </c>
      <c r="C575" s="16">
        <v>1</v>
      </c>
      <c r="D575" s="3" t="str">
        <f t="shared" si="48"/>
        <v/>
      </c>
      <c r="E575" s="3">
        <f>IF($C575=1,CommissionDD!$A$30,IF($C575=2,CommissionDD!$A$31,CommissionDD!$A$32))</f>
        <v>1500</v>
      </c>
      <c r="F575" s="3" t="str">
        <f t="shared" si="53"/>
        <v/>
      </c>
      <c r="G575" s="38" t="str">
        <f>IF($A575="","",(VLOOKUP($A575,Cus!$A$2:$AH$1001,23,FALSE)))</f>
        <v/>
      </c>
      <c r="H575" s="3" t="str">
        <f t="shared" si="49"/>
        <v/>
      </c>
      <c r="I575" s="56" t="str">
        <f t="shared" si="50"/>
        <v/>
      </c>
      <c r="J575" s="3" t="str">
        <f t="shared" si="51"/>
        <v/>
      </c>
      <c r="K575" s="7" t="str">
        <f t="shared" si="52"/>
        <v/>
      </c>
    </row>
    <row r="576" spans="1:11">
      <c r="A576" s="1" t="str">
        <f>IF(Cus!$B576&lt;&gt;"",Cus!$A576,"")</f>
        <v/>
      </c>
      <c r="C576" s="16">
        <v>1</v>
      </c>
      <c r="D576" s="3" t="str">
        <f t="shared" si="48"/>
        <v/>
      </c>
      <c r="E576" s="3">
        <f>IF($C576=1,CommissionDD!$A$30,IF($C576=2,CommissionDD!$A$31,CommissionDD!$A$32))</f>
        <v>1500</v>
      </c>
      <c r="F576" s="3" t="str">
        <f t="shared" si="53"/>
        <v/>
      </c>
      <c r="G576" s="38" t="str">
        <f>IF($A576="","",(VLOOKUP($A576,Cus!$A$2:$AH$1001,23,FALSE)))</f>
        <v/>
      </c>
      <c r="H576" s="3" t="str">
        <f t="shared" si="49"/>
        <v/>
      </c>
      <c r="I576" s="56" t="str">
        <f t="shared" si="50"/>
        <v/>
      </c>
      <c r="J576" s="3" t="str">
        <f t="shared" si="51"/>
        <v/>
      </c>
      <c r="K576" s="7" t="str">
        <f t="shared" si="52"/>
        <v/>
      </c>
    </row>
    <row r="577" spans="1:11">
      <c r="A577" s="1" t="str">
        <f>IF(Cus!$B577&lt;&gt;"",Cus!$A577,"")</f>
        <v/>
      </c>
      <c r="C577" s="16">
        <v>1</v>
      </c>
      <c r="D577" s="3" t="str">
        <f t="shared" si="48"/>
        <v/>
      </c>
      <c r="E577" s="3">
        <f>IF($C577=1,CommissionDD!$A$30,IF($C577=2,CommissionDD!$A$31,CommissionDD!$A$32))</f>
        <v>1500</v>
      </c>
      <c r="F577" s="3" t="str">
        <f t="shared" si="53"/>
        <v/>
      </c>
      <c r="G577" s="38" t="str">
        <f>IF($A577="","",(VLOOKUP($A577,Cus!$A$2:$AH$1001,23,FALSE)))</f>
        <v/>
      </c>
      <c r="H577" s="3" t="str">
        <f t="shared" si="49"/>
        <v/>
      </c>
      <c r="I577" s="56" t="str">
        <f t="shared" si="50"/>
        <v/>
      </c>
      <c r="J577" s="3" t="str">
        <f t="shared" si="51"/>
        <v/>
      </c>
      <c r="K577" s="7" t="str">
        <f t="shared" si="52"/>
        <v/>
      </c>
    </row>
    <row r="578" spans="1:11">
      <c r="A578" s="1" t="str">
        <f>IF(Cus!$B578&lt;&gt;"",Cus!$A578,"")</f>
        <v/>
      </c>
      <c r="C578" s="16">
        <v>1</v>
      </c>
      <c r="D578" s="3" t="str">
        <f t="shared" ref="D578:D641" si="54">IF($A578="","",1500)</f>
        <v/>
      </c>
      <c r="E578" s="3">
        <f>IF($C578=1,CommissionDD!$A$30,IF($C578=2,CommissionDD!$A$31,CommissionDD!$A$32))</f>
        <v>1500</v>
      </c>
      <c r="F578" s="3" t="str">
        <f t="shared" si="53"/>
        <v/>
      </c>
      <c r="G578" s="38" t="str">
        <f>IF($A578="","",(VLOOKUP($A578,Cus!$A$2:$AH$1001,23,FALSE)))</f>
        <v/>
      </c>
      <c r="H578" s="3" t="str">
        <f t="shared" ref="H578:H641" si="55">IF($A578="","",395)</f>
        <v/>
      </c>
      <c r="I578" s="56" t="str">
        <f t="shared" ref="I578:I641" si="56">IF($A578="","",60)</f>
        <v/>
      </c>
      <c r="J578" s="3" t="str">
        <f t="shared" ref="J578:J641" si="57">IF($A578="","",$H578*$I578)</f>
        <v/>
      </c>
      <c r="K578" s="7" t="str">
        <f t="shared" ref="K578:K641" si="58">IF($G578="","",(DATE(YEAR($G578),MONTH($G578)+$C578,MIN(DAY($G578)))))</f>
        <v/>
      </c>
    </row>
    <row r="579" spans="1:11">
      <c r="A579" s="1" t="str">
        <f>IF(Cus!$B579&lt;&gt;"",Cus!$A579,"")</f>
        <v/>
      </c>
      <c r="C579" s="16">
        <v>1</v>
      </c>
      <c r="D579" s="3" t="str">
        <f t="shared" si="54"/>
        <v/>
      </c>
      <c r="E579" s="3">
        <f>IF($C579=1,CommissionDD!$A$30,IF($C579=2,CommissionDD!$A$31,CommissionDD!$A$32))</f>
        <v>1500</v>
      </c>
      <c r="F579" s="3" t="str">
        <f t="shared" ref="F579:F642" si="59">IF($A579="","",$D579-$E579)</f>
        <v/>
      </c>
      <c r="G579" s="38" t="str">
        <f>IF($A579="","",(VLOOKUP($A579,Cus!$A$2:$AH$1001,23,FALSE)))</f>
        <v/>
      </c>
      <c r="H579" s="3" t="str">
        <f t="shared" si="55"/>
        <v/>
      </c>
      <c r="I579" s="56" t="str">
        <f t="shared" si="56"/>
        <v/>
      </c>
      <c r="J579" s="3" t="str">
        <f t="shared" si="57"/>
        <v/>
      </c>
      <c r="K579" s="7" t="str">
        <f t="shared" si="58"/>
        <v/>
      </c>
    </row>
    <row r="580" spans="1:11">
      <c r="A580" s="1" t="str">
        <f>IF(Cus!$B580&lt;&gt;"",Cus!$A580,"")</f>
        <v/>
      </c>
      <c r="C580" s="16">
        <v>1</v>
      </c>
      <c r="D580" s="3" t="str">
        <f t="shared" si="54"/>
        <v/>
      </c>
      <c r="E580" s="3">
        <f>IF($C580=1,CommissionDD!$A$30,IF($C580=2,CommissionDD!$A$31,CommissionDD!$A$32))</f>
        <v>1500</v>
      </c>
      <c r="F580" s="3" t="str">
        <f t="shared" si="59"/>
        <v/>
      </c>
      <c r="G580" s="38" t="str">
        <f>IF($A580="","",(VLOOKUP($A580,Cus!$A$2:$AH$1001,23,FALSE)))</f>
        <v/>
      </c>
      <c r="H580" s="3" t="str">
        <f t="shared" si="55"/>
        <v/>
      </c>
      <c r="I580" s="56" t="str">
        <f t="shared" si="56"/>
        <v/>
      </c>
      <c r="J580" s="3" t="str">
        <f t="shared" si="57"/>
        <v/>
      </c>
      <c r="K580" s="7" t="str">
        <f t="shared" si="58"/>
        <v/>
      </c>
    </row>
    <row r="581" spans="1:11">
      <c r="A581" s="1" t="str">
        <f>IF(Cus!$B581&lt;&gt;"",Cus!$A581,"")</f>
        <v/>
      </c>
      <c r="C581" s="16">
        <v>1</v>
      </c>
      <c r="D581" s="3" t="str">
        <f t="shared" si="54"/>
        <v/>
      </c>
      <c r="E581" s="3">
        <f>IF($C581=1,CommissionDD!$A$30,IF($C581=2,CommissionDD!$A$31,CommissionDD!$A$32))</f>
        <v>1500</v>
      </c>
      <c r="F581" s="3" t="str">
        <f t="shared" si="59"/>
        <v/>
      </c>
      <c r="G581" s="38" t="str">
        <f>IF($A581="","",(VLOOKUP($A581,Cus!$A$2:$AH$1001,23,FALSE)))</f>
        <v/>
      </c>
      <c r="H581" s="3" t="str">
        <f t="shared" si="55"/>
        <v/>
      </c>
      <c r="I581" s="56" t="str">
        <f t="shared" si="56"/>
        <v/>
      </c>
      <c r="J581" s="3" t="str">
        <f t="shared" si="57"/>
        <v/>
      </c>
      <c r="K581" s="7" t="str">
        <f t="shared" si="58"/>
        <v/>
      </c>
    </row>
    <row r="582" spans="1:11">
      <c r="A582" s="1" t="str">
        <f>IF(Cus!$B582&lt;&gt;"",Cus!$A582,"")</f>
        <v/>
      </c>
      <c r="C582" s="16">
        <v>1</v>
      </c>
      <c r="D582" s="3" t="str">
        <f t="shared" si="54"/>
        <v/>
      </c>
      <c r="E582" s="3">
        <f>IF($C582=1,CommissionDD!$A$30,IF($C582=2,CommissionDD!$A$31,CommissionDD!$A$32))</f>
        <v>1500</v>
      </c>
      <c r="F582" s="3" t="str">
        <f t="shared" si="59"/>
        <v/>
      </c>
      <c r="G582" s="38" t="str">
        <f>IF($A582="","",(VLOOKUP($A582,Cus!$A$2:$AH$1001,23,FALSE)))</f>
        <v/>
      </c>
      <c r="H582" s="3" t="str">
        <f t="shared" si="55"/>
        <v/>
      </c>
      <c r="I582" s="56" t="str">
        <f t="shared" si="56"/>
        <v/>
      </c>
      <c r="J582" s="3" t="str">
        <f t="shared" si="57"/>
        <v/>
      </c>
      <c r="K582" s="7" t="str">
        <f t="shared" si="58"/>
        <v/>
      </c>
    </row>
    <row r="583" spans="1:11">
      <c r="A583" s="1" t="str">
        <f>IF(Cus!$B583&lt;&gt;"",Cus!$A583,"")</f>
        <v/>
      </c>
      <c r="C583" s="16">
        <v>1</v>
      </c>
      <c r="D583" s="3" t="str">
        <f t="shared" si="54"/>
        <v/>
      </c>
      <c r="E583" s="3">
        <f>IF($C583=1,CommissionDD!$A$30,IF($C583=2,CommissionDD!$A$31,CommissionDD!$A$32))</f>
        <v>1500</v>
      </c>
      <c r="F583" s="3" t="str">
        <f t="shared" si="59"/>
        <v/>
      </c>
      <c r="G583" s="38" t="str">
        <f>IF($A583="","",(VLOOKUP($A583,Cus!$A$2:$AH$1001,23,FALSE)))</f>
        <v/>
      </c>
      <c r="H583" s="3" t="str">
        <f t="shared" si="55"/>
        <v/>
      </c>
      <c r="I583" s="56" t="str">
        <f t="shared" si="56"/>
        <v/>
      </c>
      <c r="J583" s="3" t="str">
        <f t="shared" si="57"/>
        <v/>
      </c>
      <c r="K583" s="7" t="str">
        <f t="shared" si="58"/>
        <v/>
      </c>
    </row>
    <row r="584" spans="1:11">
      <c r="A584" s="1" t="str">
        <f>IF(Cus!$B584&lt;&gt;"",Cus!$A584,"")</f>
        <v/>
      </c>
      <c r="C584" s="16">
        <v>1</v>
      </c>
      <c r="D584" s="3" t="str">
        <f t="shared" si="54"/>
        <v/>
      </c>
      <c r="E584" s="3">
        <f>IF($C584=1,CommissionDD!$A$30,IF($C584=2,CommissionDD!$A$31,CommissionDD!$A$32))</f>
        <v>1500</v>
      </c>
      <c r="F584" s="3" t="str">
        <f t="shared" si="59"/>
        <v/>
      </c>
      <c r="G584" s="38" t="str">
        <f>IF($A584="","",(VLOOKUP($A584,Cus!$A$2:$AH$1001,23,FALSE)))</f>
        <v/>
      </c>
      <c r="H584" s="3" t="str">
        <f t="shared" si="55"/>
        <v/>
      </c>
      <c r="I584" s="56" t="str">
        <f t="shared" si="56"/>
        <v/>
      </c>
      <c r="J584" s="3" t="str">
        <f t="shared" si="57"/>
        <v/>
      </c>
      <c r="K584" s="7" t="str">
        <f t="shared" si="58"/>
        <v/>
      </c>
    </row>
    <row r="585" spans="1:11">
      <c r="A585" s="1" t="str">
        <f>IF(Cus!$B585&lt;&gt;"",Cus!$A585,"")</f>
        <v/>
      </c>
      <c r="C585" s="16">
        <v>1</v>
      </c>
      <c r="D585" s="3" t="str">
        <f t="shared" si="54"/>
        <v/>
      </c>
      <c r="E585" s="3">
        <f>IF($C585=1,CommissionDD!$A$30,IF($C585=2,CommissionDD!$A$31,CommissionDD!$A$32))</f>
        <v>1500</v>
      </c>
      <c r="F585" s="3" t="str">
        <f t="shared" si="59"/>
        <v/>
      </c>
      <c r="G585" s="38" t="str">
        <f>IF($A585="","",(VLOOKUP($A585,Cus!$A$2:$AH$1001,23,FALSE)))</f>
        <v/>
      </c>
      <c r="H585" s="3" t="str">
        <f t="shared" si="55"/>
        <v/>
      </c>
      <c r="I585" s="56" t="str">
        <f t="shared" si="56"/>
        <v/>
      </c>
      <c r="J585" s="3" t="str">
        <f t="shared" si="57"/>
        <v/>
      </c>
      <c r="K585" s="7" t="str">
        <f t="shared" si="58"/>
        <v/>
      </c>
    </row>
    <row r="586" spans="1:11">
      <c r="A586" s="1" t="str">
        <f>IF(Cus!$B586&lt;&gt;"",Cus!$A586,"")</f>
        <v/>
      </c>
      <c r="C586" s="16">
        <v>1</v>
      </c>
      <c r="D586" s="3" t="str">
        <f t="shared" si="54"/>
        <v/>
      </c>
      <c r="E586" s="3">
        <f>IF($C586=1,CommissionDD!$A$30,IF($C586=2,CommissionDD!$A$31,CommissionDD!$A$32))</f>
        <v>1500</v>
      </c>
      <c r="F586" s="3" t="str">
        <f t="shared" si="59"/>
        <v/>
      </c>
      <c r="G586" s="38" t="str">
        <f>IF($A586="","",(VLOOKUP($A586,Cus!$A$2:$AH$1001,23,FALSE)))</f>
        <v/>
      </c>
      <c r="H586" s="3" t="str">
        <f t="shared" si="55"/>
        <v/>
      </c>
      <c r="I586" s="56" t="str">
        <f t="shared" si="56"/>
        <v/>
      </c>
      <c r="J586" s="3" t="str">
        <f t="shared" si="57"/>
        <v/>
      </c>
      <c r="K586" s="7" t="str">
        <f t="shared" si="58"/>
        <v/>
      </c>
    </row>
    <row r="587" spans="1:11">
      <c r="A587" s="1" t="str">
        <f>IF(Cus!$B587&lt;&gt;"",Cus!$A587,"")</f>
        <v/>
      </c>
      <c r="C587" s="16">
        <v>1</v>
      </c>
      <c r="D587" s="3" t="str">
        <f t="shared" si="54"/>
        <v/>
      </c>
      <c r="E587" s="3">
        <f>IF($C587=1,CommissionDD!$A$30,IF($C587=2,CommissionDD!$A$31,CommissionDD!$A$32))</f>
        <v>1500</v>
      </c>
      <c r="F587" s="3" t="str">
        <f t="shared" si="59"/>
        <v/>
      </c>
      <c r="G587" s="38" t="str">
        <f>IF($A587="","",(VLOOKUP($A587,Cus!$A$2:$AH$1001,23,FALSE)))</f>
        <v/>
      </c>
      <c r="H587" s="3" t="str">
        <f t="shared" si="55"/>
        <v/>
      </c>
      <c r="I587" s="56" t="str">
        <f t="shared" si="56"/>
        <v/>
      </c>
      <c r="J587" s="3" t="str">
        <f t="shared" si="57"/>
        <v/>
      </c>
      <c r="K587" s="7" t="str">
        <f t="shared" si="58"/>
        <v/>
      </c>
    </row>
    <row r="588" spans="1:11">
      <c r="A588" s="1" t="str">
        <f>IF(Cus!$B588&lt;&gt;"",Cus!$A588,"")</f>
        <v/>
      </c>
      <c r="C588" s="16">
        <v>1</v>
      </c>
      <c r="D588" s="3" t="str">
        <f t="shared" si="54"/>
        <v/>
      </c>
      <c r="E588" s="3">
        <f>IF($C588=1,CommissionDD!$A$30,IF($C588=2,CommissionDD!$A$31,CommissionDD!$A$32))</f>
        <v>1500</v>
      </c>
      <c r="F588" s="3" t="str">
        <f t="shared" si="59"/>
        <v/>
      </c>
      <c r="G588" s="38" t="str">
        <f>IF($A588="","",(VLOOKUP($A588,Cus!$A$2:$AH$1001,23,FALSE)))</f>
        <v/>
      </c>
      <c r="H588" s="3" t="str">
        <f t="shared" si="55"/>
        <v/>
      </c>
      <c r="I588" s="56" t="str">
        <f t="shared" si="56"/>
        <v/>
      </c>
      <c r="J588" s="3" t="str">
        <f t="shared" si="57"/>
        <v/>
      </c>
      <c r="K588" s="7" t="str">
        <f t="shared" si="58"/>
        <v/>
      </c>
    </row>
    <row r="589" spans="1:11">
      <c r="A589" s="1" t="str">
        <f>IF(Cus!$B589&lt;&gt;"",Cus!$A589,"")</f>
        <v/>
      </c>
      <c r="C589" s="16">
        <v>1</v>
      </c>
      <c r="D589" s="3" t="str">
        <f t="shared" si="54"/>
        <v/>
      </c>
      <c r="E589" s="3">
        <f>IF($C589=1,CommissionDD!$A$30,IF($C589=2,CommissionDD!$A$31,CommissionDD!$A$32))</f>
        <v>1500</v>
      </c>
      <c r="F589" s="3" t="str">
        <f t="shared" si="59"/>
        <v/>
      </c>
      <c r="G589" s="38" t="str">
        <f>IF($A589="","",(VLOOKUP($A589,Cus!$A$2:$AH$1001,23,FALSE)))</f>
        <v/>
      </c>
      <c r="H589" s="3" t="str">
        <f t="shared" si="55"/>
        <v/>
      </c>
      <c r="I589" s="56" t="str">
        <f t="shared" si="56"/>
        <v/>
      </c>
      <c r="J589" s="3" t="str">
        <f t="shared" si="57"/>
        <v/>
      </c>
      <c r="K589" s="7" t="str">
        <f t="shared" si="58"/>
        <v/>
      </c>
    </row>
    <row r="590" spans="1:11">
      <c r="A590" s="1" t="str">
        <f>IF(Cus!$B590&lt;&gt;"",Cus!$A590,"")</f>
        <v/>
      </c>
      <c r="C590" s="16">
        <v>1</v>
      </c>
      <c r="D590" s="3" t="str">
        <f t="shared" si="54"/>
        <v/>
      </c>
      <c r="E590" s="3">
        <f>IF($C590=1,CommissionDD!$A$30,IF($C590=2,CommissionDD!$A$31,CommissionDD!$A$32))</f>
        <v>1500</v>
      </c>
      <c r="F590" s="3" t="str">
        <f t="shared" si="59"/>
        <v/>
      </c>
      <c r="G590" s="38" t="str">
        <f>IF($A590="","",(VLOOKUP($A590,Cus!$A$2:$AH$1001,23,FALSE)))</f>
        <v/>
      </c>
      <c r="H590" s="3" t="str">
        <f t="shared" si="55"/>
        <v/>
      </c>
      <c r="I590" s="56" t="str">
        <f t="shared" si="56"/>
        <v/>
      </c>
      <c r="J590" s="3" t="str">
        <f t="shared" si="57"/>
        <v/>
      </c>
      <c r="K590" s="7" t="str">
        <f t="shared" si="58"/>
        <v/>
      </c>
    </row>
    <row r="591" spans="1:11">
      <c r="A591" s="1" t="str">
        <f>IF(Cus!$B591&lt;&gt;"",Cus!$A591,"")</f>
        <v/>
      </c>
      <c r="C591" s="16">
        <v>1</v>
      </c>
      <c r="D591" s="3" t="str">
        <f t="shared" si="54"/>
        <v/>
      </c>
      <c r="E591" s="3">
        <f>IF($C591=1,CommissionDD!$A$30,IF($C591=2,CommissionDD!$A$31,CommissionDD!$A$32))</f>
        <v>1500</v>
      </c>
      <c r="F591" s="3" t="str">
        <f t="shared" si="59"/>
        <v/>
      </c>
      <c r="G591" s="38" t="str">
        <f>IF($A591="","",(VLOOKUP($A591,Cus!$A$2:$AH$1001,23,FALSE)))</f>
        <v/>
      </c>
      <c r="H591" s="3" t="str">
        <f t="shared" si="55"/>
        <v/>
      </c>
      <c r="I591" s="56" t="str">
        <f t="shared" si="56"/>
        <v/>
      </c>
      <c r="J591" s="3" t="str">
        <f t="shared" si="57"/>
        <v/>
      </c>
      <c r="K591" s="7" t="str">
        <f t="shared" si="58"/>
        <v/>
      </c>
    </row>
    <row r="592" spans="1:11">
      <c r="A592" s="1" t="str">
        <f>IF(Cus!$B592&lt;&gt;"",Cus!$A592,"")</f>
        <v/>
      </c>
      <c r="C592" s="16">
        <v>1</v>
      </c>
      <c r="D592" s="3" t="str">
        <f t="shared" si="54"/>
        <v/>
      </c>
      <c r="E592" s="3">
        <f>IF($C592=1,CommissionDD!$A$30,IF($C592=2,CommissionDD!$A$31,CommissionDD!$A$32))</f>
        <v>1500</v>
      </c>
      <c r="F592" s="3" t="str">
        <f t="shared" si="59"/>
        <v/>
      </c>
      <c r="G592" s="38" t="str">
        <f>IF($A592="","",(VLOOKUP($A592,Cus!$A$2:$AH$1001,23,FALSE)))</f>
        <v/>
      </c>
      <c r="H592" s="3" t="str">
        <f t="shared" si="55"/>
        <v/>
      </c>
      <c r="I592" s="56" t="str">
        <f t="shared" si="56"/>
        <v/>
      </c>
      <c r="J592" s="3" t="str">
        <f t="shared" si="57"/>
        <v/>
      </c>
      <c r="K592" s="7" t="str">
        <f t="shared" si="58"/>
        <v/>
      </c>
    </row>
    <row r="593" spans="1:12">
      <c r="A593" s="1" t="str">
        <f>IF(Cus!$B593&lt;&gt;"",Cus!$A593,"")</f>
        <v/>
      </c>
      <c r="C593" s="16">
        <v>1</v>
      </c>
      <c r="D593" s="3" t="str">
        <f t="shared" si="54"/>
        <v/>
      </c>
      <c r="E593" s="3">
        <f>IF($C593=1,CommissionDD!$A$30,IF($C593=2,CommissionDD!$A$31,CommissionDD!$A$32))</f>
        <v>1500</v>
      </c>
      <c r="F593" s="3" t="str">
        <f t="shared" si="59"/>
        <v/>
      </c>
      <c r="G593" s="38" t="str">
        <f>IF($A593="","",(VLOOKUP($A593,Cus!$A$2:$AH$1001,23,FALSE)))</f>
        <v/>
      </c>
      <c r="H593" s="3" t="str">
        <f t="shared" si="55"/>
        <v/>
      </c>
      <c r="I593" s="56" t="str">
        <f t="shared" si="56"/>
        <v/>
      </c>
      <c r="J593" s="3" t="str">
        <f t="shared" si="57"/>
        <v/>
      </c>
      <c r="K593" s="7" t="str">
        <f t="shared" si="58"/>
        <v/>
      </c>
    </row>
    <row r="594" spans="1:12">
      <c r="A594" s="1" t="str">
        <f>IF(Cus!$B594&lt;&gt;"",Cus!$A594,"")</f>
        <v/>
      </c>
      <c r="C594" s="16">
        <v>1</v>
      </c>
      <c r="D594" s="3" t="str">
        <f t="shared" si="54"/>
        <v/>
      </c>
      <c r="E594" s="3">
        <f>IF($C594=1,CommissionDD!$A$30,IF($C594=2,CommissionDD!$A$31,CommissionDD!$A$32))</f>
        <v>1500</v>
      </c>
      <c r="F594" s="3" t="str">
        <f t="shared" si="59"/>
        <v/>
      </c>
      <c r="G594" s="38" t="str">
        <f>IF($A594="","",(VLOOKUP($A594,Cus!$A$2:$AH$1001,23,FALSE)))</f>
        <v/>
      </c>
      <c r="H594" s="3" t="str">
        <f t="shared" si="55"/>
        <v/>
      </c>
      <c r="I594" s="56" t="str">
        <f t="shared" si="56"/>
        <v/>
      </c>
      <c r="J594" s="3" t="str">
        <f t="shared" si="57"/>
        <v/>
      </c>
      <c r="K594" s="7" t="str">
        <f t="shared" si="58"/>
        <v/>
      </c>
    </row>
    <row r="595" spans="1:12">
      <c r="A595" s="1" t="str">
        <f>IF(Cus!$B595&lt;&gt;"",Cus!$A595,"")</f>
        <v/>
      </c>
      <c r="C595" s="16">
        <v>1</v>
      </c>
      <c r="D595" s="3" t="str">
        <f t="shared" si="54"/>
        <v/>
      </c>
      <c r="E595" s="3">
        <f>IF($C595=1,CommissionDD!$A$30,IF($C595=2,CommissionDD!$A$31,CommissionDD!$A$32))</f>
        <v>1500</v>
      </c>
      <c r="F595" s="3" t="str">
        <f t="shared" si="59"/>
        <v/>
      </c>
      <c r="G595" s="38" t="str">
        <f>IF($A595="","",(VLOOKUP($A595,Cus!$A$2:$AH$1001,23,FALSE)))</f>
        <v/>
      </c>
      <c r="H595" s="3" t="str">
        <f t="shared" si="55"/>
        <v/>
      </c>
      <c r="I595" s="56" t="str">
        <f t="shared" si="56"/>
        <v/>
      </c>
      <c r="J595" s="3" t="str">
        <f t="shared" si="57"/>
        <v/>
      </c>
      <c r="K595" s="7" t="str">
        <f t="shared" si="58"/>
        <v/>
      </c>
    </row>
    <row r="596" spans="1:12">
      <c r="A596" s="1" t="str">
        <f>IF(Cus!$B596&lt;&gt;"",Cus!$A596,"")</f>
        <v/>
      </c>
      <c r="C596" s="16">
        <v>1</v>
      </c>
      <c r="D596" s="3" t="str">
        <f t="shared" si="54"/>
        <v/>
      </c>
      <c r="E596" s="3">
        <f>IF($C596=1,CommissionDD!$A$30,IF($C596=2,CommissionDD!$A$31,CommissionDD!$A$32))</f>
        <v>1500</v>
      </c>
      <c r="F596" s="3" t="str">
        <f t="shared" si="59"/>
        <v/>
      </c>
      <c r="G596" s="38" t="str">
        <f>IF($A596="","",(VLOOKUP($A596,Cus!$A$2:$AH$1001,23,FALSE)))</f>
        <v/>
      </c>
      <c r="H596" s="3" t="str">
        <f t="shared" si="55"/>
        <v/>
      </c>
      <c r="I596" s="56" t="str">
        <f t="shared" si="56"/>
        <v/>
      </c>
      <c r="J596" s="3" t="str">
        <f t="shared" si="57"/>
        <v/>
      </c>
      <c r="K596" s="7" t="str">
        <f t="shared" si="58"/>
        <v/>
      </c>
    </row>
    <row r="597" spans="1:12">
      <c r="A597" s="1" t="str">
        <f>IF(Cus!$B597&lt;&gt;"",Cus!$A597,"")</f>
        <v>K0000596</v>
      </c>
      <c r="B597" s="31">
        <v>1531987</v>
      </c>
      <c r="C597" s="16">
        <v>1</v>
      </c>
      <c r="D597" s="3">
        <f t="shared" si="54"/>
        <v>1500</v>
      </c>
      <c r="E597" s="3">
        <f>IF($C597=1,CommissionDD!$A$30,IF($C597=2,CommissionDD!$A$31,CommissionDD!$A$32))</f>
        <v>1500</v>
      </c>
      <c r="F597" s="3">
        <f t="shared" si="59"/>
        <v>0</v>
      </c>
      <c r="G597" s="38">
        <f>IF($A597="","",(VLOOKUP($A597,Cus!$A$2:$AH$1001,23,FALSE)))</f>
        <v>41670</v>
      </c>
      <c r="H597" s="3">
        <f t="shared" si="55"/>
        <v>395</v>
      </c>
      <c r="I597" s="56">
        <f t="shared" si="56"/>
        <v>60</v>
      </c>
      <c r="J597" s="3">
        <f t="shared" si="57"/>
        <v>23700</v>
      </c>
      <c r="K597" s="7">
        <f t="shared" si="58"/>
        <v>41701</v>
      </c>
      <c r="L597" s="31">
        <v>85790929</v>
      </c>
    </row>
    <row r="598" spans="1:12">
      <c r="A598" s="1" t="str">
        <f>IF(Cus!$B598&lt;&gt;"",Cus!$A598,"")</f>
        <v/>
      </c>
      <c r="C598" s="16">
        <v>1</v>
      </c>
      <c r="D598" s="3" t="str">
        <f t="shared" si="54"/>
        <v/>
      </c>
      <c r="E598" s="3">
        <f>IF($C598=1,CommissionDD!$A$30,IF($C598=2,CommissionDD!$A$31,CommissionDD!$A$32))</f>
        <v>1500</v>
      </c>
      <c r="F598" s="3" t="str">
        <f t="shared" si="59"/>
        <v/>
      </c>
      <c r="G598" s="38" t="str">
        <f>IF($A598="","",(VLOOKUP($A598,Cus!$A$2:$AH$1001,23,FALSE)))</f>
        <v/>
      </c>
      <c r="H598" s="3" t="str">
        <f t="shared" si="55"/>
        <v/>
      </c>
      <c r="I598" s="56" t="str">
        <f t="shared" si="56"/>
        <v/>
      </c>
      <c r="J598" s="3" t="str">
        <f t="shared" si="57"/>
        <v/>
      </c>
      <c r="K598" s="7" t="str">
        <f t="shared" si="58"/>
        <v/>
      </c>
    </row>
    <row r="599" spans="1:12">
      <c r="A599" s="1" t="str">
        <f>IF(Cus!$B599&lt;&gt;"",Cus!$A599,"")</f>
        <v/>
      </c>
      <c r="C599" s="16">
        <v>1</v>
      </c>
      <c r="D599" s="3" t="str">
        <f t="shared" si="54"/>
        <v/>
      </c>
      <c r="E599" s="3">
        <f>IF($C599=1,CommissionDD!$A$30,IF($C599=2,CommissionDD!$A$31,CommissionDD!$A$32))</f>
        <v>1500</v>
      </c>
      <c r="F599" s="3" t="str">
        <f t="shared" si="59"/>
        <v/>
      </c>
      <c r="G599" s="38" t="str">
        <f>IF($A599="","",(VLOOKUP($A599,Cus!$A$2:$AH$1001,23,FALSE)))</f>
        <v/>
      </c>
      <c r="H599" s="3" t="str">
        <f t="shared" si="55"/>
        <v/>
      </c>
      <c r="I599" s="56" t="str">
        <f t="shared" si="56"/>
        <v/>
      </c>
      <c r="J599" s="3" t="str">
        <f t="shared" si="57"/>
        <v/>
      </c>
      <c r="K599" s="7" t="str">
        <f t="shared" si="58"/>
        <v/>
      </c>
    </row>
    <row r="600" spans="1:12">
      <c r="A600" s="1" t="str">
        <f>IF(Cus!$B600&lt;&gt;"",Cus!$A600,"")</f>
        <v/>
      </c>
      <c r="C600" s="16">
        <v>1</v>
      </c>
      <c r="D600" s="3" t="str">
        <f t="shared" si="54"/>
        <v/>
      </c>
      <c r="E600" s="3">
        <f>IF($C600=1,CommissionDD!$A$30,IF($C600=2,CommissionDD!$A$31,CommissionDD!$A$32))</f>
        <v>1500</v>
      </c>
      <c r="F600" s="3" t="str">
        <f t="shared" si="59"/>
        <v/>
      </c>
      <c r="G600" s="38" t="str">
        <f>IF($A600="","",(VLOOKUP($A600,Cus!$A$2:$AH$1001,23,FALSE)))</f>
        <v/>
      </c>
      <c r="H600" s="3" t="str">
        <f t="shared" si="55"/>
        <v/>
      </c>
      <c r="I600" s="56" t="str">
        <f t="shared" si="56"/>
        <v/>
      </c>
      <c r="J600" s="3" t="str">
        <f t="shared" si="57"/>
        <v/>
      </c>
      <c r="K600" s="7" t="str">
        <f t="shared" si="58"/>
        <v/>
      </c>
    </row>
    <row r="601" spans="1:12">
      <c r="A601" s="1" t="str">
        <f>IF(Cus!$B601&lt;&gt;"",Cus!$A601,"")</f>
        <v>K0000600</v>
      </c>
      <c r="B601" s="31">
        <v>1531987</v>
      </c>
      <c r="C601" s="16">
        <v>1</v>
      </c>
      <c r="D601" s="3">
        <f t="shared" si="54"/>
        <v>1500</v>
      </c>
      <c r="E601" s="3">
        <f>IF($C601=1,CommissionDD!$A$30,IF($C601=2,CommissionDD!$A$31,CommissionDD!$A$32))</f>
        <v>1500</v>
      </c>
      <c r="F601" s="3">
        <f t="shared" si="59"/>
        <v>0</v>
      </c>
      <c r="G601" s="38">
        <f>IF($A601="","",(VLOOKUP($A601,Cus!$A$2:$AH$1001,23,FALSE)))</f>
        <v>41609</v>
      </c>
      <c r="H601" s="3">
        <f t="shared" si="55"/>
        <v>395</v>
      </c>
      <c r="I601" s="56">
        <f t="shared" si="56"/>
        <v>60</v>
      </c>
      <c r="J601" s="3">
        <f t="shared" si="57"/>
        <v>23700</v>
      </c>
      <c r="K601" s="7">
        <f t="shared" si="58"/>
        <v>41640</v>
      </c>
      <c r="L601" s="31">
        <v>85683702</v>
      </c>
    </row>
    <row r="602" spans="1:12">
      <c r="A602" s="1" t="str">
        <f>IF(Cus!$B602&lt;&gt;"",Cus!$A602,"")</f>
        <v>K0000601</v>
      </c>
      <c r="C602" s="16">
        <v>1</v>
      </c>
      <c r="D602" s="3">
        <f t="shared" si="54"/>
        <v>1500</v>
      </c>
      <c r="E602" s="3">
        <f>IF($C602=1,CommissionDD!$A$30,IF($C602=2,CommissionDD!$A$31,CommissionDD!$A$32))</f>
        <v>1500</v>
      </c>
      <c r="F602" s="3">
        <f t="shared" si="59"/>
        <v>0</v>
      </c>
      <c r="G602" s="38">
        <f>IF($A602="","",(VLOOKUP($A602,Cus!$A$2:$AH$1001,23,FALSE)))</f>
        <v>41633</v>
      </c>
      <c r="H602" s="3">
        <f t="shared" si="55"/>
        <v>395</v>
      </c>
      <c r="I602" s="56">
        <f t="shared" si="56"/>
        <v>60</v>
      </c>
      <c r="J602" s="3">
        <f t="shared" si="57"/>
        <v>23700</v>
      </c>
      <c r="K602" s="7">
        <f t="shared" si="58"/>
        <v>41664</v>
      </c>
    </row>
    <row r="603" spans="1:12">
      <c r="A603" s="1" t="str">
        <f>IF(Cus!$B603&lt;&gt;"",Cus!$A603,"")</f>
        <v/>
      </c>
      <c r="C603" s="16">
        <v>1</v>
      </c>
      <c r="D603" s="3" t="str">
        <f t="shared" si="54"/>
        <v/>
      </c>
      <c r="E603" s="3">
        <f>IF($C603=1,CommissionDD!$A$30,IF($C603=2,CommissionDD!$A$31,CommissionDD!$A$32))</f>
        <v>1500</v>
      </c>
      <c r="F603" s="3" t="str">
        <f t="shared" si="59"/>
        <v/>
      </c>
      <c r="G603" s="38" t="str">
        <f>IF($A603="","",(VLOOKUP($A603,Cus!$A$2:$AH$1001,23,FALSE)))</f>
        <v/>
      </c>
      <c r="H603" s="3" t="str">
        <f t="shared" si="55"/>
        <v/>
      </c>
      <c r="I603" s="56" t="str">
        <f t="shared" si="56"/>
        <v/>
      </c>
      <c r="J603" s="3" t="str">
        <f t="shared" si="57"/>
        <v/>
      </c>
      <c r="K603" s="7" t="str">
        <f t="shared" si="58"/>
        <v/>
      </c>
    </row>
    <row r="604" spans="1:12">
      <c r="A604" s="1" t="str">
        <f>IF(Cus!$B604&lt;&gt;"",Cus!$A604,"")</f>
        <v/>
      </c>
      <c r="C604" s="16">
        <v>1</v>
      </c>
      <c r="D604" s="3" t="str">
        <f t="shared" si="54"/>
        <v/>
      </c>
      <c r="E604" s="3">
        <f>IF($C604=1,CommissionDD!$A$30,IF($C604=2,CommissionDD!$A$31,CommissionDD!$A$32))</f>
        <v>1500</v>
      </c>
      <c r="F604" s="3" t="str">
        <f t="shared" si="59"/>
        <v/>
      </c>
      <c r="G604" s="38" t="str">
        <f>IF($A604="","",(VLOOKUP($A604,Cus!$A$2:$AH$1001,23,FALSE)))</f>
        <v/>
      </c>
      <c r="H604" s="3" t="str">
        <f t="shared" si="55"/>
        <v/>
      </c>
      <c r="I604" s="56" t="str">
        <f t="shared" si="56"/>
        <v/>
      </c>
      <c r="J604" s="3" t="str">
        <f t="shared" si="57"/>
        <v/>
      </c>
      <c r="K604" s="7" t="str">
        <f t="shared" si="58"/>
        <v/>
      </c>
    </row>
    <row r="605" spans="1:12">
      <c r="A605" s="1" t="str">
        <f>IF(Cus!$B605&lt;&gt;"",Cus!$A605,"")</f>
        <v/>
      </c>
      <c r="C605" s="16">
        <v>1</v>
      </c>
      <c r="D605" s="3" t="str">
        <f t="shared" si="54"/>
        <v/>
      </c>
      <c r="E605" s="3">
        <f>IF($C605=1,CommissionDD!$A$30,IF($C605=2,CommissionDD!$A$31,CommissionDD!$A$32))</f>
        <v>1500</v>
      </c>
      <c r="F605" s="3" t="str">
        <f t="shared" si="59"/>
        <v/>
      </c>
      <c r="G605" s="38" t="str">
        <f>IF($A605="","",(VLOOKUP($A605,Cus!$A$2:$AH$1001,23,FALSE)))</f>
        <v/>
      </c>
      <c r="H605" s="3" t="str">
        <f t="shared" si="55"/>
        <v/>
      </c>
      <c r="I605" s="56" t="str">
        <f t="shared" si="56"/>
        <v/>
      </c>
      <c r="J605" s="3" t="str">
        <f t="shared" si="57"/>
        <v/>
      </c>
      <c r="K605" s="7" t="str">
        <f t="shared" si="58"/>
        <v/>
      </c>
    </row>
    <row r="606" spans="1:12">
      <c r="A606" s="1" t="str">
        <f>IF(Cus!$B606&lt;&gt;"",Cus!$A606,"")</f>
        <v/>
      </c>
      <c r="C606" s="16">
        <v>1</v>
      </c>
      <c r="D606" s="3" t="str">
        <f t="shared" si="54"/>
        <v/>
      </c>
      <c r="E606" s="3">
        <f>IF($C606=1,CommissionDD!$A$30,IF($C606=2,CommissionDD!$A$31,CommissionDD!$A$32))</f>
        <v>1500</v>
      </c>
      <c r="F606" s="3" t="str">
        <f t="shared" si="59"/>
        <v/>
      </c>
      <c r="G606" s="38" t="str">
        <f>IF($A606="","",(VLOOKUP($A606,Cus!$A$2:$AH$1001,23,FALSE)))</f>
        <v/>
      </c>
      <c r="H606" s="3" t="str">
        <f t="shared" si="55"/>
        <v/>
      </c>
      <c r="I606" s="56" t="str">
        <f t="shared" si="56"/>
        <v/>
      </c>
      <c r="J606" s="3" t="str">
        <f t="shared" si="57"/>
        <v/>
      </c>
      <c r="K606" s="7" t="str">
        <f t="shared" si="58"/>
        <v/>
      </c>
    </row>
    <row r="607" spans="1:12">
      <c r="A607" s="1" t="str">
        <f>IF(Cus!$B607&lt;&gt;"",Cus!$A607,"")</f>
        <v/>
      </c>
      <c r="C607" s="16">
        <v>1</v>
      </c>
      <c r="D607" s="3" t="str">
        <f t="shared" si="54"/>
        <v/>
      </c>
      <c r="E607" s="3">
        <f>IF($C607=1,CommissionDD!$A$30,IF($C607=2,CommissionDD!$A$31,CommissionDD!$A$32))</f>
        <v>1500</v>
      </c>
      <c r="F607" s="3" t="str">
        <f t="shared" si="59"/>
        <v/>
      </c>
      <c r="G607" s="38" t="str">
        <f>IF($A607="","",(VLOOKUP($A607,Cus!$A$2:$AH$1001,23,FALSE)))</f>
        <v/>
      </c>
      <c r="H607" s="3" t="str">
        <f t="shared" si="55"/>
        <v/>
      </c>
      <c r="I607" s="56" t="str">
        <f t="shared" si="56"/>
        <v/>
      </c>
      <c r="J607" s="3" t="str">
        <f t="shared" si="57"/>
        <v/>
      </c>
      <c r="K607" s="7" t="str">
        <f t="shared" si="58"/>
        <v/>
      </c>
    </row>
    <row r="608" spans="1:12">
      <c r="A608" s="1" t="str">
        <f>IF(Cus!$B608&lt;&gt;"",Cus!$A608,"")</f>
        <v/>
      </c>
      <c r="C608" s="16">
        <v>1</v>
      </c>
      <c r="D608" s="3" t="str">
        <f t="shared" si="54"/>
        <v/>
      </c>
      <c r="E608" s="3">
        <f>IF($C608=1,CommissionDD!$A$30,IF($C608=2,CommissionDD!$A$31,CommissionDD!$A$32))</f>
        <v>1500</v>
      </c>
      <c r="F608" s="3" t="str">
        <f t="shared" si="59"/>
        <v/>
      </c>
      <c r="G608" s="38" t="str">
        <f>IF($A608="","",(VLOOKUP($A608,Cus!$A$2:$AH$1001,23,FALSE)))</f>
        <v/>
      </c>
      <c r="H608" s="3" t="str">
        <f t="shared" si="55"/>
        <v/>
      </c>
      <c r="I608" s="56" t="str">
        <f t="shared" si="56"/>
        <v/>
      </c>
      <c r="J608" s="3" t="str">
        <f t="shared" si="57"/>
        <v/>
      </c>
      <c r="K608" s="7" t="str">
        <f t="shared" si="58"/>
        <v/>
      </c>
    </row>
    <row r="609" spans="1:11">
      <c r="A609" s="1" t="str">
        <f>IF(Cus!$B609&lt;&gt;"",Cus!$A609,"")</f>
        <v/>
      </c>
      <c r="C609" s="16">
        <v>1</v>
      </c>
      <c r="D609" s="3" t="str">
        <f t="shared" si="54"/>
        <v/>
      </c>
      <c r="E609" s="3">
        <f>IF($C609=1,CommissionDD!$A$30,IF($C609=2,CommissionDD!$A$31,CommissionDD!$A$32))</f>
        <v>1500</v>
      </c>
      <c r="F609" s="3" t="str">
        <f t="shared" si="59"/>
        <v/>
      </c>
      <c r="G609" s="38" t="str">
        <f>IF($A609="","",(VLOOKUP($A609,Cus!$A$2:$AH$1001,23,FALSE)))</f>
        <v/>
      </c>
      <c r="H609" s="3" t="str">
        <f t="shared" si="55"/>
        <v/>
      </c>
      <c r="I609" s="56" t="str">
        <f t="shared" si="56"/>
        <v/>
      </c>
      <c r="J609" s="3" t="str">
        <f t="shared" si="57"/>
        <v/>
      </c>
      <c r="K609" s="7" t="str">
        <f t="shared" si="58"/>
        <v/>
      </c>
    </row>
    <row r="610" spans="1:11">
      <c r="A610" s="1" t="str">
        <f>IF(Cus!$B610&lt;&gt;"",Cus!$A610,"")</f>
        <v/>
      </c>
      <c r="C610" s="16">
        <v>1</v>
      </c>
      <c r="D610" s="3" t="str">
        <f t="shared" si="54"/>
        <v/>
      </c>
      <c r="E610" s="3">
        <f>IF($C610=1,CommissionDD!$A$30,IF($C610=2,CommissionDD!$A$31,CommissionDD!$A$32))</f>
        <v>1500</v>
      </c>
      <c r="F610" s="3" t="str">
        <f t="shared" si="59"/>
        <v/>
      </c>
      <c r="G610" s="38" t="str">
        <f>IF($A610="","",(VLOOKUP($A610,Cus!$A$2:$AH$1001,23,FALSE)))</f>
        <v/>
      </c>
      <c r="H610" s="3" t="str">
        <f t="shared" si="55"/>
        <v/>
      </c>
      <c r="I610" s="56" t="str">
        <f t="shared" si="56"/>
        <v/>
      </c>
      <c r="J610" s="3" t="str">
        <f t="shared" si="57"/>
        <v/>
      </c>
      <c r="K610" s="7" t="str">
        <f t="shared" si="58"/>
        <v/>
      </c>
    </row>
    <row r="611" spans="1:11">
      <c r="A611" s="1" t="str">
        <f>IF(Cus!$B611&lt;&gt;"",Cus!$A611,"")</f>
        <v/>
      </c>
      <c r="C611" s="16">
        <v>1</v>
      </c>
      <c r="D611" s="3" t="str">
        <f t="shared" si="54"/>
        <v/>
      </c>
      <c r="E611" s="3">
        <f>IF($C611=1,CommissionDD!$A$30,IF($C611=2,CommissionDD!$A$31,CommissionDD!$A$32))</f>
        <v>1500</v>
      </c>
      <c r="F611" s="3" t="str">
        <f t="shared" si="59"/>
        <v/>
      </c>
      <c r="G611" s="38" t="str">
        <f>IF($A611="","",(VLOOKUP($A611,Cus!$A$2:$AH$1001,23,FALSE)))</f>
        <v/>
      </c>
      <c r="H611" s="3" t="str">
        <f t="shared" si="55"/>
        <v/>
      </c>
      <c r="I611" s="56" t="str">
        <f t="shared" si="56"/>
        <v/>
      </c>
      <c r="J611" s="3" t="str">
        <f t="shared" si="57"/>
        <v/>
      </c>
      <c r="K611" s="7" t="str">
        <f t="shared" si="58"/>
        <v/>
      </c>
    </row>
    <row r="612" spans="1:11">
      <c r="A612" s="1" t="str">
        <f>IF(Cus!$B612&lt;&gt;"",Cus!$A612,"")</f>
        <v/>
      </c>
      <c r="C612" s="16">
        <v>1</v>
      </c>
      <c r="D612" s="3" t="str">
        <f t="shared" si="54"/>
        <v/>
      </c>
      <c r="E612" s="3">
        <f>IF($C612=1,CommissionDD!$A$30,IF($C612=2,CommissionDD!$A$31,CommissionDD!$A$32))</f>
        <v>1500</v>
      </c>
      <c r="F612" s="3" t="str">
        <f t="shared" si="59"/>
        <v/>
      </c>
      <c r="G612" s="38" t="str">
        <f>IF($A612="","",(VLOOKUP($A612,Cus!$A$2:$AH$1001,23,FALSE)))</f>
        <v/>
      </c>
      <c r="H612" s="3" t="str">
        <f t="shared" si="55"/>
        <v/>
      </c>
      <c r="I612" s="56" t="str">
        <f t="shared" si="56"/>
        <v/>
      </c>
      <c r="J612" s="3" t="str">
        <f t="shared" si="57"/>
        <v/>
      </c>
      <c r="K612" s="7" t="str">
        <f t="shared" si="58"/>
        <v/>
      </c>
    </row>
    <row r="613" spans="1:11">
      <c r="A613" s="1" t="str">
        <f>IF(Cus!$B613&lt;&gt;"",Cus!$A613,"")</f>
        <v/>
      </c>
      <c r="C613" s="16">
        <v>1</v>
      </c>
      <c r="D613" s="3" t="str">
        <f t="shared" si="54"/>
        <v/>
      </c>
      <c r="E613" s="3">
        <f>IF($C613=1,CommissionDD!$A$30,IF($C613=2,CommissionDD!$A$31,CommissionDD!$A$32))</f>
        <v>1500</v>
      </c>
      <c r="F613" s="3" t="str">
        <f t="shared" si="59"/>
        <v/>
      </c>
      <c r="G613" s="38" t="str">
        <f>IF($A613="","",(VLOOKUP($A613,Cus!$A$2:$AH$1001,23,FALSE)))</f>
        <v/>
      </c>
      <c r="H613" s="3" t="str">
        <f t="shared" si="55"/>
        <v/>
      </c>
      <c r="I613" s="56" t="str">
        <f t="shared" si="56"/>
        <v/>
      </c>
      <c r="J613" s="3" t="str">
        <f t="shared" si="57"/>
        <v/>
      </c>
      <c r="K613" s="7" t="str">
        <f t="shared" si="58"/>
        <v/>
      </c>
    </row>
    <row r="614" spans="1:11">
      <c r="A614" s="1" t="str">
        <f>IF(Cus!$B614&lt;&gt;"",Cus!$A614,"")</f>
        <v/>
      </c>
      <c r="C614" s="16">
        <v>1</v>
      </c>
      <c r="D614" s="3" t="str">
        <f t="shared" si="54"/>
        <v/>
      </c>
      <c r="E614" s="3">
        <f>IF($C614=1,CommissionDD!$A$30,IF($C614=2,CommissionDD!$A$31,CommissionDD!$A$32))</f>
        <v>1500</v>
      </c>
      <c r="F614" s="3" t="str">
        <f t="shared" si="59"/>
        <v/>
      </c>
      <c r="G614" s="38" t="str">
        <f>IF($A614="","",(VLOOKUP($A614,Cus!$A$2:$AH$1001,23,FALSE)))</f>
        <v/>
      </c>
      <c r="H614" s="3" t="str">
        <f t="shared" si="55"/>
        <v/>
      </c>
      <c r="I614" s="56" t="str">
        <f t="shared" si="56"/>
        <v/>
      </c>
      <c r="J614" s="3" t="str">
        <f t="shared" si="57"/>
        <v/>
      </c>
      <c r="K614" s="7" t="str">
        <f t="shared" si="58"/>
        <v/>
      </c>
    </row>
    <row r="615" spans="1:11">
      <c r="A615" s="1" t="str">
        <f>IF(Cus!$B615&lt;&gt;"",Cus!$A615,"")</f>
        <v/>
      </c>
      <c r="C615" s="16">
        <v>1</v>
      </c>
      <c r="D615" s="3" t="str">
        <f t="shared" si="54"/>
        <v/>
      </c>
      <c r="E615" s="3">
        <f>IF($C615=1,CommissionDD!$A$30,IF($C615=2,CommissionDD!$A$31,CommissionDD!$A$32))</f>
        <v>1500</v>
      </c>
      <c r="F615" s="3" t="str">
        <f t="shared" si="59"/>
        <v/>
      </c>
      <c r="G615" s="38" t="str">
        <f>IF($A615="","",(VLOOKUP($A615,Cus!$A$2:$AH$1001,23,FALSE)))</f>
        <v/>
      </c>
      <c r="H615" s="3" t="str">
        <f t="shared" si="55"/>
        <v/>
      </c>
      <c r="I615" s="56" t="str">
        <f t="shared" si="56"/>
        <v/>
      </c>
      <c r="J615" s="3" t="str">
        <f t="shared" si="57"/>
        <v/>
      </c>
      <c r="K615" s="7" t="str">
        <f t="shared" si="58"/>
        <v/>
      </c>
    </row>
    <row r="616" spans="1:11">
      <c r="A616" s="1" t="str">
        <f>IF(Cus!$B616&lt;&gt;"",Cus!$A616,"")</f>
        <v/>
      </c>
      <c r="C616" s="16">
        <v>1</v>
      </c>
      <c r="D616" s="3" t="str">
        <f t="shared" si="54"/>
        <v/>
      </c>
      <c r="E616" s="3">
        <f>IF($C616=1,CommissionDD!$A$30,IF($C616=2,CommissionDD!$A$31,CommissionDD!$A$32))</f>
        <v>1500</v>
      </c>
      <c r="F616" s="3" t="str">
        <f t="shared" si="59"/>
        <v/>
      </c>
      <c r="G616" s="38" t="str">
        <f>IF($A616="","",(VLOOKUP($A616,Cus!$A$2:$AH$1001,23,FALSE)))</f>
        <v/>
      </c>
      <c r="H616" s="3" t="str">
        <f t="shared" si="55"/>
        <v/>
      </c>
      <c r="I616" s="56" t="str">
        <f t="shared" si="56"/>
        <v/>
      </c>
      <c r="J616" s="3" t="str">
        <f t="shared" si="57"/>
        <v/>
      </c>
      <c r="K616" s="7" t="str">
        <f t="shared" si="58"/>
        <v/>
      </c>
    </row>
    <row r="617" spans="1:11">
      <c r="A617" s="1" t="str">
        <f>IF(Cus!$B617&lt;&gt;"",Cus!$A617,"")</f>
        <v/>
      </c>
      <c r="C617" s="16">
        <v>1</v>
      </c>
      <c r="D617" s="3" t="str">
        <f t="shared" si="54"/>
        <v/>
      </c>
      <c r="E617" s="3">
        <f>IF($C617=1,CommissionDD!$A$30,IF($C617=2,CommissionDD!$A$31,CommissionDD!$A$32))</f>
        <v>1500</v>
      </c>
      <c r="F617" s="3" t="str">
        <f t="shared" si="59"/>
        <v/>
      </c>
      <c r="G617" s="38" t="str">
        <f>IF($A617="","",(VLOOKUP($A617,Cus!$A$2:$AH$1001,23,FALSE)))</f>
        <v/>
      </c>
      <c r="H617" s="3" t="str">
        <f t="shared" si="55"/>
        <v/>
      </c>
      <c r="I617" s="56" t="str">
        <f t="shared" si="56"/>
        <v/>
      </c>
      <c r="J617" s="3" t="str">
        <f t="shared" si="57"/>
        <v/>
      </c>
      <c r="K617" s="7" t="str">
        <f t="shared" si="58"/>
        <v/>
      </c>
    </row>
    <row r="618" spans="1:11">
      <c r="A618" s="1" t="str">
        <f>IF(Cus!$B618&lt;&gt;"",Cus!$A618,"")</f>
        <v/>
      </c>
      <c r="C618" s="16">
        <v>1</v>
      </c>
      <c r="D618" s="3" t="str">
        <f t="shared" si="54"/>
        <v/>
      </c>
      <c r="E618" s="3">
        <f>IF($C618=1,CommissionDD!$A$30,IF($C618=2,CommissionDD!$A$31,CommissionDD!$A$32))</f>
        <v>1500</v>
      </c>
      <c r="F618" s="3" t="str">
        <f t="shared" si="59"/>
        <v/>
      </c>
      <c r="G618" s="38" t="str">
        <f>IF($A618="","",(VLOOKUP($A618,Cus!$A$2:$AH$1001,23,FALSE)))</f>
        <v/>
      </c>
      <c r="H618" s="3" t="str">
        <f t="shared" si="55"/>
        <v/>
      </c>
      <c r="I618" s="56" t="str">
        <f t="shared" si="56"/>
        <v/>
      </c>
      <c r="J618" s="3" t="str">
        <f t="shared" si="57"/>
        <v/>
      </c>
      <c r="K618" s="7" t="str">
        <f t="shared" si="58"/>
        <v/>
      </c>
    </row>
    <row r="619" spans="1:11">
      <c r="A619" s="1" t="str">
        <f>IF(Cus!$B619&lt;&gt;"",Cus!$A619,"")</f>
        <v/>
      </c>
      <c r="C619" s="16">
        <v>1</v>
      </c>
      <c r="D619" s="3" t="str">
        <f t="shared" si="54"/>
        <v/>
      </c>
      <c r="E619" s="3">
        <f>IF($C619=1,CommissionDD!$A$30,IF($C619=2,CommissionDD!$A$31,CommissionDD!$A$32))</f>
        <v>1500</v>
      </c>
      <c r="F619" s="3" t="str">
        <f t="shared" si="59"/>
        <v/>
      </c>
      <c r="G619" s="38" t="str">
        <f>IF($A619="","",(VLOOKUP($A619,Cus!$A$2:$AH$1001,23,FALSE)))</f>
        <v/>
      </c>
      <c r="H619" s="3" t="str">
        <f t="shared" si="55"/>
        <v/>
      </c>
      <c r="I619" s="56" t="str">
        <f t="shared" si="56"/>
        <v/>
      </c>
      <c r="J619" s="3" t="str">
        <f t="shared" si="57"/>
        <v/>
      </c>
      <c r="K619" s="7" t="str">
        <f t="shared" si="58"/>
        <v/>
      </c>
    </row>
    <row r="620" spans="1:11">
      <c r="A620" s="1" t="str">
        <f>IF(Cus!$B620&lt;&gt;"",Cus!$A620,"")</f>
        <v/>
      </c>
      <c r="C620" s="16">
        <v>1</v>
      </c>
      <c r="D620" s="3" t="str">
        <f t="shared" si="54"/>
        <v/>
      </c>
      <c r="E620" s="3">
        <f>IF($C620=1,CommissionDD!$A$30,IF($C620=2,CommissionDD!$A$31,CommissionDD!$A$32))</f>
        <v>1500</v>
      </c>
      <c r="F620" s="3" t="str">
        <f t="shared" si="59"/>
        <v/>
      </c>
      <c r="G620" s="38" t="str">
        <f>IF($A620="","",(VLOOKUP($A620,Cus!$A$2:$AH$1001,23,FALSE)))</f>
        <v/>
      </c>
      <c r="H620" s="3" t="str">
        <f t="shared" si="55"/>
        <v/>
      </c>
      <c r="I620" s="56" t="str">
        <f t="shared" si="56"/>
        <v/>
      </c>
      <c r="J620" s="3" t="str">
        <f t="shared" si="57"/>
        <v/>
      </c>
      <c r="K620" s="7" t="str">
        <f t="shared" si="58"/>
        <v/>
      </c>
    </row>
    <row r="621" spans="1:11">
      <c r="A621" s="1" t="str">
        <f>IF(Cus!$B621&lt;&gt;"",Cus!$A621,"")</f>
        <v/>
      </c>
      <c r="C621" s="16">
        <v>1</v>
      </c>
      <c r="D621" s="3" t="str">
        <f t="shared" si="54"/>
        <v/>
      </c>
      <c r="E621" s="3">
        <f>IF($C621=1,CommissionDD!$A$30,IF($C621=2,CommissionDD!$A$31,CommissionDD!$A$32))</f>
        <v>1500</v>
      </c>
      <c r="F621" s="3" t="str">
        <f t="shared" si="59"/>
        <v/>
      </c>
      <c r="G621" s="38" t="str">
        <f>IF($A621="","",(VLOOKUP($A621,Cus!$A$2:$AH$1001,23,FALSE)))</f>
        <v/>
      </c>
      <c r="H621" s="3" t="str">
        <f t="shared" si="55"/>
        <v/>
      </c>
      <c r="I621" s="56" t="str">
        <f t="shared" si="56"/>
        <v/>
      </c>
      <c r="J621" s="3" t="str">
        <f t="shared" si="57"/>
        <v/>
      </c>
      <c r="K621" s="7" t="str">
        <f t="shared" si="58"/>
        <v/>
      </c>
    </row>
    <row r="622" spans="1:11">
      <c r="A622" s="1" t="str">
        <f>IF(Cus!$B622&lt;&gt;"",Cus!$A622,"")</f>
        <v/>
      </c>
      <c r="C622" s="16">
        <v>1</v>
      </c>
      <c r="D622" s="3" t="str">
        <f t="shared" si="54"/>
        <v/>
      </c>
      <c r="E622" s="3">
        <f>IF($C622=1,CommissionDD!$A$30,IF($C622=2,CommissionDD!$A$31,CommissionDD!$A$32))</f>
        <v>1500</v>
      </c>
      <c r="F622" s="3" t="str">
        <f t="shared" si="59"/>
        <v/>
      </c>
      <c r="G622" s="38" t="str">
        <f>IF($A622="","",(VLOOKUP($A622,Cus!$A$2:$AH$1001,23,FALSE)))</f>
        <v/>
      </c>
      <c r="H622" s="3" t="str">
        <f t="shared" si="55"/>
        <v/>
      </c>
      <c r="I622" s="56" t="str">
        <f t="shared" si="56"/>
        <v/>
      </c>
      <c r="J622" s="3" t="str">
        <f t="shared" si="57"/>
        <v/>
      </c>
      <c r="K622" s="7" t="str">
        <f t="shared" si="58"/>
        <v/>
      </c>
    </row>
    <row r="623" spans="1:11">
      <c r="A623" s="1" t="str">
        <f>IF(Cus!$B623&lt;&gt;"",Cus!$A623,"")</f>
        <v/>
      </c>
      <c r="C623" s="16">
        <v>1</v>
      </c>
      <c r="D623" s="3" t="str">
        <f t="shared" si="54"/>
        <v/>
      </c>
      <c r="E623" s="3">
        <f>IF($C623=1,CommissionDD!$A$30,IF($C623=2,CommissionDD!$A$31,CommissionDD!$A$32))</f>
        <v>1500</v>
      </c>
      <c r="F623" s="3" t="str">
        <f t="shared" si="59"/>
        <v/>
      </c>
      <c r="G623" s="38" t="str">
        <f>IF($A623="","",(VLOOKUP($A623,Cus!$A$2:$AH$1001,23,FALSE)))</f>
        <v/>
      </c>
      <c r="H623" s="3" t="str">
        <f t="shared" si="55"/>
        <v/>
      </c>
      <c r="I623" s="56" t="str">
        <f t="shared" si="56"/>
        <v/>
      </c>
      <c r="J623" s="3" t="str">
        <f t="shared" si="57"/>
        <v/>
      </c>
      <c r="K623" s="7" t="str">
        <f t="shared" si="58"/>
        <v/>
      </c>
    </row>
    <row r="624" spans="1:11">
      <c r="A624" s="1" t="str">
        <f>IF(Cus!$B624&lt;&gt;"",Cus!$A624,"")</f>
        <v/>
      </c>
      <c r="C624" s="16">
        <v>1</v>
      </c>
      <c r="D624" s="3" t="str">
        <f t="shared" si="54"/>
        <v/>
      </c>
      <c r="E624" s="3">
        <f>IF($C624=1,CommissionDD!$A$30,IF($C624=2,CommissionDD!$A$31,CommissionDD!$A$32))</f>
        <v>1500</v>
      </c>
      <c r="F624" s="3" t="str">
        <f t="shared" si="59"/>
        <v/>
      </c>
      <c r="G624" s="38" t="str">
        <f>IF($A624="","",(VLOOKUP($A624,Cus!$A$2:$AH$1001,23,FALSE)))</f>
        <v/>
      </c>
      <c r="H624" s="3" t="str">
        <f t="shared" si="55"/>
        <v/>
      </c>
      <c r="I624" s="56" t="str">
        <f t="shared" si="56"/>
        <v/>
      </c>
      <c r="J624" s="3" t="str">
        <f t="shared" si="57"/>
        <v/>
      </c>
      <c r="K624" s="7" t="str">
        <f t="shared" si="58"/>
        <v/>
      </c>
    </row>
    <row r="625" spans="1:11">
      <c r="A625" s="1" t="str">
        <f>IF(Cus!$B625&lt;&gt;"",Cus!$A625,"")</f>
        <v/>
      </c>
      <c r="C625" s="16">
        <v>1</v>
      </c>
      <c r="D625" s="3" t="str">
        <f t="shared" si="54"/>
        <v/>
      </c>
      <c r="E625" s="3">
        <f>IF($C625=1,CommissionDD!$A$30,IF($C625=2,CommissionDD!$A$31,CommissionDD!$A$32))</f>
        <v>1500</v>
      </c>
      <c r="F625" s="3" t="str">
        <f t="shared" si="59"/>
        <v/>
      </c>
      <c r="G625" s="38" t="str">
        <f>IF($A625="","",(VLOOKUP($A625,Cus!$A$2:$AH$1001,23,FALSE)))</f>
        <v/>
      </c>
      <c r="H625" s="3" t="str">
        <f t="shared" si="55"/>
        <v/>
      </c>
      <c r="I625" s="56" t="str">
        <f t="shared" si="56"/>
        <v/>
      </c>
      <c r="J625" s="3" t="str">
        <f t="shared" si="57"/>
        <v/>
      </c>
      <c r="K625" s="7" t="str">
        <f t="shared" si="58"/>
        <v/>
      </c>
    </row>
    <row r="626" spans="1:11">
      <c r="A626" s="1" t="str">
        <f>IF(Cus!$B626&lt;&gt;"",Cus!$A626,"")</f>
        <v/>
      </c>
      <c r="C626" s="16">
        <v>1</v>
      </c>
      <c r="D626" s="3" t="str">
        <f t="shared" si="54"/>
        <v/>
      </c>
      <c r="E626" s="3">
        <f>IF($C626=1,CommissionDD!$A$30,IF($C626=2,CommissionDD!$A$31,CommissionDD!$A$32))</f>
        <v>1500</v>
      </c>
      <c r="F626" s="3" t="str">
        <f t="shared" si="59"/>
        <v/>
      </c>
      <c r="G626" s="38" t="str">
        <f>IF($A626="","",(VLOOKUP($A626,Cus!$A$2:$AH$1001,23,FALSE)))</f>
        <v/>
      </c>
      <c r="H626" s="3" t="str">
        <f t="shared" si="55"/>
        <v/>
      </c>
      <c r="I626" s="56" t="str">
        <f t="shared" si="56"/>
        <v/>
      </c>
      <c r="J626" s="3" t="str">
        <f t="shared" si="57"/>
        <v/>
      </c>
      <c r="K626" s="7" t="str">
        <f t="shared" si="58"/>
        <v/>
      </c>
    </row>
    <row r="627" spans="1:11">
      <c r="A627" s="1" t="str">
        <f>IF(Cus!$B627&lt;&gt;"",Cus!$A627,"")</f>
        <v/>
      </c>
      <c r="C627" s="16">
        <v>1</v>
      </c>
      <c r="D627" s="3" t="str">
        <f t="shared" si="54"/>
        <v/>
      </c>
      <c r="E627" s="3">
        <f>IF($C627=1,CommissionDD!$A$30,IF($C627=2,CommissionDD!$A$31,CommissionDD!$A$32))</f>
        <v>1500</v>
      </c>
      <c r="F627" s="3" t="str">
        <f t="shared" si="59"/>
        <v/>
      </c>
      <c r="G627" s="38" t="str">
        <f>IF($A627="","",(VLOOKUP($A627,Cus!$A$2:$AH$1001,23,FALSE)))</f>
        <v/>
      </c>
      <c r="H627" s="3" t="str">
        <f t="shared" si="55"/>
        <v/>
      </c>
      <c r="I627" s="56" t="str">
        <f t="shared" si="56"/>
        <v/>
      </c>
      <c r="J627" s="3" t="str">
        <f t="shared" si="57"/>
        <v/>
      </c>
      <c r="K627" s="7" t="str">
        <f t="shared" si="58"/>
        <v/>
      </c>
    </row>
    <row r="628" spans="1:11">
      <c r="A628" s="1" t="str">
        <f>IF(Cus!$B628&lt;&gt;"",Cus!$A628,"")</f>
        <v/>
      </c>
      <c r="C628" s="16">
        <v>1</v>
      </c>
      <c r="D628" s="3" t="str">
        <f t="shared" si="54"/>
        <v/>
      </c>
      <c r="E628" s="3">
        <f>IF($C628=1,CommissionDD!$A$30,IF($C628=2,CommissionDD!$A$31,CommissionDD!$A$32))</f>
        <v>1500</v>
      </c>
      <c r="F628" s="3" t="str">
        <f t="shared" si="59"/>
        <v/>
      </c>
      <c r="G628" s="38" t="str">
        <f>IF($A628="","",(VLOOKUP($A628,Cus!$A$2:$AH$1001,23,FALSE)))</f>
        <v/>
      </c>
      <c r="H628" s="3" t="str">
        <f t="shared" si="55"/>
        <v/>
      </c>
      <c r="I628" s="56" t="str">
        <f t="shared" si="56"/>
        <v/>
      </c>
      <c r="J628" s="3" t="str">
        <f t="shared" si="57"/>
        <v/>
      </c>
      <c r="K628" s="7" t="str">
        <f t="shared" si="58"/>
        <v/>
      </c>
    </row>
    <row r="629" spans="1:11">
      <c r="A629" s="1" t="str">
        <f>IF(Cus!$B629&lt;&gt;"",Cus!$A629,"")</f>
        <v/>
      </c>
      <c r="C629" s="16">
        <v>1</v>
      </c>
      <c r="D629" s="3" t="str">
        <f t="shared" si="54"/>
        <v/>
      </c>
      <c r="E629" s="3">
        <f>IF($C629=1,CommissionDD!$A$30,IF($C629=2,CommissionDD!$A$31,CommissionDD!$A$32))</f>
        <v>1500</v>
      </c>
      <c r="F629" s="3" t="str">
        <f t="shared" si="59"/>
        <v/>
      </c>
      <c r="G629" s="38" t="str">
        <f>IF($A629="","",(VLOOKUP($A629,Cus!$A$2:$AH$1001,23,FALSE)))</f>
        <v/>
      </c>
      <c r="H629" s="3" t="str">
        <f t="shared" si="55"/>
        <v/>
      </c>
      <c r="I629" s="56" t="str">
        <f t="shared" si="56"/>
        <v/>
      </c>
      <c r="J629" s="3" t="str">
        <f t="shared" si="57"/>
        <v/>
      </c>
      <c r="K629" s="7" t="str">
        <f t="shared" si="58"/>
        <v/>
      </c>
    </row>
    <row r="630" spans="1:11">
      <c r="A630" s="1" t="str">
        <f>IF(Cus!$B630&lt;&gt;"",Cus!$A630,"")</f>
        <v/>
      </c>
      <c r="C630" s="16">
        <v>1</v>
      </c>
      <c r="D630" s="3" t="str">
        <f t="shared" si="54"/>
        <v/>
      </c>
      <c r="E630" s="3">
        <f>IF($C630=1,CommissionDD!$A$30,IF($C630=2,CommissionDD!$A$31,CommissionDD!$A$32))</f>
        <v>1500</v>
      </c>
      <c r="F630" s="3" t="str">
        <f t="shared" si="59"/>
        <v/>
      </c>
      <c r="G630" s="38" t="str">
        <f>IF($A630="","",(VLOOKUP($A630,Cus!$A$2:$AH$1001,23,FALSE)))</f>
        <v/>
      </c>
      <c r="H630" s="3" t="str">
        <f t="shared" si="55"/>
        <v/>
      </c>
      <c r="I630" s="56" t="str">
        <f t="shared" si="56"/>
        <v/>
      </c>
      <c r="J630" s="3" t="str">
        <f t="shared" si="57"/>
        <v/>
      </c>
      <c r="K630" s="7" t="str">
        <f t="shared" si="58"/>
        <v/>
      </c>
    </row>
    <row r="631" spans="1:11">
      <c r="A631" s="1" t="str">
        <f>IF(Cus!$B631&lt;&gt;"",Cus!$A631,"")</f>
        <v/>
      </c>
      <c r="C631" s="16">
        <v>1</v>
      </c>
      <c r="D631" s="3" t="str">
        <f t="shared" si="54"/>
        <v/>
      </c>
      <c r="E631" s="3">
        <f>IF($C631=1,CommissionDD!$A$30,IF($C631=2,CommissionDD!$A$31,CommissionDD!$A$32))</f>
        <v>1500</v>
      </c>
      <c r="F631" s="3" t="str">
        <f t="shared" si="59"/>
        <v/>
      </c>
      <c r="G631" s="38" t="str">
        <f>IF($A631="","",(VLOOKUP($A631,Cus!$A$2:$AH$1001,23,FALSE)))</f>
        <v/>
      </c>
      <c r="H631" s="3" t="str">
        <f t="shared" si="55"/>
        <v/>
      </c>
      <c r="I631" s="56" t="str">
        <f t="shared" si="56"/>
        <v/>
      </c>
      <c r="J631" s="3" t="str">
        <f t="shared" si="57"/>
        <v/>
      </c>
      <c r="K631" s="7" t="str">
        <f t="shared" si="58"/>
        <v/>
      </c>
    </row>
    <row r="632" spans="1:11">
      <c r="A632" s="1" t="str">
        <f>IF(Cus!$B632&lt;&gt;"",Cus!$A632,"")</f>
        <v/>
      </c>
      <c r="C632" s="16">
        <v>1</v>
      </c>
      <c r="D632" s="3" t="str">
        <f t="shared" si="54"/>
        <v/>
      </c>
      <c r="E632" s="3">
        <f>IF($C632=1,CommissionDD!$A$30,IF($C632=2,CommissionDD!$A$31,CommissionDD!$A$32))</f>
        <v>1500</v>
      </c>
      <c r="F632" s="3" t="str">
        <f t="shared" si="59"/>
        <v/>
      </c>
      <c r="G632" s="38" t="str">
        <f>IF($A632="","",(VLOOKUP($A632,Cus!$A$2:$AH$1001,23,FALSE)))</f>
        <v/>
      </c>
      <c r="H632" s="3" t="str">
        <f t="shared" si="55"/>
        <v/>
      </c>
      <c r="I632" s="56" t="str">
        <f t="shared" si="56"/>
        <v/>
      </c>
      <c r="J632" s="3" t="str">
        <f t="shared" si="57"/>
        <v/>
      </c>
      <c r="K632" s="7" t="str">
        <f t="shared" si="58"/>
        <v/>
      </c>
    </row>
    <row r="633" spans="1:11">
      <c r="A633" s="1" t="str">
        <f>IF(Cus!$B633&lt;&gt;"",Cus!$A633,"")</f>
        <v/>
      </c>
      <c r="C633" s="16">
        <v>1</v>
      </c>
      <c r="D633" s="3" t="str">
        <f t="shared" si="54"/>
        <v/>
      </c>
      <c r="E633" s="3">
        <f>IF($C633=1,CommissionDD!$A$30,IF($C633=2,CommissionDD!$A$31,CommissionDD!$A$32))</f>
        <v>1500</v>
      </c>
      <c r="F633" s="3" t="str">
        <f t="shared" si="59"/>
        <v/>
      </c>
      <c r="G633" s="38" t="str">
        <f>IF($A633="","",(VLOOKUP($A633,Cus!$A$2:$AH$1001,23,FALSE)))</f>
        <v/>
      </c>
      <c r="H633" s="3" t="str">
        <f t="shared" si="55"/>
        <v/>
      </c>
      <c r="I633" s="56" t="str">
        <f t="shared" si="56"/>
        <v/>
      </c>
      <c r="J633" s="3" t="str">
        <f t="shared" si="57"/>
        <v/>
      </c>
      <c r="K633" s="7" t="str">
        <f t="shared" si="58"/>
        <v/>
      </c>
    </row>
    <row r="634" spans="1:11">
      <c r="A634" s="1" t="str">
        <f>IF(Cus!$B634&lt;&gt;"",Cus!$A634,"")</f>
        <v/>
      </c>
      <c r="C634" s="16">
        <v>1</v>
      </c>
      <c r="D634" s="3" t="str">
        <f t="shared" si="54"/>
        <v/>
      </c>
      <c r="E634" s="3">
        <f>IF($C634=1,CommissionDD!$A$30,IF($C634=2,CommissionDD!$A$31,CommissionDD!$A$32))</f>
        <v>1500</v>
      </c>
      <c r="F634" s="3" t="str">
        <f t="shared" si="59"/>
        <v/>
      </c>
      <c r="G634" s="38" t="str">
        <f>IF($A634="","",(VLOOKUP($A634,Cus!$A$2:$AH$1001,23,FALSE)))</f>
        <v/>
      </c>
      <c r="H634" s="3" t="str">
        <f t="shared" si="55"/>
        <v/>
      </c>
      <c r="I634" s="56" t="str">
        <f t="shared" si="56"/>
        <v/>
      </c>
      <c r="J634" s="3" t="str">
        <f t="shared" si="57"/>
        <v/>
      </c>
      <c r="K634" s="7" t="str">
        <f t="shared" si="58"/>
        <v/>
      </c>
    </row>
    <row r="635" spans="1:11">
      <c r="A635" s="1" t="str">
        <f>IF(Cus!$B635&lt;&gt;"",Cus!$A635,"")</f>
        <v/>
      </c>
      <c r="C635" s="16">
        <v>1</v>
      </c>
      <c r="D635" s="3" t="str">
        <f t="shared" si="54"/>
        <v/>
      </c>
      <c r="E635" s="3">
        <f>IF($C635=1,CommissionDD!$A$30,IF($C635=2,CommissionDD!$A$31,CommissionDD!$A$32))</f>
        <v>1500</v>
      </c>
      <c r="F635" s="3" t="str">
        <f t="shared" si="59"/>
        <v/>
      </c>
      <c r="G635" s="38" t="str">
        <f>IF($A635="","",(VLOOKUP($A635,Cus!$A$2:$AH$1001,23,FALSE)))</f>
        <v/>
      </c>
      <c r="H635" s="3" t="str">
        <f t="shared" si="55"/>
        <v/>
      </c>
      <c r="I635" s="56" t="str">
        <f t="shared" si="56"/>
        <v/>
      </c>
      <c r="J635" s="3" t="str">
        <f t="shared" si="57"/>
        <v/>
      </c>
      <c r="K635" s="7" t="str">
        <f t="shared" si="58"/>
        <v/>
      </c>
    </row>
    <row r="636" spans="1:11">
      <c r="A636" s="1" t="str">
        <f>IF(Cus!$B636&lt;&gt;"",Cus!$A636,"")</f>
        <v/>
      </c>
      <c r="C636" s="16">
        <v>1</v>
      </c>
      <c r="D636" s="3" t="str">
        <f t="shared" si="54"/>
        <v/>
      </c>
      <c r="E636" s="3">
        <f>IF($C636=1,CommissionDD!$A$30,IF($C636=2,CommissionDD!$A$31,CommissionDD!$A$32))</f>
        <v>1500</v>
      </c>
      <c r="F636" s="3" t="str">
        <f t="shared" si="59"/>
        <v/>
      </c>
      <c r="G636" s="38" t="str">
        <f>IF($A636="","",(VLOOKUP($A636,Cus!$A$2:$AH$1001,23,FALSE)))</f>
        <v/>
      </c>
      <c r="H636" s="3" t="str">
        <f t="shared" si="55"/>
        <v/>
      </c>
      <c r="I636" s="56" t="str">
        <f t="shared" si="56"/>
        <v/>
      </c>
      <c r="J636" s="3" t="str">
        <f t="shared" si="57"/>
        <v/>
      </c>
      <c r="K636" s="7" t="str">
        <f t="shared" si="58"/>
        <v/>
      </c>
    </row>
    <row r="637" spans="1:11">
      <c r="A637" s="1" t="str">
        <f>IF(Cus!$B637&lt;&gt;"",Cus!$A637,"")</f>
        <v/>
      </c>
      <c r="C637" s="16">
        <v>1</v>
      </c>
      <c r="D637" s="3" t="str">
        <f t="shared" si="54"/>
        <v/>
      </c>
      <c r="E637" s="3">
        <f>IF($C637=1,CommissionDD!$A$30,IF($C637=2,CommissionDD!$A$31,CommissionDD!$A$32))</f>
        <v>1500</v>
      </c>
      <c r="F637" s="3" t="str">
        <f t="shared" si="59"/>
        <v/>
      </c>
      <c r="G637" s="38" t="str">
        <f>IF($A637="","",(VLOOKUP($A637,Cus!$A$2:$AH$1001,23,FALSE)))</f>
        <v/>
      </c>
      <c r="H637" s="3" t="str">
        <f t="shared" si="55"/>
        <v/>
      </c>
      <c r="I637" s="56" t="str">
        <f t="shared" si="56"/>
        <v/>
      </c>
      <c r="J637" s="3" t="str">
        <f t="shared" si="57"/>
        <v/>
      </c>
      <c r="K637" s="7" t="str">
        <f t="shared" si="58"/>
        <v/>
      </c>
    </row>
    <row r="638" spans="1:11">
      <c r="A638" s="1" t="str">
        <f>IF(Cus!$B638&lt;&gt;"",Cus!$A638,"")</f>
        <v/>
      </c>
      <c r="C638" s="16">
        <v>1</v>
      </c>
      <c r="D638" s="3" t="str">
        <f t="shared" si="54"/>
        <v/>
      </c>
      <c r="E638" s="3">
        <f>IF($C638=1,CommissionDD!$A$30,IF($C638=2,CommissionDD!$A$31,CommissionDD!$A$32))</f>
        <v>1500</v>
      </c>
      <c r="F638" s="3" t="str">
        <f t="shared" si="59"/>
        <v/>
      </c>
      <c r="G638" s="38" t="str">
        <f>IF($A638="","",(VLOOKUP($A638,Cus!$A$2:$AH$1001,23,FALSE)))</f>
        <v/>
      </c>
      <c r="H638" s="3" t="str">
        <f t="shared" si="55"/>
        <v/>
      </c>
      <c r="I638" s="56" t="str">
        <f t="shared" si="56"/>
        <v/>
      </c>
      <c r="J638" s="3" t="str">
        <f t="shared" si="57"/>
        <v/>
      </c>
      <c r="K638" s="7" t="str">
        <f t="shared" si="58"/>
        <v/>
      </c>
    </row>
    <row r="639" spans="1:11">
      <c r="A639" s="1" t="str">
        <f>IF(Cus!$B639&lt;&gt;"",Cus!$A639,"")</f>
        <v/>
      </c>
      <c r="C639" s="16">
        <v>1</v>
      </c>
      <c r="D639" s="3" t="str">
        <f t="shared" si="54"/>
        <v/>
      </c>
      <c r="E639" s="3">
        <f>IF($C639=1,CommissionDD!$A$30,IF($C639=2,CommissionDD!$A$31,CommissionDD!$A$32))</f>
        <v>1500</v>
      </c>
      <c r="F639" s="3" t="str">
        <f t="shared" si="59"/>
        <v/>
      </c>
      <c r="G639" s="38" t="str">
        <f>IF($A639="","",(VLOOKUP($A639,Cus!$A$2:$AH$1001,23,FALSE)))</f>
        <v/>
      </c>
      <c r="H639" s="3" t="str">
        <f t="shared" si="55"/>
        <v/>
      </c>
      <c r="I639" s="56" t="str">
        <f t="shared" si="56"/>
        <v/>
      </c>
      <c r="J639" s="3" t="str">
        <f t="shared" si="57"/>
        <v/>
      </c>
      <c r="K639" s="7" t="str">
        <f t="shared" si="58"/>
        <v/>
      </c>
    </row>
    <row r="640" spans="1:11">
      <c r="A640" s="1" t="str">
        <f>IF(Cus!$B640&lt;&gt;"",Cus!$A640,"")</f>
        <v/>
      </c>
      <c r="C640" s="16">
        <v>1</v>
      </c>
      <c r="D640" s="3" t="str">
        <f t="shared" si="54"/>
        <v/>
      </c>
      <c r="E640" s="3">
        <f>IF($C640=1,CommissionDD!$A$30,IF($C640=2,CommissionDD!$A$31,CommissionDD!$A$32))</f>
        <v>1500</v>
      </c>
      <c r="F640" s="3" t="str">
        <f t="shared" si="59"/>
        <v/>
      </c>
      <c r="G640" s="38" t="str">
        <f>IF($A640="","",(VLOOKUP($A640,Cus!$A$2:$AH$1001,23,FALSE)))</f>
        <v/>
      </c>
      <c r="H640" s="3" t="str">
        <f t="shared" si="55"/>
        <v/>
      </c>
      <c r="I640" s="56" t="str">
        <f t="shared" si="56"/>
        <v/>
      </c>
      <c r="J640" s="3" t="str">
        <f t="shared" si="57"/>
        <v/>
      </c>
      <c r="K640" s="7" t="str">
        <f t="shared" si="58"/>
        <v/>
      </c>
    </row>
    <row r="641" spans="1:11">
      <c r="A641" s="1" t="str">
        <f>IF(Cus!$B641&lt;&gt;"",Cus!$A641,"")</f>
        <v/>
      </c>
      <c r="C641" s="16">
        <v>1</v>
      </c>
      <c r="D641" s="3" t="str">
        <f t="shared" si="54"/>
        <v/>
      </c>
      <c r="E641" s="3">
        <f>IF($C641=1,CommissionDD!$A$30,IF($C641=2,CommissionDD!$A$31,CommissionDD!$A$32))</f>
        <v>1500</v>
      </c>
      <c r="F641" s="3" t="str">
        <f t="shared" si="59"/>
        <v/>
      </c>
      <c r="G641" s="38" t="str">
        <f>IF($A641="","",(VLOOKUP($A641,Cus!$A$2:$AH$1001,23,FALSE)))</f>
        <v/>
      </c>
      <c r="H641" s="3" t="str">
        <f t="shared" si="55"/>
        <v/>
      </c>
      <c r="I641" s="56" t="str">
        <f t="shared" si="56"/>
        <v/>
      </c>
      <c r="J641" s="3" t="str">
        <f t="shared" si="57"/>
        <v/>
      </c>
      <c r="K641" s="7" t="str">
        <f t="shared" si="58"/>
        <v/>
      </c>
    </row>
    <row r="642" spans="1:11">
      <c r="A642" s="1" t="str">
        <f>IF(Cus!$B642&lt;&gt;"",Cus!$A642,"")</f>
        <v/>
      </c>
      <c r="C642" s="16">
        <v>1</v>
      </c>
      <c r="D642" s="3" t="str">
        <f t="shared" ref="D642:D700" si="60">IF($A642="","",1500)</f>
        <v/>
      </c>
      <c r="E642" s="3">
        <f>IF($C642=1,CommissionDD!$A$30,IF($C642=2,CommissionDD!$A$31,CommissionDD!$A$32))</f>
        <v>1500</v>
      </c>
      <c r="F642" s="3" t="str">
        <f t="shared" si="59"/>
        <v/>
      </c>
      <c r="G642" s="38" t="str">
        <f>IF($A642="","",(VLOOKUP($A642,Cus!$A$2:$AH$1001,23,FALSE)))</f>
        <v/>
      </c>
      <c r="H642" s="3" t="str">
        <f t="shared" ref="H642:H700" si="61">IF($A642="","",395)</f>
        <v/>
      </c>
      <c r="I642" s="56" t="str">
        <f t="shared" ref="I642:I700" si="62">IF($A642="","",60)</f>
        <v/>
      </c>
      <c r="J642" s="3" t="str">
        <f t="shared" ref="J642:J700" si="63">IF($A642="","",$H642*$I642)</f>
        <v/>
      </c>
      <c r="K642" s="7" t="str">
        <f t="shared" ref="K642:K700" si="64">IF($G642="","",(DATE(YEAR($G642),MONTH($G642)+$C642,MIN(DAY($G642)))))</f>
        <v/>
      </c>
    </row>
    <row r="643" spans="1:11">
      <c r="A643" s="1" t="str">
        <f>IF(Cus!$B643&lt;&gt;"",Cus!$A643,"")</f>
        <v/>
      </c>
      <c r="C643" s="16">
        <v>1</v>
      </c>
      <c r="D643" s="3" t="str">
        <f t="shared" si="60"/>
        <v/>
      </c>
      <c r="E643" s="3">
        <f>IF($C643=1,CommissionDD!$A$30,IF($C643=2,CommissionDD!$A$31,CommissionDD!$A$32))</f>
        <v>1500</v>
      </c>
      <c r="F643" s="3" t="str">
        <f t="shared" ref="F643:F700" si="65">IF($A643="","",$D643-$E643)</f>
        <v/>
      </c>
      <c r="G643" s="38" t="str">
        <f>IF($A643="","",(VLOOKUP($A643,Cus!$A$2:$AH$1001,23,FALSE)))</f>
        <v/>
      </c>
      <c r="H643" s="3" t="str">
        <f t="shared" si="61"/>
        <v/>
      </c>
      <c r="I643" s="56" t="str">
        <f t="shared" si="62"/>
        <v/>
      </c>
      <c r="J643" s="3" t="str">
        <f t="shared" si="63"/>
        <v/>
      </c>
      <c r="K643" s="7" t="str">
        <f t="shared" si="64"/>
        <v/>
      </c>
    </row>
    <row r="644" spans="1:11">
      <c r="A644" s="1" t="str">
        <f>IF(Cus!$B644&lt;&gt;"",Cus!$A644,"")</f>
        <v/>
      </c>
      <c r="C644" s="16">
        <v>1</v>
      </c>
      <c r="D644" s="3" t="str">
        <f t="shared" si="60"/>
        <v/>
      </c>
      <c r="E644" s="3">
        <f>IF($C644=1,CommissionDD!$A$30,IF($C644=2,CommissionDD!$A$31,CommissionDD!$A$32))</f>
        <v>1500</v>
      </c>
      <c r="F644" s="3" t="str">
        <f t="shared" si="65"/>
        <v/>
      </c>
      <c r="G644" s="38" t="str">
        <f>IF($A644="","",(VLOOKUP($A644,Cus!$A$2:$AH$1001,23,FALSE)))</f>
        <v/>
      </c>
      <c r="H644" s="3" t="str">
        <f t="shared" si="61"/>
        <v/>
      </c>
      <c r="I644" s="56" t="str">
        <f t="shared" si="62"/>
        <v/>
      </c>
      <c r="J644" s="3" t="str">
        <f t="shared" si="63"/>
        <v/>
      </c>
      <c r="K644" s="7" t="str">
        <f t="shared" si="64"/>
        <v/>
      </c>
    </row>
    <row r="645" spans="1:11">
      <c r="A645" s="1" t="str">
        <f>IF(Cus!$B645&lt;&gt;"",Cus!$A645,"")</f>
        <v/>
      </c>
      <c r="C645" s="16">
        <v>1</v>
      </c>
      <c r="D645" s="3" t="str">
        <f t="shared" si="60"/>
        <v/>
      </c>
      <c r="E645" s="3">
        <f>IF($C645=1,CommissionDD!$A$30,IF($C645=2,CommissionDD!$A$31,CommissionDD!$A$32))</f>
        <v>1500</v>
      </c>
      <c r="F645" s="3" t="str">
        <f t="shared" si="65"/>
        <v/>
      </c>
      <c r="G645" s="38" t="str">
        <f>IF($A645="","",(VLOOKUP($A645,Cus!$A$2:$AH$1001,23,FALSE)))</f>
        <v/>
      </c>
      <c r="H645" s="3" t="str">
        <f t="shared" si="61"/>
        <v/>
      </c>
      <c r="I645" s="56" t="str">
        <f t="shared" si="62"/>
        <v/>
      </c>
      <c r="J645" s="3" t="str">
        <f t="shared" si="63"/>
        <v/>
      </c>
      <c r="K645" s="7" t="str">
        <f t="shared" si="64"/>
        <v/>
      </c>
    </row>
    <row r="646" spans="1:11">
      <c r="A646" s="1" t="str">
        <f>IF(Cus!$B646&lt;&gt;"",Cus!$A646,"")</f>
        <v/>
      </c>
      <c r="C646" s="16">
        <v>1</v>
      </c>
      <c r="D646" s="3" t="str">
        <f t="shared" si="60"/>
        <v/>
      </c>
      <c r="E646" s="3">
        <f>IF($C646=1,CommissionDD!$A$30,IF($C646=2,CommissionDD!$A$31,CommissionDD!$A$32))</f>
        <v>1500</v>
      </c>
      <c r="F646" s="3" t="str">
        <f t="shared" si="65"/>
        <v/>
      </c>
      <c r="G646" s="38" t="str">
        <f>IF($A646="","",(VLOOKUP($A646,Cus!$A$2:$AH$1001,23,FALSE)))</f>
        <v/>
      </c>
      <c r="H646" s="3" t="str">
        <f t="shared" si="61"/>
        <v/>
      </c>
      <c r="I646" s="56" t="str">
        <f t="shared" si="62"/>
        <v/>
      </c>
      <c r="J646" s="3" t="str">
        <f t="shared" si="63"/>
        <v/>
      </c>
      <c r="K646" s="7" t="str">
        <f t="shared" si="64"/>
        <v/>
      </c>
    </row>
    <row r="647" spans="1:11">
      <c r="A647" s="1" t="str">
        <f>IF(Cus!$B647&lt;&gt;"",Cus!$A647,"")</f>
        <v/>
      </c>
      <c r="C647" s="16">
        <v>1</v>
      </c>
      <c r="D647" s="3" t="str">
        <f t="shared" si="60"/>
        <v/>
      </c>
      <c r="E647" s="3">
        <f>IF($C647=1,CommissionDD!$A$30,IF($C647=2,CommissionDD!$A$31,CommissionDD!$A$32))</f>
        <v>1500</v>
      </c>
      <c r="F647" s="3" t="str">
        <f t="shared" si="65"/>
        <v/>
      </c>
      <c r="G647" s="38" t="str">
        <f>IF($A647="","",(VLOOKUP($A647,Cus!$A$2:$AH$1001,23,FALSE)))</f>
        <v/>
      </c>
      <c r="H647" s="3" t="str">
        <f t="shared" si="61"/>
        <v/>
      </c>
      <c r="I647" s="56" t="str">
        <f t="shared" si="62"/>
        <v/>
      </c>
      <c r="J647" s="3" t="str">
        <f t="shared" si="63"/>
        <v/>
      </c>
      <c r="K647" s="7" t="str">
        <f t="shared" si="64"/>
        <v/>
      </c>
    </row>
    <row r="648" spans="1:11">
      <c r="A648" s="1" t="str">
        <f>IF(Cus!$B648&lt;&gt;"",Cus!$A648,"")</f>
        <v/>
      </c>
      <c r="C648" s="16">
        <v>1</v>
      </c>
      <c r="D648" s="3" t="str">
        <f t="shared" si="60"/>
        <v/>
      </c>
      <c r="E648" s="3">
        <f>IF($C648=1,CommissionDD!$A$30,IF($C648=2,CommissionDD!$A$31,CommissionDD!$A$32))</f>
        <v>1500</v>
      </c>
      <c r="F648" s="3" t="str">
        <f t="shared" si="65"/>
        <v/>
      </c>
      <c r="G648" s="38" t="str">
        <f>IF($A648="","",(VLOOKUP($A648,Cus!$A$2:$AH$1001,23,FALSE)))</f>
        <v/>
      </c>
      <c r="H648" s="3" t="str">
        <f t="shared" si="61"/>
        <v/>
      </c>
      <c r="I648" s="56" t="str">
        <f t="shared" si="62"/>
        <v/>
      </c>
      <c r="J648" s="3" t="str">
        <f t="shared" si="63"/>
        <v/>
      </c>
      <c r="K648" s="7" t="str">
        <f t="shared" si="64"/>
        <v/>
      </c>
    </row>
    <row r="649" spans="1:11">
      <c r="A649" s="1" t="str">
        <f>IF(Cus!$B649&lt;&gt;"",Cus!$A649,"")</f>
        <v/>
      </c>
      <c r="C649" s="16">
        <v>1</v>
      </c>
      <c r="D649" s="3" t="str">
        <f t="shared" si="60"/>
        <v/>
      </c>
      <c r="E649" s="3">
        <f>IF($C649=1,CommissionDD!$A$30,IF($C649=2,CommissionDD!$A$31,CommissionDD!$A$32))</f>
        <v>1500</v>
      </c>
      <c r="F649" s="3" t="str">
        <f t="shared" si="65"/>
        <v/>
      </c>
      <c r="G649" s="38" t="str">
        <f>IF($A649="","",(VLOOKUP($A649,Cus!$A$2:$AH$1001,23,FALSE)))</f>
        <v/>
      </c>
      <c r="H649" s="3" t="str">
        <f t="shared" si="61"/>
        <v/>
      </c>
      <c r="I649" s="56" t="str">
        <f t="shared" si="62"/>
        <v/>
      </c>
      <c r="J649" s="3" t="str">
        <f t="shared" si="63"/>
        <v/>
      </c>
      <c r="K649" s="7" t="str">
        <f t="shared" si="64"/>
        <v/>
      </c>
    </row>
    <row r="650" spans="1:11">
      <c r="A650" s="1" t="str">
        <f>IF(Cus!$B650&lt;&gt;"",Cus!$A650,"")</f>
        <v/>
      </c>
      <c r="C650" s="16">
        <v>1</v>
      </c>
      <c r="D650" s="3" t="str">
        <f t="shared" si="60"/>
        <v/>
      </c>
      <c r="E650" s="3">
        <f>IF($C650=1,CommissionDD!$A$30,IF($C650=2,CommissionDD!$A$31,CommissionDD!$A$32))</f>
        <v>1500</v>
      </c>
      <c r="F650" s="3" t="str">
        <f t="shared" si="65"/>
        <v/>
      </c>
      <c r="G650" s="38" t="str">
        <f>IF($A650="","",(VLOOKUP($A650,Cus!$A$2:$AH$1001,23,FALSE)))</f>
        <v/>
      </c>
      <c r="H650" s="3" t="str">
        <f t="shared" si="61"/>
        <v/>
      </c>
      <c r="I650" s="56" t="str">
        <f t="shared" si="62"/>
        <v/>
      </c>
      <c r="J650" s="3" t="str">
        <f t="shared" si="63"/>
        <v/>
      </c>
      <c r="K650" s="7" t="str">
        <f t="shared" si="64"/>
        <v/>
      </c>
    </row>
    <row r="651" spans="1:11">
      <c r="A651" s="1" t="str">
        <f>IF(Cus!$B651&lt;&gt;"",Cus!$A651,"")</f>
        <v/>
      </c>
      <c r="C651" s="16">
        <v>1</v>
      </c>
      <c r="D651" s="3" t="str">
        <f t="shared" si="60"/>
        <v/>
      </c>
      <c r="E651" s="3">
        <f>IF($C651=1,CommissionDD!$A$30,IF($C651=2,CommissionDD!$A$31,CommissionDD!$A$32))</f>
        <v>1500</v>
      </c>
      <c r="F651" s="3" t="str">
        <f t="shared" si="65"/>
        <v/>
      </c>
      <c r="G651" s="38" t="str">
        <f>IF($A651="","",(VLOOKUP($A651,Cus!$A$2:$AH$1001,23,FALSE)))</f>
        <v/>
      </c>
      <c r="H651" s="3" t="str">
        <f t="shared" si="61"/>
        <v/>
      </c>
      <c r="I651" s="56" t="str">
        <f t="shared" si="62"/>
        <v/>
      </c>
      <c r="J651" s="3" t="str">
        <f t="shared" si="63"/>
        <v/>
      </c>
      <c r="K651" s="7" t="str">
        <f t="shared" si="64"/>
        <v/>
      </c>
    </row>
    <row r="652" spans="1:11">
      <c r="A652" s="1" t="str">
        <f>IF(Cus!$B652&lt;&gt;"",Cus!$A652,"")</f>
        <v/>
      </c>
      <c r="C652" s="16">
        <v>1</v>
      </c>
      <c r="D652" s="3" t="str">
        <f t="shared" si="60"/>
        <v/>
      </c>
      <c r="E652" s="3">
        <f>IF($C652=1,CommissionDD!$A$30,IF($C652=2,CommissionDD!$A$31,CommissionDD!$A$32))</f>
        <v>1500</v>
      </c>
      <c r="F652" s="3" t="str">
        <f t="shared" si="65"/>
        <v/>
      </c>
      <c r="G652" s="38" t="str">
        <f>IF($A652="","",(VLOOKUP($A652,Cus!$A$2:$AH$1001,23,FALSE)))</f>
        <v/>
      </c>
      <c r="H652" s="3" t="str">
        <f t="shared" si="61"/>
        <v/>
      </c>
      <c r="I652" s="56" t="str">
        <f t="shared" si="62"/>
        <v/>
      </c>
      <c r="J652" s="3" t="str">
        <f t="shared" si="63"/>
        <v/>
      </c>
      <c r="K652" s="7" t="str">
        <f t="shared" si="64"/>
        <v/>
      </c>
    </row>
    <row r="653" spans="1:11">
      <c r="A653" s="1" t="str">
        <f>IF(Cus!$B653&lt;&gt;"",Cus!$A653,"")</f>
        <v/>
      </c>
      <c r="C653" s="16">
        <v>1</v>
      </c>
      <c r="D653" s="3" t="str">
        <f t="shared" si="60"/>
        <v/>
      </c>
      <c r="E653" s="3">
        <f>IF($C653=1,CommissionDD!$A$30,IF($C653=2,CommissionDD!$A$31,CommissionDD!$A$32))</f>
        <v>1500</v>
      </c>
      <c r="F653" s="3" t="str">
        <f t="shared" si="65"/>
        <v/>
      </c>
      <c r="G653" s="38" t="str">
        <f>IF($A653="","",(VLOOKUP($A653,Cus!$A$2:$AH$1001,23,FALSE)))</f>
        <v/>
      </c>
      <c r="H653" s="3" t="str">
        <f t="shared" si="61"/>
        <v/>
      </c>
      <c r="I653" s="56" t="str">
        <f t="shared" si="62"/>
        <v/>
      </c>
      <c r="J653" s="3" t="str">
        <f t="shared" si="63"/>
        <v/>
      </c>
      <c r="K653" s="7" t="str">
        <f t="shared" si="64"/>
        <v/>
      </c>
    </row>
    <row r="654" spans="1:11">
      <c r="A654" s="1" t="str">
        <f>IF(Cus!$B654&lt;&gt;"",Cus!$A654,"")</f>
        <v/>
      </c>
      <c r="C654" s="16">
        <v>1</v>
      </c>
      <c r="D654" s="3" t="str">
        <f t="shared" si="60"/>
        <v/>
      </c>
      <c r="E654" s="3">
        <f>IF($C654=1,CommissionDD!$A$30,IF($C654=2,CommissionDD!$A$31,CommissionDD!$A$32))</f>
        <v>1500</v>
      </c>
      <c r="F654" s="3" t="str">
        <f t="shared" si="65"/>
        <v/>
      </c>
      <c r="G654" s="38" t="str">
        <f>IF($A654="","",(VLOOKUP($A654,Cus!$A$2:$AH$1001,23,FALSE)))</f>
        <v/>
      </c>
      <c r="H654" s="3" t="str">
        <f t="shared" si="61"/>
        <v/>
      </c>
      <c r="I654" s="56" t="str">
        <f t="shared" si="62"/>
        <v/>
      </c>
      <c r="J654" s="3" t="str">
        <f t="shared" si="63"/>
        <v/>
      </c>
      <c r="K654" s="7" t="str">
        <f t="shared" si="64"/>
        <v/>
      </c>
    </row>
    <row r="655" spans="1:11">
      <c r="A655" s="1" t="str">
        <f>IF(Cus!$B655&lt;&gt;"",Cus!$A655,"")</f>
        <v/>
      </c>
      <c r="C655" s="16">
        <v>1</v>
      </c>
      <c r="D655" s="3" t="str">
        <f t="shared" si="60"/>
        <v/>
      </c>
      <c r="E655" s="3">
        <f>IF($C655=1,CommissionDD!$A$30,IF($C655=2,CommissionDD!$A$31,CommissionDD!$A$32))</f>
        <v>1500</v>
      </c>
      <c r="F655" s="3" t="str">
        <f t="shared" si="65"/>
        <v/>
      </c>
      <c r="G655" s="38" t="str">
        <f>IF($A655="","",(VLOOKUP($A655,Cus!$A$2:$AH$1001,23,FALSE)))</f>
        <v/>
      </c>
      <c r="H655" s="3" t="str">
        <f t="shared" si="61"/>
        <v/>
      </c>
      <c r="I655" s="56" t="str">
        <f t="shared" si="62"/>
        <v/>
      </c>
      <c r="J655" s="3" t="str">
        <f t="shared" si="63"/>
        <v/>
      </c>
      <c r="K655" s="7" t="str">
        <f t="shared" si="64"/>
        <v/>
      </c>
    </row>
    <row r="656" spans="1:11">
      <c r="A656" s="1" t="str">
        <f>IF(Cus!$B656&lt;&gt;"",Cus!$A656,"")</f>
        <v/>
      </c>
      <c r="C656" s="16">
        <v>1</v>
      </c>
      <c r="D656" s="3" t="str">
        <f t="shared" si="60"/>
        <v/>
      </c>
      <c r="E656" s="3">
        <f>IF($C656=1,CommissionDD!$A$30,IF($C656=2,CommissionDD!$A$31,CommissionDD!$A$32))</f>
        <v>1500</v>
      </c>
      <c r="F656" s="3" t="str">
        <f t="shared" si="65"/>
        <v/>
      </c>
      <c r="G656" s="38" t="str">
        <f>IF($A656="","",(VLOOKUP($A656,Cus!$A$2:$AH$1001,23,FALSE)))</f>
        <v/>
      </c>
      <c r="H656" s="3" t="str">
        <f t="shared" si="61"/>
        <v/>
      </c>
      <c r="I656" s="56" t="str">
        <f t="shared" si="62"/>
        <v/>
      </c>
      <c r="J656" s="3" t="str">
        <f t="shared" si="63"/>
        <v/>
      </c>
      <c r="K656" s="7" t="str">
        <f t="shared" si="64"/>
        <v/>
      </c>
    </row>
    <row r="657" spans="1:12">
      <c r="A657" s="1" t="str">
        <f>IF(Cus!$B657&lt;&gt;"",Cus!$A657,"")</f>
        <v/>
      </c>
      <c r="C657" s="16">
        <v>1</v>
      </c>
      <c r="D657" s="3" t="str">
        <f t="shared" si="60"/>
        <v/>
      </c>
      <c r="E657" s="3">
        <f>IF($C657=1,CommissionDD!$A$30,IF($C657=2,CommissionDD!$A$31,CommissionDD!$A$32))</f>
        <v>1500</v>
      </c>
      <c r="F657" s="3" t="str">
        <f t="shared" si="65"/>
        <v/>
      </c>
      <c r="G657" s="38" t="str">
        <f>IF($A657="","",(VLOOKUP($A657,Cus!$A$2:$AH$1001,23,FALSE)))</f>
        <v/>
      </c>
      <c r="H657" s="3" t="str">
        <f t="shared" si="61"/>
        <v/>
      </c>
      <c r="I657" s="56" t="str">
        <f t="shared" si="62"/>
        <v/>
      </c>
      <c r="J657" s="3" t="str">
        <f t="shared" si="63"/>
        <v/>
      </c>
      <c r="K657" s="7" t="str">
        <f t="shared" si="64"/>
        <v/>
      </c>
    </row>
    <row r="658" spans="1:12">
      <c r="A658" s="1" t="str">
        <f>IF(Cus!$B658&lt;&gt;"",Cus!$A658,"")</f>
        <v/>
      </c>
      <c r="C658" s="16">
        <v>1</v>
      </c>
      <c r="D658" s="3" t="str">
        <f t="shared" si="60"/>
        <v/>
      </c>
      <c r="E658" s="3">
        <f>IF($C658=1,CommissionDD!$A$30,IF($C658=2,CommissionDD!$A$31,CommissionDD!$A$32))</f>
        <v>1500</v>
      </c>
      <c r="F658" s="3" t="str">
        <f t="shared" si="65"/>
        <v/>
      </c>
      <c r="G658" s="38" t="str">
        <f>IF($A658="","",(VLOOKUP($A658,Cus!$A$2:$AH$1001,23,FALSE)))</f>
        <v/>
      </c>
      <c r="H658" s="3" t="str">
        <f t="shared" si="61"/>
        <v/>
      </c>
      <c r="I658" s="56" t="str">
        <f t="shared" si="62"/>
        <v/>
      </c>
      <c r="J658" s="3" t="str">
        <f t="shared" si="63"/>
        <v/>
      </c>
      <c r="K658" s="7" t="str">
        <f t="shared" si="64"/>
        <v/>
      </c>
    </row>
    <row r="659" spans="1:12">
      <c r="A659" s="1" t="str">
        <f>IF(Cus!$B659&lt;&gt;"",Cus!$A659,"")</f>
        <v/>
      </c>
      <c r="C659" s="16">
        <v>1</v>
      </c>
      <c r="D659" s="3" t="str">
        <f t="shared" si="60"/>
        <v/>
      </c>
      <c r="E659" s="3">
        <f>IF($C659=1,CommissionDD!$A$30,IF($C659=2,CommissionDD!$A$31,CommissionDD!$A$32))</f>
        <v>1500</v>
      </c>
      <c r="F659" s="3" t="str">
        <f t="shared" si="65"/>
        <v/>
      </c>
      <c r="G659" s="38" t="str">
        <f>IF($A659="","",(VLOOKUP($A659,Cus!$A$2:$AH$1001,23,FALSE)))</f>
        <v/>
      </c>
      <c r="H659" s="3" t="str">
        <f t="shared" si="61"/>
        <v/>
      </c>
      <c r="I659" s="56" t="str">
        <f t="shared" si="62"/>
        <v/>
      </c>
      <c r="J659" s="3" t="str">
        <f t="shared" si="63"/>
        <v/>
      </c>
      <c r="K659" s="7" t="str">
        <f t="shared" si="64"/>
        <v/>
      </c>
    </row>
    <row r="660" spans="1:12">
      <c r="A660" s="1" t="str">
        <f>IF(Cus!$B660&lt;&gt;"",Cus!$A660,"")</f>
        <v/>
      </c>
      <c r="C660" s="16">
        <v>1</v>
      </c>
      <c r="D660" s="3" t="str">
        <f t="shared" si="60"/>
        <v/>
      </c>
      <c r="E660" s="3">
        <f>IF($C660=1,CommissionDD!$A$30,IF($C660=2,CommissionDD!$A$31,CommissionDD!$A$32))</f>
        <v>1500</v>
      </c>
      <c r="F660" s="3" t="str">
        <f t="shared" si="65"/>
        <v/>
      </c>
      <c r="G660" s="38" t="str">
        <f>IF($A660="","",(VLOOKUP($A660,Cus!$A$2:$AH$1001,23,FALSE)))</f>
        <v/>
      </c>
      <c r="H660" s="3" t="str">
        <f t="shared" si="61"/>
        <v/>
      </c>
      <c r="I660" s="56" t="str">
        <f t="shared" si="62"/>
        <v/>
      </c>
      <c r="J660" s="3" t="str">
        <f t="shared" si="63"/>
        <v/>
      </c>
      <c r="K660" s="7" t="str">
        <f t="shared" si="64"/>
        <v/>
      </c>
    </row>
    <row r="661" spans="1:12">
      <c r="A661" s="1" t="str">
        <f>IF(Cus!$B661&lt;&gt;"",Cus!$A661,"")</f>
        <v/>
      </c>
      <c r="C661" s="16">
        <v>1</v>
      </c>
      <c r="D661" s="3" t="str">
        <f t="shared" si="60"/>
        <v/>
      </c>
      <c r="E661" s="3">
        <f>IF($C661=1,CommissionDD!$A$30,IF($C661=2,CommissionDD!$A$31,CommissionDD!$A$32))</f>
        <v>1500</v>
      </c>
      <c r="F661" s="3" t="str">
        <f t="shared" si="65"/>
        <v/>
      </c>
      <c r="G661" s="38" t="str">
        <f>IF($A661="","",(VLOOKUP($A661,Cus!$A$2:$AH$1001,23,FALSE)))</f>
        <v/>
      </c>
      <c r="H661" s="3" t="str">
        <f t="shared" si="61"/>
        <v/>
      </c>
      <c r="I661" s="56" t="str">
        <f t="shared" si="62"/>
        <v/>
      </c>
      <c r="J661" s="3" t="str">
        <f t="shared" si="63"/>
        <v/>
      </c>
      <c r="K661" s="7" t="str">
        <f t="shared" si="64"/>
        <v/>
      </c>
    </row>
    <row r="662" spans="1:12">
      <c r="A662" s="1" t="str">
        <f>IF(Cus!$B662&lt;&gt;"",Cus!$A662,"")</f>
        <v/>
      </c>
      <c r="C662" s="16">
        <v>1</v>
      </c>
      <c r="D662" s="3" t="str">
        <f t="shared" si="60"/>
        <v/>
      </c>
      <c r="E662" s="3">
        <f>IF($C662=1,CommissionDD!$A$30,IF($C662=2,CommissionDD!$A$31,CommissionDD!$A$32))</f>
        <v>1500</v>
      </c>
      <c r="F662" s="3" t="str">
        <f t="shared" si="65"/>
        <v/>
      </c>
      <c r="G662" s="38" t="str">
        <f>IF($A662="","",(VLOOKUP($A662,Cus!$A$2:$AH$1001,23,FALSE)))</f>
        <v/>
      </c>
      <c r="H662" s="3" t="str">
        <f t="shared" si="61"/>
        <v/>
      </c>
      <c r="I662" s="56" t="str">
        <f t="shared" si="62"/>
        <v/>
      </c>
      <c r="J662" s="3" t="str">
        <f t="shared" si="63"/>
        <v/>
      </c>
      <c r="K662" s="7" t="str">
        <f t="shared" si="64"/>
        <v/>
      </c>
    </row>
    <row r="663" spans="1:12">
      <c r="A663" s="1" t="str">
        <f>IF(Cus!$B663&lt;&gt;"",Cus!$A663,"")</f>
        <v/>
      </c>
      <c r="C663" s="16">
        <v>1</v>
      </c>
      <c r="D663" s="3" t="str">
        <f t="shared" si="60"/>
        <v/>
      </c>
      <c r="E663" s="3">
        <f>IF($C663=1,CommissionDD!$A$30,IF($C663=2,CommissionDD!$A$31,CommissionDD!$A$32))</f>
        <v>1500</v>
      </c>
      <c r="F663" s="3" t="str">
        <f t="shared" si="65"/>
        <v/>
      </c>
      <c r="G663" s="38" t="str">
        <f>IF($A663="","",(VLOOKUP($A663,Cus!$A$2:$AH$1001,23,FALSE)))</f>
        <v/>
      </c>
      <c r="H663" s="3" t="str">
        <f t="shared" si="61"/>
        <v/>
      </c>
      <c r="I663" s="56" t="str">
        <f t="shared" si="62"/>
        <v/>
      </c>
      <c r="J663" s="3" t="str">
        <f t="shared" si="63"/>
        <v/>
      </c>
      <c r="K663" s="7" t="str">
        <f t="shared" si="64"/>
        <v/>
      </c>
    </row>
    <row r="664" spans="1:12">
      <c r="A664" s="1" t="str">
        <f>IF(Cus!$B664&lt;&gt;"",Cus!$A664,"")</f>
        <v/>
      </c>
      <c r="C664" s="16">
        <v>1</v>
      </c>
      <c r="D664" s="3" t="str">
        <f t="shared" si="60"/>
        <v/>
      </c>
      <c r="E664" s="3">
        <f>IF($C664=1,CommissionDD!$A$30,IF($C664=2,CommissionDD!$A$31,CommissionDD!$A$32))</f>
        <v>1500</v>
      </c>
      <c r="F664" s="3" t="str">
        <f t="shared" si="65"/>
        <v/>
      </c>
      <c r="G664" s="38" t="str">
        <f>IF($A664="","",(VLOOKUP($A664,Cus!$A$2:$AH$1001,23,FALSE)))</f>
        <v/>
      </c>
      <c r="H664" s="3" t="str">
        <f t="shared" si="61"/>
        <v/>
      </c>
      <c r="I664" s="56" t="str">
        <f t="shared" si="62"/>
        <v/>
      </c>
      <c r="J664" s="3" t="str">
        <f t="shared" si="63"/>
        <v/>
      </c>
      <c r="K664" s="7" t="str">
        <f t="shared" si="64"/>
        <v/>
      </c>
    </row>
    <row r="665" spans="1:12">
      <c r="A665" s="1" t="str">
        <f>IF(Cus!$B665&lt;&gt;"",Cus!$A665,"")</f>
        <v/>
      </c>
      <c r="C665" s="16">
        <v>1</v>
      </c>
      <c r="D665" s="3" t="str">
        <f t="shared" si="60"/>
        <v/>
      </c>
      <c r="E665" s="3">
        <f>IF($C665=1,CommissionDD!$A$30,IF($C665=2,CommissionDD!$A$31,CommissionDD!$A$32))</f>
        <v>1500</v>
      </c>
      <c r="F665" s="3" t="str">
        <f t="shared" si="65"/>
        <v/>
      </c>
      <c r="G665" s="38" t="str">
        <f>IF($A665="","",(VLOOKUP($A665,Cus!$A$2:$AH$1001,23,FALSE)))</f>
        <v/>
      </c>
      <c r="H665" s="3" t="str">
        <f t="shared" si="61"/>
        <v/>
      </c>
      <c r="I665" s="56" t="str">
        <f t="shared" si="62"/>
        <v/>
      </c>
      <c r="J665" s="3" t="str">
        <f t="shared" si="63"/>
        <v/>
      </c>
      <c r="K665" s="7" t="str">
        <f t="shared" si="64"/>
        <v/>
      </c>
    </row>
    <row r="666" spans="1:12">
      <c r="A666" s="1" t="str">
        <f>IF(Cus!$B666&lt;&gt;"",Cus!$A666,"")</f>
        <v>K0000665</v>
      </c>
      <c r="C666" s="16">
        <v>1</v>
      </c>
      <c r="D666" s="3">
        <f t="shared" si="60"/>
        <v>1500</v>
      </c>
      <c r="E666" s="3">
        <f>IF($C666=1,CommissionDD!$A$30,IF($C666=2,CommissionDD!$A$31,CommissionDD!$A$32))</f>
        <v>1500</v>
      </c>
      <c r="F666" s="3">
        <f t="shared" si="65"/>
        <v>0</v>
      </c>
      <c r="G666" s="38">
        <f>IF($A666="","",(VLOOKUP($A666,Cus!$A$2:$AH$1001,23,FALSE)))</f>
        <v>41605</v>
      </c>
      <c r="H666" s="3">
        <f t="shared" si="61"/>
        <v>395</v>
      </c>
      <c r="I666" s="56">
        <f t="shared" si="62"/>
        <v>60</v>
      </c>
      <c r="J666" s="3">
        <f t="shared" si="63"/>
        <v>23700</v>
      </c>
      <c r="K666" s="7">
        <f t="shared" si="64"/>
        <v>41635</v>
      </c>
    </row>
    <row r="667" spans="1:12">
      <c r="A667" s="1" t="str">
        <f>IF(Cus!$B667&lt;&gt;"",Cus!$A667,"")</f>
        <v>K0000666</v>
      </c>
      <c r="B667" s="31">
        <v>1531953</v>
      </c>
      <c r="C667" s="16">
        <v>1</v>
      </c>
      <c r="D667" s="3">
        <f t="shared" si="60"/>
        <v>1500</v>
      </c>
      <c r="E667" s="3">
        <f>IF($C667=1,CommissionDD!$A$30,IF($C667=2,CommissionDD!$A$31,CommissionDD!$A$32))</f>
        <v>1500</v>
      </c>
      <c r="F667" s="3">
        <f t="shared" si="65"/>
        <v>0</v>
      </c>
      <c r="G667" s="38">
        <f>IF($A667="","",(VLOOKUP($A667,Cus!$A$2:$AH$1001,23,FALSE)))</f>
        <v>41608</v>
      </c>
      <c r="H667" s="3">
        <f t="shared" si="61"/>
        <v>395</v>
      </c>
      <c r="I667" s="56">
        <f t="shared" si="62"/>
        <v>60</v>
      </c>
      <c r="J667" s="3">
        <f t="shared" si="63"/>
        <v>23700</v>
      </c>
      <c r="K667" s="7">
        <f t="shared" si="64"/>
        <v>41638</v>
      </c>
      <c r="L667" s="31">
        <v>85687829</v>
      </c>
    </row>
    <row r="668" spans="1:12">
      <c r="A668" s="1" t="str">
        <f>IF(Cus!$B668&lt;&gt;"",Cus!$A668,"")</f>
        <v/>
      </c>
      <c r="C668" s="16">
        <v>1</v>
      </c>
      <c r="D668" s="3" t="str">
        <f t="shared" si="60"/>
        <v/>
      </c>
      <c r="E668" s="3">
        <f>IF($C668=1,CommissionDD!$A$30,IF($C668=2,CommissionDD!$A$31,CommissionDD!$A$32))</f>
        <v>1500</v>
      </c>
      <c r="F668" s="3" t="str">
        <f t="shared" si="65"/>
        <v/>
      </c>
      <c r="G668" s="38" t="str">
        <f>IF($A668="","",(VLOOKUP($A668,Cus!$A$2:$AH$1001,23,FALSE)))</f>
        <v/>
      </c>
      <c r="H668" s="3" t="str">
        <f t="shared" si="61"/>
        <v/>
      </c>
      <c r="I668" s="56" t="str">
        <f t="shared" si="62"/>
        <v/>
      </c>
      <c r="J668" s="3" t="str">
        <f t="shared" si="63"/>
        <v/>
      </c>
      <c r="K668" s="7" t="str">
        <f t="shared" si="64"/>
        <v/>
      </c>
    </row>
    <row r="669" spans="1:12">
      <c r="A669" s="1" t="str">
        <f>IF(Cus!$B669&lt;&gt;"",Cus!$A669,"")</f>
        <v/>
      </c>
      <c r="C669" s="16">
        <v>1</v>
      </c>
      <c r="D669" s="3" t="str">
        <f t="shared" si="60"/>
        <v/>
      </c>
      <c r="E669" s="3">
        <f>IF($C669=1,CommissionDD!$A$30,IF($C669=2,CommissionDD!$A$31,CommissionDD!$A$32))</f>
        <v>1500</v>
      </c>
      <c r="F669" s="3" t="str">
        <f t="shared" si="65"/>
        <v/>
      </c>
      <c r="G669" s="38" t="str">
        <f>IF($A669="","",(VLOOKUP($A669,Cus!$A$2:$AH$1001,23,FALSE)))</f>
        <v/>
      </c>
      <c r="H669" s="3" t="str">
        <f t="shared" si="61"/>
        <v/>
      </c>
      <c r="I669" s="56" t="str">
        <f t="shared" si="62"/>
        <v/>
      </c>
      <c r="J669" s="3" t="str">
        <f t="shared" si="63"/>
        <v/>
      </c>
      <c r="K669" s="7" t="str">
        <f t="shared" si="64"/>
        <v/>
      </c>
    </row>
    <row r="670" spans="1:12">
      <c r="A670" s="1" t="str">
        <f>IF(Cus!$B670&lt;&gt;"",Cus!$A670,"")</f>
        <v/>
      </c>
      <c r="C670" s="16">
        <v>1</v>
      </c>
      <c r="D670" s="3" t="str">
        <f t="shared" si="60"/>
        <v/>
      </c>
      <c r="E670" s="3">
        <f>IF($C670=1,CommissionDD!$A$30,IF($C670=2,CommissionDD!$A$31,CommissionDD!$A$32))</f>
        <v>1500</v>
      </c>
      <c r="F670" s="3" t="str">
        <f t="shared" si="65"/>
        <v/>
      </c>
      <c r="G670" s="38" t="str">
        <f>IF($A670="","",(VLOOKUP($A670,Cus!$A$2:$AH$1001,23,FALSE)))</f>
        <v/>
      </c>
      <c r="H670" s="3" t="str">
        <f t="shared" si="61"/>
        <v/>
      </c>
      <c r="I670" s="56" t="str">
        <f t="shared" si="62"/>
        <v/>
      </c>
      <c r="J670" s="3" t="str">
        <f t="shared" si="63"/>
        <v/>
      </c>
      <c r="K670" s="7" t="str">
        <f t="shared" si="64"/>
        <v/>
      </c>
    </row>
    <row r="671" spans="1:12">
      <c r="A671" s="1" t="str">
        <f>IF(Cus!$B671&lt;&gt;"",Cus!$A671,"")</f>
        <v>K0000670</v>
      </c>
      <c r="C671" s="16">
        <v>1</v>
      </c>
      <c r="D671" s="3">
        <f t="shared" si="60"/>
        <v>1500</v>
      </c>
      <c r="E671" s="3">
        <f>IF($C671=1,CommissionDD!$A$30,IF($C671=2,CommissionDD!$A$31,CommissionDD!$A$32))</f>
        <v>1500</v>
      </c>
      <c r="F671" s="3">
        <f t="shared" si="65"/>
        <v>0</v>
      </c>
      <c r="G671" s="38">
        <f>IF($A671="","",(VLOOKUP($A671,Cus!$A$2:$AH$1001,23,FALSE)))</f>
        <v>41610</v>
      </c>
      <c r="H671" s="3">
        <f t="shared" si="61"/>
        <v>395</v>
      </c>
      <c r="I671" s="56">
        <f t="shared" si="62"/>
        <v>60</v>
      </c>
      <c r="J671" s="3">
        <f t="shared" si="63"/>
        <v>23700</v>
      </c>
      <c r="K671" s="7">
        <f t="shared" si="64"/>
        <v>41641</v>
      </c>
    </row>
    <row r="672" spans="1:12">
      <c r="A672" s="1" t="str">
        <f>IF(Cus!$B672&lt;&gt;"",Cus!$A672,"")</f>
        <v/>
      </c>
      <c r="C672" s="16">
        <v>1</v>
      </c>
      <c r="D672" s="3" t="str">
        <f t="shared" si="60"/>
        <v/>
      </c>
      <c r="E672" s="3">
        <f>IF($C672=1,CommissionDD!$A$30,IF($C672=2,CommissionDD!$A$31,CommissionDD!$A$32))</f>
        <v>1500</v>
      </c>
      <c r="F672" s="3" t="str">
        <f t="shared" si="65"/>
        <v/>
      </c>
      <c r="G672" s="38" t="str">
        <f>IF($A672="","",(VLOOKUP($A672,Cus!$A$2:$AH$1001,23,FALSE)))</f>
        <v/>
      </c>
      <c r="H672" s="3" t="str">
        <f t="shared" si="61"/>
        <v/>
      </c>
      <c r="I672" s="56" t="str">
        <f t="shared" si="62"/>
        <v/>
      </c>
      <c r="J672" s="3" t="str">
        <f t="shared" si="63"/>
        <v/>
      </c>
      <c r="K672" s="7" t="str">
        <f t="shared" si="64"/>
        <v/>
      </c>
    </row>
    <row r="673" spans="1:11">
      <c r="A673" s="1" t="str">
        <f>IF(Cus!$B673&lt;&gt;"",Cus!$A673,"")</f>
        <v/>
      </c>
      <c r="C673" s="16">
        <v>1</v>
      </c>
      <c r="D673" s="3" t="str">
        <f t="shared" si="60"/>
        <v/>
      </c>
      <c r="E673" s="3">
        <f>IF($C673=1,CommissionDD!$A$30,IF($C673=2,CommissionDD!$A$31,CommissionDD!$A$32))</f>
        <v>1500</v>
      </c>
      <c r="F673" s="3" t="str">
        <f t="shared" si="65"/>
        <v/>
      </c>
      <c r="G673" s="38" t="str">
        <f>IF($A673="","",(VLOOKUP($A673,Cus!$A$2:$AH$1001,23,FALSE)))</f>
        <v/>
      </c>
      <c r="H673" s="3" t="str">
        <f t="shared" si="61"/>
        <v/>
      </c>
      <c r="I673" s="56" t="str">
        <f t="shared" si="62"/>
        <v/>
      </c>
      <c r="J673" s="3" t="str">
        <f t="shared" si="63"/>
        <v/>
      </c>
      <c r="K673" s="7" t="str">
        <f t="shared" si="64"/>
        <v/>
      </c>
    </row>
    <row r="674" spans="1:11">
      <c r="A674" s="1" t="str">
        <f>IF(Cus!$B674&lt;&gt;"",Cus!$A674,"")</f>
        <v/>
      </c>
      <c r="C674" s="16">
        <v>1</v>
      </c>
      <c r="D674" s="3" t="str">
        <f t="shared" si="60"/>
        <v/>
      </c>
      <c r="E674" s="3">
        <f>IF($C674=1,CommissionDD!$A$30,IF($C674=2,CommissionDD!$A$31,CommissionDD!$A$32))</f>
        <v>1500</v>
      </c>
      <c r="F674" s="3" t="str">
        <f t="shared" si="65"/>
        <v/>
      </c>
      <c r="G674" s="38" t="str">
        <f>IF($A674="","",(VLOOKUP($A674,Cus!$A$2:$AH$1001,23,FALSE)))</f>
        <v/>
      </c>
      <c r="H674" s="3" t="str">
        <f t="shared" si="61"/>
        <v/>
      </c>
      <c r="I674" s="56" t="str">
        <f t="shared" si="62"/>
        <v/>
      </c>
      <c r="J674" s="3" t="str">
        <f t="shared" si="63"/>
        <v/>
      </c>
      <c r="K674" s="7" t="str">
        <f t="shared" si="64"/>
        <v/>
      </c>
    </row>
    <row r="675" spans="1:11">
      <c r="A675" s="1" t="str">
        <f>IF(Cus!$B675&lt;&gt;"",Cus!$A675,"")</f>
        <v/>
      </c>
      <c r="C675" s="16">
        <v>1</v>
      </c>
      <c r="D675" s="3" t="str">
        <f t="shared" si="60"/>
        <v/>
      </c>
      <c r="E675" s="3">
        <f>IF($C675=1,CommissionDD!$A$30,IF($C675=2,CommissionDD!$A$31,CommissionDD!$A$32))</f>
        <v>1500</v>
      </c>
      <c r="F675" s="3" t="str">
        <f t="shared" si="65"/>
        <v/>
      </c>
      <c r="G675" s="38" t="str">
        <f>IF($A675="","",(VLOOKUP($A675,Cus!$A$2:$AH$1001,23,FALSE)))</f>
        <v/>
      </c>
      <c r="H675" s="3" t="str">
        <f t="shared" si="61"/>
        <v/>
      </c>
      <c r="I675" s="56" t="str">
        <f t="shared" si="62"/>
        <v/>
      </c>
      <c r="J675" s="3" t="str">
        <f t="shared" si="63"/>
        <v/>
      </c>
      <c r="K675" s="7" t="str">
        <f t="shared" si="64"/>
        <v/>
      </c>
    </row>
    <row r="676" spans="1:11">
      <c r="A676" s="1" t="str">
        <f>IF(Cus!$B676&lt;&gt;"",Cus!$A676,"")</f>
        <v/>
      </c>
      <c r="C676" s="16">
        <v>1</v>
      </c>
      <c r="D676" s="3" t="str">
        <f t="shared" si="60"/>
        <v/>
      </c>
      <c r="E676" s="3">
        <f>IF($C676=1,CommissionDD!$A$30,IF($C676=2,CommissionDD!$A$31,CommissionDD!$A$32))</f>
        <v>1500</v>
      </c>
      <c r="F676" s="3" t="str">
        <f t="shared" si="65"/>
        <v/>
      </c>
      <c r="G676" s="38" t="str">
        <f>IF($A676="","",(VLOOKUP($A676,Cus!$A$2:$AH$1001,23,FALSE)))</f>
        <v/>
      </c>
      <c r="H676" s="3" t="str">
        <f t="shared" si="61"/>
        <v/>
      </c>
      <c r="I676" s="56" t="str">
        <f t="shared" si="62"/>
        <v/>
      </c>
      <c r="J676" s="3" t="str">
        <f t="shared" si="63"/>
        <v/>
      </c>
      <c r="K676" s="7" t="str">
        <f t="shared" si="64"/>
        <v/>
      </c>
    </row>
    <row r="677" spans="1:11">
      <c r="A677" s="1" t="str">
        <f>IF(Cus!$B677&lt;&gt;"",Cus!$A677,"")</f>
        <v>K0000676</v>
      </c>
      <c r="C677" s="16">
        <v>1</v>
      </c>
      <c r="D677" s="3">
        <f t="shared" si="60"/>
        <v>1500</v>
      </c>
      <c r="E677" s="3">
        <f>IF($C677=1,CommissionDD!$A$30,IF($C677=2,CommissionDD!$A$31,CommissionDD!$A$32))</f>
        <v>1500</v>
      </c>
      <c r="F677" s="3">
        <f t="shared" si="65"/>
        <v>0</v>
      </c>
      <c r="G677" s="38">
        <f>IF($A677="","",(VLOOKUP($A677,Cus!$A$2:$AH$1001,23,FALSE)))</f>
        <v>41637</v>
      </c>
      <c r="H677" s="3">
        <f t="shared" si="61"/>
        <v>395</v>
      </c>
      <c r="I677" s="56">
        <f t="shared" si="62"/>
        <v>60</v>
      </c>
      <c r="J677" s="3">
        <f t="shared" si="63"/>
        <v>23700</v>
      </c>
      <c r="K677" s="7">
        <f t="shared" si="64"/>
        <v>41668</v>
      </c>
    </row>
    <row r="678" spans="1:11">
      <c r="A678" s="1" t="str">
        <f>IF(Cus!$B678&lt;&gt;"",Cus!$A678,"")</f>
        <v/>
      </c>
      <c r="C678" s="16">
        <v>1</v>
      </c>
      <c r="D678" s="3" t="str">
        <f t="shared" si="60"/>
        <v/>
      </c>
      <c r="E678" s="3">
        <f>IF($C678=1,CommissionDD!$A$30,IF($C678=2,CommissionDD!$A$31,CommissionDD!$A$32))</f>
        <v>1500</v>
      </c>
      <c r="F678" s="3" t="str">
        <f t="shared" si="65"/>
        <v/>
      </c>
      <c r="G678" s="38" t="str">
        <f>IF($A678="","",(VLOOKUP($A678,Cus!$A$2:$AH$1001,23,FALSE)))</f>
        <v/>
      </c>
      <c r="H678" s="3" t="str">
        <f t="shared" si="61"/>
        <v/>
      </c>
      <c r="I678" s="56" t="str">
        <f t="shared" si="62"/>
        <v/>
      </c>
      <c r="J678" s="3" t="str">
        <f t="shared" si="63"/>
        <v/>
      </c>
      <c r="K678" s="7" t="str">
        <f t="shared" si="64"/>
        <v/>
      </c>
    </row>
    <row r="679" spans="1:11">
      <c r="A679" s="1" t="str">
        <f>IF(Cus!$B679&lt;&gt;"",Cus!$A679,"")</f>
        <v/>
      </c>
      <c r="C679" s="16">
        <v>1</v>
      </c>
      <c r="D679" s="3" t="str">
        <f t="shared" si="60"/>
        <v/>
      </c>
      <c r="E679" s="3">
        <f>IF($C679=1,CommissionDD!$A$30,IF($C679=2,CommissionDD!$A$31,CommissionDD!$A$32))</f>
        <v>1500</v>
      </c>
      <c r="F679" s="3" t="str">
        <f t="shared" si="65"/>
        <v/>
      </c>
      <c r="G679" s="38" t="str">
        <f>IF($A679="","",(VLOOKUP($A679,Cus!$A$2:$AH$1001,23,FALSE)))</f>
        <v/>
      </c>
      <c r="H679" s="3" t="str">
        <f t="shared" si="61"/>
        <v/>
      </c>
      <c r="I679" s="56" t="str">
        <f t="shared" si="62"/>
        <v/>
      </c>
      <c r="J679" s="3" t="str">
        <f t="shared" si="63"/>
        <v/>
      </c>
      <c r="K679" s="7" t="str">
        <f t="shared" si="64"/>
        <v/>
      </c>
    </row>
    <row r="680" spans="1:11">
      <c r="A680" s="1" t="str">
        <f>IF(Cus!$B680&lt;&gt;"",Cus!$A680,"")</f>
        <v/>
      </c>
      <c r="C680" s="16">
        <v>1</v>
      </c>
      <c r="D680" s="3" t="str">
        <f t="shared" si="60"/>
        <v/>
      </c>
      <c r="E680" s="3">
        <f>IF($C680=1,CommissionDD!$A$30,IF($C680=2,CommissionDD!$A$31,CommissionDD!$A$32))</f>
        <v>1500</v>
      </c>
      <c r="F680" s="3" t="str">
        <f t="shared" si="65"/>
        <v/>
      </c>
      <c r="G680" s="38" t="str">
        <f>IF($A680="","",(VLOOKUP($A680,Cus!$A$2:$AH$1001,23,FALSE)))</f>
        <v/>
      </c>
      <c r="H680" s="3" t="str">
        <f t="shared" si="61"/>
        <v/>
      </c>
      <c r="I680" s="56" t="str">
        <f t="shared" si="62"/>
        <v/>
      </c>
      <c r="J680" s="3" t="str">
        <f t="shared" si="63"/>
        <v/>
      </c>
      <c r="K680" s="7" t="str">
        <f t="shared" si="64"/>
        <v/>
      </c>
    </row>
    <row r="681" spans="1:11">
      <c r="A681" s="1" t="str">
        <f>IF(Cus!$B681&lt;&gt;"",Cus!$A681,"")</f>
        <v/>
      </c>
      <c r="C681" s="16">
        <v>1</v>
      </c>
      <c r="D681" s="3" t="str">
        <f t="shared" si="60"/>
        <v/>
      </c>
      <c r="E681" s="3">
        <f>IF($C681=1,CommissionDD!$A$30,IF($C681=2,CommissionDD!$A$31,CommissionDD!$A$32))</f>
        <v>1500</v>
      </c>
      <c r="F681" s="3" t="str">
        <f t="shared" si="65"/>
        <v/>
      </c>
      <c r="G681" s="38" t="str">
        <f>IF($A681="","",(VLOOKUP($A681,Cus!$A$2:$AH$1001,23,FALSE)))</f>
        <v/>
      </c>
      <c r="H681" s="3" t="str">
        <f t="shared" si="61"/>
        <v/>
      </c>
      <c r="I681" s="56" t="str">
        <f t="shared" si="62"/>
        <v/>
      </c>
      <c r="J681" s="3" t="str">
        <f t="shared" si="63"/>
        <v/>
      </c>
      <c r="K681" s="7" t="str">
        <f t="shared" si="64"/>
        <v/>
      </c>
    </row>
    <row r="682" spans="1:11">
      <c r="A682" s="1" t="str">
        <f>IF(Cus!$B682&lt;&gt;"",Cus!$A682,"")</f>
        <v/>
      </c>
      <c r="C682" s="16">
        <v>1</v>
      </c>
      <c r="D682" s="3" t="str">
        <f t="shared" si="60"/>
        <v/>
      </c>
      <c r="E682" s="3">
        <f>IF($C682=1,CommissionDD!$A$30,IF($C682=2,CommissionDD!$A$31,CommissionDD!$A$32))</f>
        <v>1500</v>
      </c>
      <c r="F682" s="3" t="str">
        <f t="shared" si="65"/>
        <v/>
      </c>
      <c r="G682" s="38" t="str">
        <f>IF($A682="","",(VLOOKUP($A682,Cus!$A$2:$AH$1001,23,FALSE)))</f>
        <v/>
      </c>
      <c r="H682" s="3" t="str">
        <f t="shared" si="61"/>
        <v/>
      </c>
      <c r="I682" s="56" t="str">
        <f t="shared" si="62"/>
        <v/>
      </c>
      <c r="J682" s="3" t="str">
        <f t="shared" si="63"/>
        <v/>
      </c>
      <c r="K682" s="7" t="str">
        <f t="shared" si="64"/>
        <v/>
      </c>
    </row>
    <row r="683" spans="1:11">
      <c r="A683" s="1" t="str">
        <f>IF(Cus!$B683&lt;&gt;"",Cus!$A683,"")</f>
        <v/>
      </c>
      <c r="C683" s="16">
        <v>1</v>
      </c>
      <c r="D683" s="3" t="str">
        <f t="shared" si="60"/>
        <v/>
      </c>
      <c r="E683" s="3">
        <f>IF($C683=1,CommissionDD!$A$30,IF($C683=2,CommissionDD!$A$31,CommissionDD!$A$32))</f>
        <v>1500</v>
      </c>
      <c r="F683" s="3" t="str">
        <f t="shared" si="65"/>
        <v/>
      </c>
      <c r="G683" s="38" t="str">
        <f>IF($A683="","",(VLOOKUP($A683,Cus!$A$2:$AH$1001,23,FALSE)))</f>
        <v/>
      </c>
      <c r="H683" s="3" t="str">
        <f t="shared" si="61"/>
        <v/>
      </c>
      <c r="I683" s="56" t="str">
        <f t="shared" si="62"/>
        <v/>
      </c>
      <c r="J683" s="3" t="str">
        <f t="shared" si="63"/>
        <v/>
      </c>
      <c r="K683" s="7" t="str">
        <f t="shared" si="64"/>
        <v/>
      </c>
    </row>
    <row r="684" spans="1:11">
      <c r="A684" s="1" t="str">
        <f>IF(Cus!$B684&lt;&gt;"",Cus!$A684,"")</f>
        <v/>
      </c>
      <c r="C684" s="16">
        <v>1</v>
      </c>
      <c r="D684" s="3" t="str">
        <f t="shared" si="60"/>
        <v/>
      </c>
      <c r="E684" s="3">
        <f>IF($C684=1,CommissionDD!$A$30,IF($C684=2,CommissionDD!$A$31,CommissionDD!$A$32))</f>
        <v>1500</v>
      </c>
      <c r="F684" s="3" t="str">
        <f t="shared" si="65"/>
        <v/>
      </c>
      <c r="G684" s="38" t="str">
        <f>IF($A684="","",(VLOOKUP($A684,Cus!$A$2:$AH$1001,23,FALSE)))</f>
        <v/>
      </c>
      <c r="H684" s="3" t="str">
        <f t="shared" si="61"/>
        <v/>
      </c>
      <c r="I684" s="56" t="str">
        <f t="shared" si="62"/>
        <v/>
      </c>
      <c r="J684" s="3" t="str">
        <f t="shared" si="63"/>
        <v/>
      </c>
      <c r="K684" s="7" t="str">
        <f t="shared" si="64"/>
        <v/>
      </c>
    </row>
    <row r="685" spans="1:11">
      <c r="A685" s="1" t="str">
        <f>IF(Cus!$B685&lt;&gt;"",Cus!$A685,"")</f>
        <v/>
      </c>
      <c r="C685" s="16">
        <v>1</v>
      </c>
      <c r="D685" s="3" t="str">
        <f t="shared" si="60"/>
        <v/>
      </c>
      <c r="E685" s="3">
        <f>IF($C685=1,CommissionDD!$A$30,IF($C685=2,CommissionDD!$A$31,CommissionDD!$A$32))</f>
        <v>1500</v>
      </c>
      <c r="F685" s="3" t="str">
        <f t="shared" si="65"/>
        <v/>
      </c>
      <c r="G685" s="38" t="str">
        <f>IF($A685="","",(VLOOKUP($A685,Cus!$A$2:$AH$1001,23,FALSE)))</f>
        <v/>
      </c>
      <c r="H685" s="3" t="str">
        <f t="shared" si="61"/>
        <v/>
      </c>
      <c r="I685" s="56" t="str">
        <f t="shared" si="62"/>
        <v/>
      </c>
      <c r="J685" s="3" t="str">
        <f t="shared" si="63"/>
        <v/>
      </c>
      <c r="K685" s="7" t="str">
        <f t="shared" si="64"/>
        <v/>
      </c>
    </row>
    <row r="686" spans="1:11">
      <c r="A686" s="1" t="str">
        <f>IF(Cus!$B686&lt;&gt;"",Cus!$A686,"")</f>
        <v/>
      </c>
      <c r="C686" s="16">
        <v>1</v>
      </c>
      <c r="D686" s="3" t="str">
        <f t="shared" si="60"/>
        <v/>
      </c>
      <c r="E686" s="3">
        <f>IF($C686=1,CommissionDD!$A$30,IF($C686=2,CommissionDD!$A$31,CommissionDD!$A$32))</f>
        <v>1500</v>
      </c>
      <c r="F686" s="3" t="str">
        <f t="shared" si="65"/>
        <v/>
      </c>
      <c r="G686" s="38" t="str">
        <f>IF($A686="","",(VLOOKUP($A686,Cus!$A$2:$AH$1001,23,FALSE)))</f>
        <v/>
      </c>
      <c r="H686" s="3" t="str">
        <f t="shared" si="61"/>
        <v/>
      </c>
      <c r="I686" s="56" t="str">
        <f t="shared" si="62"/>
        <v/>
      </c>
      <c r="J686" s="3" t="str">
        <f t="shared" si="63"/>
        <v/>
      </c>
      <c r="K686" s="7" t="str">
        <f t="shared" si="64"/>
        <v/>
      </c>
    </row>
    <row r="687" spans="1:11">
      <c r="A687" s="1" t="str">
        <f>IF(Cus!$B687&lt;&gt;"",Cus!$A687,"")</f>
        <v/>
      </c>
      <c r="C687" s="16">
        <v>1</v>
      </c>
      <c r="D687" s="3" t="str">
        <f t="shared" si="60"/>
        <v/>
      </c>
      <c r="E687" s="3">
        <f>IF($C687=1,CommissionDD!$A$30,IF($C687=2,CommissionDD!$A$31,CommissionDD!$A$32))</f>
        <v>1500</v>
      </c>
      <c r="F687" s="3" t="str">
        <f t="shared" si="65"/>
        <v/>
      </c>
      <c r="G687" s="38" t="str">
        <f>IF($A687="","",(VLOOKUP($A687,Cus!$A$2:$AH$1001,23,FALSE)))</f>
        <v/>
      </c>
      <c r="H687" s="3" t="str">
        <f t="shared" si="61"/>
        <v/>
      </c>
      <c r="I687" s="56" t="str">
        <f t="shared" si="62"/>
        <v/>
      </c>
      <c r="J687" s="3" t="str">
        <f t="shared" si="63"/>
        <v/>
      </c>
      <c r="K687" s="7" t="str">
        <f t="shared" si="64"/>
        <v/>
      </c>
    </row>
    <row r="688" spans="1:11">
      <c r="A688" s="1" t="str">
        <f>IF(Cus!$B688&lt;&gt;"",Cus!$A688,"")</f>
        <v/>
      </c>
      <c r="C688" s="16">
        <v>1</v>
      </c>
      <c r="D688" s="3" t="str">
        <f t="shared" si="60"/>
        <v/>
      </c>
      <c r="E688" s="3">
        <f>IF($C688=1,CommissionDD!$A$30,IF($C688=2,CommissionDD!$A$31,CommissionDD!$A$32))</f>
        <v>1500</v>
      </c>
      <c r="F688" s="3" t="str">
        <f t="shared" si="65"/>
        <v/>
      </c>
      <c r="G688" s="38" t="str">
        <f>IF($A688="","",(VLOOKUP($A688,Cus!$A$2:$AH$1001,23,FALSE)))</f>
        <v/>
      </c>
      <c r="H688" s="3" t="str">
        <f t="shared" si="61"/>
        <v/>
      </c>
      <c r="I688" s="56" t="str">
        <f t="shared" si="62"/>
        <v/>
      </c>
      <c r="J688" s="3" t="str">
        <f t="shared" si="63"/>
        <v/>
      </c>
      <c r="K688" s="7" t="str">
        <f t="shared" si="64"/>
        <v/>
      </c>
    </row>
    <row r="689" spans="1:12">
      <c r="A689" s="1" t="str">
        <f>IF(Cus!$B689&lt;&gt;"",Cus!$A689,"")</f>
        <v/>
      </c>
      <c r="C689" s="16">
        <v>1</v>
      </c>
      <c r="D689" s="3" t="str">
        <f t="shared" si="60"/>
        <v/>
      </c>
      <c r="E689" s="3">
        <f>IF($C689=1,CommissionDD!$A$30,IF($C689=2,CommissionDD!$A$31,CommissionDD!$A$32))</f>
        <v>1500</v>
      </c>
      <c r="F689" s="3" t="str">
        <f t="shared" si="65"/>
        <v/>
      </c>
      <c r="G689" s="38" t="str">
        <f>IF($A689="","",(VLOOKUP($A689,Cus!$A$2:$AH$1001,23,FALSE)))</f>
        <v/>
      </c>
      <c r="H689" s="3" t="str">
        <f t="shared" si="61"/>
        <v/>
      </c>
      <c r="I689" s="56" t="str">
        <f t="shared" si="62"/>
        <v/>
      </c>
      <c r="J689" s="3" t="str">
        <f t="shared" si="63"/>
        <v/>
      </c>
      <c r="K689" s="7" t="str">
        <f t="shared" si="64"/>
        <v/>
      </c>
    </row>
    <row r="690" spans="1:12">
      <c r="A690" s="1" t="str">
        <f>IF(Cus!$B690&lt;&gt;"",Cus!$A690,"")</f>
        <v/>
      </c>
      <c r="C690" s="16">
        <v>1</v>
      </c>
      <c r="D690" s="3" t="str">
        <f t="shared" si="60"/>
        <v/>
      </c>
      <c r="E690" s="3">
        <f>IF($C690=1,CommissionDD!$A$30,IF($C690=2,CommissionDD!$A$31,CommissionDD!$A$32))</f>
        <v>1500</v>
      </c>
      <c r="F690" s="3" t="str">
        <f t="shared" si="65"/>
        <v/>
      </c>
      <c r="G690" s="38" t="str">
        <f>IF($A690="","",(VLOOKUP($A690,Cus!$A$2:$AH$1001,23,FALSE)))</f>
        <v/>
      </c>
      <c r="H690" s="3" t="str">
        <f t="shared" si="61"/>
        <v/>
      </c>
      <c r="I690" s="56" t="str">
        <f t="shared" si="62"/>
        <v/>
      </c>
      <c r="J690" s="3" t="str">
        <f t="shared" si="63"/>
        <v/>
      </c>
      <c r="K690" s="7" t="str">
        <f t="shared" si="64"/>
        <v/>
      </c>
    </row>
    <row r="691" spans="1:12">
      <c r="A691" s="1" t="str">
        <f>IF(Cus!$B691&lt;&gt;"",Cus!$A691,"")</f>
        <v>K0000690</v>
      </c>
      <c r="B691" s="58">
        <v>1531953</v>
      </c>
      <c r="C691" s="16">
        <v>1</v>
      </c>
      <c r="D691" s="3">
        <f t="shared" si="60"/>
        <v>1500</v>
      </c>
      <c r="E691" s="3">
        <f>IF($C691=1,CommissionDD!$A$30,IF($C691=2,CommissionDD!$A$31,CommissionDD!$A$32))</f>
        <v>1500</v>
      </c>
      <c r="F691" s="3">
        <f t="shared" si="65"/>
        <v>0</v>
      </c>
      <c r="G691" s="38">
        <f>IF($A691="","",(VLOOKUP($A691,Cus!$A$2:$AH$1001,23,FALSE)))</f>
        <v>41669</v>
      </c>
      <c r="H691" s="3">
        <f t="shared" si="61"/>
        <v>395</v>
      </c>
      <c r="I691" s="56">
        <f t="shared" si="62"/>
        <v>60</v>
      </c>
      <c r="J691" s="3">
        <f t="shared" si="63"/>
        <v>23700</v>
      </c>
      <c r="K691" s="7">
        <f t="shared" si="64"/>
        <v>41700</v>
      </c>
      <c r="L691" s="58">
        <v>87536285</v>
      </c>
    </row>
    <row r="692" spans="1:12">
      <c r="A692" s="1" t="str">
        <f>IF(Cus!$B692&lt;&gt;"",Cus!$A692,"")</f>
        <v>K0000691</v>
      </c>
      <c r="C692" s="16">
        <v>1</v>
      </c>
      <c r="D692" s="3">
        <f t="shared" si="60"/>
        <v>1500</v>
      </c>
      <c r="E692" s="3">
        <f>IF($C692=1,CommissionDD!$A$30,IF($C692=2,CommissionDD!$A$31,CommissionDD!$A$32))</f>
        <v>1500</v>
      </c>
      <c r="F692" s="3">
        <f t="shared" si="65"/>
        <v>0</v>
      </c>
      <c r="G692" s="38">
        <f>IF($A692="","",(VLOOKUP($A692,Cus!$A$2:$AH$1001,23,FALSE)))</f>
        <v>41697</v>
      </c>
      <c r="H692" s="3">
        <f t="shared" si="61"/>
        <v>395</v>
      </c>
      <c r="I692" s="56">
        <f t="shared" si="62"/>
        <v>60</v>
      </c>
      <c r="J692" s="3">
        <f t="shared" si="63"/>
        <v>23700</v>
      </c>
      <c r="K692" s="7">
        <f t="shared" si="64"/>
        <v>41725</v>
      </c>
    </row>
    <row r="693" spans="1:12">
      <c r="A693" s="1" t="str">
        <f>IF(Cus!$B693&lt;&gt;"",Cus!$A693,"")</f>
        <v/>
      </c>
      <c r="C693" s="16">
        <v>1</v>
      </c>
      <c r="D693" s="3" t="str">
        <f t="shared" si="60"/>
        <v/>
      </c>
      <c r="E693" s="3">
        <f>IF($C693=1,CommissionDD!$A$30,IF($C693=2,CommissionDD!$A$31,CommissionDD!$A$32))</f>
        <v>1500</v>
      </c>
      <c r="F693" s="3" t="str">
        <f t="shared" si="65"/>
        <v/>
      </c>
      <c r="G693" s="38" t="str">
        <f>IF($A693="","",(VLOOKUP($A693,Cus!$A$2:$AH$1001,23,FALSE)))</f>
        <v/>
      </c>
      <c r="H693" s="3" t="str">
        <f t="shared" si="61"/>
        <v/>
      </c>
      <c r="I693" s="56" t="str">
        <f t="shared" si="62"/>
        <v/>
      </c>
      <c r="J693" s="3" t="str">
        <f t="shared" si="63"/>
        <v/>
      </c>
      <c r="K693" s="7" t="str">
        <f t="shared" si="64"/>
        <v/>
      </c>
    </row>
    <row r="694" spans="1:12">
      <c r="A694" s="1" t="str">
        <f>IF(Cus!$B694&lt;&gt;"",Cus!$A694,"")</f>
        <v>K0000693</v>
      </c>
      <c r="C694" s="16">
        <v>1</v>
      </c>
      <c r="D694" s="3">
        <f t="shared" si="60"/>
        <v>1500</v>
      </c>
      <c r="E694" s="3">
        <f>IF($C694=1,CommissionDD!$A$30,IF($C694=2,CommissionDD!$A$31,CommissionDD!$A$32))</f>
        <v>1500</v>
      </c>
      <c r="F694" s="3">
        <f t="shared" si="65"/>
        <v>0</v>
      </c>
      <c r="G694" s="38">
        <f>IF($A694="","",(VLOOKUP($A694,Cus!$A$2:$AH$1001,23,FALSE)))</f>
        <v>41670</v>
      </c>
      <c r="H694" s="3">
        <f t="shared" si="61"/>
        <v>395</v>
      </c>
      <c r="I694" s="56">
        <f t="shared" si="62"/>
        <v>60</v>
      </c>
      <c r="J694" s="3">
        <f t="shared" si="63"/>
        <v>23700</v>
      </c>
      <c r="K694" s="7">
        <f t="shared" si="64"/>
        <v>41701</v>
      </c>
    </row>
    <row r="695" spans="1:12">
      <c r="A695" s="1" t="str">
        <f>IF(Cus!$B695&lt;&gt;"",Cus!$A695,"")</f>
        <v/>
      </c>
      <c r="C695" s="16">
        <v>1</v>
      </c>
      <c r="D695" s="3" t="str">
        <f t="shared" si="60"/>
        <v/>
      </c>
      <c r="E695" s="3">
        <f>IF($C695=1,CommissionDD!$A$30,IF($C695=2,CommissionDD!$A$31,CommissionDD!$A$32))</f>
        <v>1500</v>
      </c>
      <c r="F695" s="3" t="str">
        <f t="shared" si="65"/>
        <v/>
      </c>
      <c r="G695" s="38" t="str">
        <f>IF($A695="","",(VLOOKUP($A695,Cus!$A$2:$AH$1001,23,FALSE)))</f>
        <v/>
      </c>
      <c r="H695" s="3" t="str">
        <f t="shared" si="61"/>
        <v/>
      </c>
      <c r="I695" s="56" t="str">
        <f t="shared" si="62"/>
        <v/>
      </c>
      <c r="J695" s="3" t="str">
        <f t="shared" si="63"/>
        <v/>
      </c>
      <c r="K695" s="7" t="str">
        <f t="shared" si="64"/>
        <v/>
      </c>
    </row>
    <row r="696" spans="1:12">
      <c r="A696" s="1" t="str">
        <f>IF(Cus!$B696&lt;&gt;"",Cus!$A696,"")</f>
        <v>K0000695</v>
      </c>
      <c r="C696" s="16">
        <v>1</v>
      </c>
      <c r="D696" s="3">
        <f t="shared" si="60"/>
        <v>1500</v>
      </c>
      <c r="E696" s="3">
        <f>IF($C696=1,CommissionDD!$A$30,IF($C696=2,CommissionDD!$A$31,CommissionDD!$A$32))</f>
        <v>1500</v>
      </c>
      <c r="F696" s="3">
        <f t="shared" si="65"/>
        <v>0</v>
      </c>
      <c r="G696" s="38">
        <f>IF($A696="","",(VLOOKUP($A696,Cus!$A$2:$AH$1001,23,FALSE)))</f>
        <v>41591</v>
      </c>
      <c r="H696" s="3">
        <f t="shared" si="61"/>
        <v>395</v>
      </c>
      <c r="I696" s="56">
        <f t="shared" si="62"/>
        <v>60</v>
      </c>
      <c r="J696" s="3">
        <f t="shared" si="63"/>
        <v>23700</v>
      </c>
      <c r="K696" s="7">
        <f t="shared" si="64"/>
        <v>41621</v>
      </c>
    </row>
    <row r="697" spans="1:12">
      <c r="A697" s="1" t="str">
        <f>IF(Cus!$B697&lt;&gt;"",Cus!$A697,"")</f>
        <v/>
      </c>
      <c r="C697" s="16">
        <v>1</v>
      </c>
      <c r="D697" s="3" t="str">
        <f t="shared" si="60"/>
        <v/>
      </c>
      <c r="E697" s="3">
        <f>IF($C697=1,CommissionDD!$A$30,IF($C697=2,CommissionDD!$A$31,CommissionDD!$A$32))</f>
        <v>1500</v>
      </c>
      <c r="F697" s="3" t="str">
        <f t="shared" si="65"/>
        <v/>
      </c>
      <c r="G697" s="38" t="str">
        <f>IF($A697="","",(VLOOKUP($A697,Cus!$A$2:$AH$1001,23,FALSE)))</f>
        <v/>
      </c>
      <c r="H697" s="3" t="str">
        <f t="shared" si="61"/>
        <v/>
      </c>
      <c r="I697" s="56" t="str">
        <f t="shared" si="62"/>
        <v/>
      </c>
      <c r="J697" s="3" t="str">
        <f t="shared" si="63"/>
        <v/>
      </c>
      <c r="K697" s="7" t="str">
        <f t="shared" si="64"/>
        <v/>
      </c>
    </row>
    <row r="698" spans="1:12">
      <c r="A698" s="1" t="str">
        <f>IF(Cus!$B698&lt;&gt;"",Cus!$A698,"")</f>
        <v/>
      </c>
      <c r="C698" s="16">
        <v>1</v>
      </c>
      <c r="D698" s="3" t="str">
        <f t="shared" si="60"/>
        <v/>
      </c>
      <c r="E698" s="3">
        <f>IF($C698=1,CommissionDD!$A$30,IF($C698=2,CommissionDD!$A$31,CommissionDD!$A$32))</f>
        <v>1500</v>
      </c>
      <c r="F698" s="3" t="str">
        <f t="shared" si="65"/>
        <v/>
      </c>
      <c r="G698" s="38" t="str">
        <f>IF($A698="","",(VLOOKUP($A698,Cus!$A$2:$AH$1001,23,FALSE)))</f>
        <v/>
      </c>
      <c r="H698" s="3" t="str">
        <f t="shared" si="61"/>
        <v/>
      </c>
      <c r="I698" s="56" t="str">
        <f t="shared" si="62"/>
        <v/>
      </c>
      <c r="J698" s="3" t="str">
        <f t="shared" si="63"/>
        <v/>
      </c>
      <c r="K698" s="7" t="str">
        <f t="shared" si="64"/>
        <v/>
      </c>
    </row>
    <row r="699" spans="1:12">
      <c r="A699" s="1" t="str">
        <f>IF(Cus!$B699&lt;&gt;"",Cus!$A699,"")</f>
        <v/>
      </c>
      <c r="C699" s="16">
        <v>1</v>
      </c>
      <c r="D699" s="3" t="str">
        <f t="shared" si="60"/>
        <v/>
      </c>
      <c r="E699" s="3">
        <f>IF($C699=1,CommissionDD!$A$30,IF($C699=2,CommissionDD!$A$31,CommissionDD!$A$32))</f>
        <v>1500</v>
      </c>
      <c r="F699" s="3" t="str">
        <f t="shared" si="65"/>
        <v/>
      </c>
      <c r="G699" s="38" t="str">
        <f>IF($A699="","",(VLOOKUP($A699,Cus!$A$2:$AH$1001,23,FALSE)))</f>
        <v/>
      </c>
      <c r="H699" s="3" t="str">
        <f t="shared" si="61"/>
        <v/>
      </c>
      <c r="I699" s="56" t="str">
        <f t="shared" si="62"/>
        <v/>
      </c>
      <c r="J699" s="3" t="str">
        <f t="shared" si="63"/>
        <v/>
      </c>
      <c r="K699" s="7" t="str">
        <f t="shared" si="64"/>
        <v/>
      </c>
    </row>
    <row r="700" spans="1:12">
      <c r="A700" s="1" t="str">
        <f>IF(Cus!$B700&lt;&gt;"",Cus!$A700,"")</f>
        <v/>
      </c>
      <c r="C700" s="16">
        <v>1</v>
      </c>
      <c r="D700" s="3" t="str">
        <f t="shared" si="60"/>
        <v/>
      </c>
      <c r="E700" s="3">
        <f>IF($C700=1,CommissionDD!$A$30,IF($C700=2,CommissionDD!$A$31,CommissionDD!$A$32))</f>
        <v>1500</v>
      </c>
      <c r="F700" s="3" t="str">
        <f t="shared" si="65"/>
        <v/>
      </c>
      <c r="G700" s="38" t="str">
        <f>IF($A700="","",(VLOOKUP($A700,Cus!$A$2:$AH$1001,23,FALSE)))</f>
        <v/>
      </c>
      <c r="H700" s="3" t="str">
        <f t="shared" si="61"/>
        <v/>
      </c>
      <c r="I700" s="56" t="str">
        <f t="shared" si="62"/>
        <v/>
      </c>
      <c r="J700" s="3" t="str">
        <f t="shared" si="63"/>
        <v/>
      </c>
      <c r="K700" s="7" t="str">
        <f t="shared" si="64"/>
        <v/>
      </c>
    </row>
    <row r="701" spans="1:12">
      <c r="A701" s="1"/>
    </row>
    <row r="702" spans="1:12">
      <c r="A702" s="1"/>
    </row>
    <row r="703" spans="1:12">
      <c r="A703" s="1"/>
    </row>
    <row r="704" spans="1:12">
      <c r="A704" s="1"/>
    </row>
    <row r="705" spans="1:1">
      <c r="A705" s="1"/>
    </row>
    <row r="706" spans="1:1">
      <c r="A706" s="1"/>
    </row>
    <row r="707" spans="1:1">
      <c r="A707" s="1"/>
    </row>
    <row r="708" spans="1:1">
      <c r="A708" s="1"/>
    </row>
    <row r="709" spans="1:1">
      <c r="A709" s="1"/>
    </row>
    <row r="710" spans="1:1">
      <c r="A710" s="1"/>
    </row>
    <row r="711" spans="1:1">
      <c r="A711" s="1"/>
    </row>
    <row r="712" spans="1:1">
      <c r="A712" s="1"/>
    </row>
    <row r="713" spans="1:1">
      <c r="A713" s="1"/>
    </row>
    <row r="714" spans="1:1">
      <c r="A714" s="1"/>
    </row>
    <row r="715" spans="1:1">
      <c r="A715" s="1"/>
    </row>
    <row r="716" spans="1:1">
      <c r="A716" s="1"/>
    </row>
    <row r="717" spans="1:1">
      <c r="A717" s="1"/>
    </row>
    <row r="718" spans="1:1">
      <c r="A718" s="1"/>
    </row>
    <row r="719" spans="1:1">
      <c r="A719" s="1"/>
    </row>
    <row r="720" spans="1:1">
      <c r="A720" s="1"/>
    </row>
    <row r="721" spans="1:1">
      <c r="A721" s="1"/>
    </row>
    <row r="722" spans="1:1">
      <c r="A722" s="1"/>
    </row>
    <row r="723" spans="1:1">
      <c r="A723" s="1"/>
    </row>
    <row r="724" spans="1:1">
      <c r="A724" s="1"/>
    </row>
    <row r="725" spans="1:1">
      <c r="A725" s="1"/>
    </row>
    <row r="726" spans="1:1">
      <c r="A726" s="1"/>
    </row>
    <row r="727" spans="1:1">
      <c r="A727" s="1"/>
    </row>
    <row r="728" spans="1:1">
      <c r="A728" s="1"/>
    </row>
    <row r="729" spans="1:1">
      <c r="A729" s="1"/>
    </row>
    <row r="730" spans="1:1">
      <c r="A730" s="1"/>
    </row>
    <row r="731" spans="1:1">
      <c r="A731" s="1"/>
    </row>
    <row r="732" spans="1:1">
      <c r="A732" s="1"/>
    </row>
    <row r="733" spans="1:1">
      <c r="A733" s="1"/>
    </row>
    <row r="734" spans="1:1">
      <c r="A734" s="1"/>
    </row>
    <row r="735" spans="1:1">
      <c r="A735" s="1"/>
    </row>
    <row r="736" spans="1:1">
      <c r="A736" s="1"/>
    </row>
    <row r="737" spans="1:1">
      <c r="A737" s="1"/>
    </row>
    <row r="738" spans="1:1">
      <c r="A738" s="1"/>
    </row>
    <row r="739" spans="1:1">
      <c r="A739" s="1"/>
    </row>
    <row r="740" spans="1:1">
      <c r="A740" s="1"/>
    </row>
    <row r="741" spans="1:1">
      <c r="A741" s="1"/>
    </row>
    <row r="742" spans="1:1">
      <c r="A742" s="1"/>
    </row>
    <row r="743" spans="1:1">
      <c r="A743" s="1"/>
    </row>
    <row r="744" spans="1:1">
      <c r="A744" s="1"/>
    </row>
    <row r="745" spans="1:1">
      <c r="A745" s="1"/>
    </row>
    <row r="746" spans="1:1">
      <c r="A746" s="1"/>
    </row>
    <row r="747" spans="1:1">
      <c r="A747" s="1"/>
    </row>
    <row r="748" spans="1:1">
      <c r="A748" s="1"/>
    </row>
    <row r="749" spans="1:1">
      <c r="A749" s="1"/>
    </row>
    <row r="750" spans="1:1">
      <c r="A750" s="1"/>
    </row>
    <row r="751" spans="1:1">
      <c r="A751" s="1"/>
    </row>
    <row r="752" spans="1:1">
      <c r="A752" s="1"/>
    </row>
    <row r="753" spans="1:1">
      <c r="A753" s="1"/>
    </row>
    <row r="754" spans="1:1">
      <c r="A754" s="1"/>
    </row>
    <row r="755" spans="1:1">
      <c r="A755" s="1"/>
    </row>
    <row r="756" spans="1:1">
      <c r="A756" s="1"/>
    </row>
    <row r="757" spans="1:1">
      <c r="A757" s="1"/>
    </row>
    <row r="758" spans="1:1">
      <c r="A758" s="1"/>
    </row>
    <row r="759" spans="1:1">
      <c r="A759" s="1"/>
    </row>
    <row r="760" spans="1:1">
      <c r="A760" s="1"/>
    </row>
    <row r="761" spans="1:1">
      <c r="A761" s="1"/>
    </row>
    <row r="762" spans="1:1">
      <c r="A762" s="1"/>
    </row>
    <row r="763" spans="1:1">
      <c r="A763" s="1"/>
    </row>
    <row r="764" spans="1:1">
      <c r="A764" s="1"/>
    </row>
    <row r="765" spans="1:1">
      <c r="A765" s="1"/>
    </row>
    <row r="766" spans="1:1">
      <c r="A766" s="1"/>
    </row>
    <row r="767" spans="1:1">
      <c r="A767" s="1"/>
    </row>
    <row r="768" spans="1:1">
      <c r="A768" s="1"/>
    </row>
    <row r="769" spans="1:1">
      <c r="A769" s="1"/>
    </row>
    <row r="770" spans="1:1">
      <c r="A770" s="1"/>
    </row>
    <row r="771" spans="1:1">
      <c r="A771" s="1"/>
    </row>
    <row r="772" spans="1:1">
      <c r="A772" s="1"/>
    </row>
    <row r="773" spans="1:1">
      <c r="A773" s="1"/>
    </row>
    <row r="774" spans="1:1">
      <c r="A774" s="1"/>
    </row>
    <row r="775" spans="1:1">
      <c r="A775" s="1"/>
    </row>
    <row r="776" spans="1:1">
      <c r="A776" s="1"/>
    </row>
    <row r="777" spans="1:1">
      <c r="A777" s="1"/>
    </row>
    <row r="778" spans="1:1">
      <c r="A778" s="1"/>
    </row>
    <row r="779" spans="1:1">
      <c r="A779" s="1"/>
    </row>
    <row r="780" spans="1:1">
      <c r="A780" s="1"/>
    </row>
    <row r="781" spans="1:1">
      <c r="A781" s="1"/>
    </row>
    <row r="782" spans="1:1">
      <c r="A782" s="1"/>
    </row>
    <row r="783" spans="1:1">
      <c r="A783" s="1"/>
    </row>
    <row r="784" spans="1:1">
      <c r="A784" s="1"/>
    </row>
    <row r="785" spans="1:1">
      <c r="A785" s="1"/>
    </row>
    <row r="786" spans="1:1">
      <c r="A786" s="1"/>
    </row>
    <row r="787" spans="1:1">
      <c r="A787" s="1"/>
    </row>
    <row r="788" spans="1:1">
      <c r="A788" s="1"/>
    </row>
    <row r="789" spans="1:1">
      <c r="A789" s="1"/>
    </row>
    <row r="790" spans="1:1">
      <c r="A790" s="1"/>
    </row>
    <row r="791" spans="1:1">
      <c r="A791" s="1"/>
    </row>
    <row r="792" spans="1:1">
      <c r="A792" s="1"/>
    </row>
    <row r="793" spans="1:1">
      <c r="A793" s="1"/>
    </row>
    <row r="794" spans="1:1">
      <c r="A794" s="1"/>
    </row>
    <row r="795" spans="1:1">
      <c r="A795" s="1"/>
    </row>
    <row r="796" spans="1:1">
      <c r="A796" s="1"/>
    </row>
    <row r="797" spans="1:1">
      <c r="A797" s="1"/>
    </row>
    <row r="798" spans="1:1">
      <c r="A798" s="1"/>
    </row>
    <row r="799" spans="1:1">
      <c r="A799" s="1"/>
    </row>
    <row r="800" spans="1:1">
      <c r="A800" s="1"/>
    </row>
    <row r="801" spans="1:1">
      <c r="A801" s="1"/>
    </row>
    <row r="802" spans="1:1">
      <c r="A802" s="1"/>
    </row>
    <row r="803" spans="1:1">
      <c r="A803" s="1"/>
    </row>
    <row r="804" spans="1:1">
      <c r="A804" s="1"/>
    </row>
    <row r="805" spans="1:1">
      <c r="A805" s="1"/>
    </row>
    <row r="806" spans="1:1">
      <c r="A806" s="1"/>
    </row>
    <row r="807" spans="1:1">
      <c r="A807" s="1"/>
    </row>
    <row r="808" spans="1:1">
      <c r="A808" s="1"/>
    </row>
    <row r="809" spans="1:1">
      <c r="A809" s="1"/>
    </row>
    <row r="810" spans="1:1">
      <c r="A810" s="1"/>
    </row>
    <row r="811" spans="1:1">
      <c r="A811" s="1"/>
    </row>
    <row r="812" spans="1:1">
      <c r="A812" s="1"/>
    </row>
    <row r="813" spans="1:1">
      <c r="A813" s="1"/>
    </row>
    <row r="814" spans="1:1">
      <c r="A814" s="1"/>
    </row>
    <row r="815" spans="1:1">
      <c r="A815" s="1"/>
    </row>
    <row r="816" spans="1:1">
      <c r="A816" s="1"/>
    </row>
    <row r="817" spans="1:1">
      <c r="A817" s="1"/>
    </row>
    <row r="818" spans="1:1">
      <c r="A818" s="1"/>
    </row>
    <row r="819" spans="1:1">
      <c r="A819" s="1"/>
    </row>
    <row r="820" spans="1:1">
      <c r="A820" s="1"/>
    </row>
    <row r="821" spans="1:1">
      <c r="A821" s="1"/>
    </row>
    <row r="822" spans="1:1">
      <c r="A822" s="1"/>
    </row>
    <row r="823" spans="1:1">
      <c r="A823" s="1"/>
    </row>
    <row r="824" spans="1:1">
      <c r="A824" s="1"/>
    </row>
    <row r="825" spans="1:1">
      <c r="A825" s="1"/>
    </row>
    <row r="826" spans="1:1">
      <c r="A826" s="1"/>
    </row>
    <row r="827" spans="1:1">
      <c r="A827" s="1"/>
    </row>
    <row r="828" spans="1:1">
      <c r="A828" s="1"/>
    </row>
    <row r="829" spans="1:1">
      <c r="A829" s="1"/>
    </row>
    <row r="830" spans="1:1">
      <c r="A830" s="1"/>
    </row>
    <row r="831" spans="1:1">
      <c r="A831" s="1"/>
    </row>
    <row r="832" spans="1:1">
      <c r="A832" s="1"/>
    </row>
    <row r="833" spans="1:1">
      <c r="A833" s="1"/>
    </row>
    <row r="834" spans="1:1">
      <c r="A834" s="1"/>
    </row>
    <row r="835" spans="1:1">
      <c r="A835" s="1"/>
    </row>
    <row r="836" spans="1:1">
      <c r="A836" s="1"/>
    </row>
    <row r="837" spans="1:1">
      <c r="A837" s="1"/>
    </row>
    <row r="838" spans="1:1">
      <c r="A838" s="1"/>
    </row>
    <row r="839" spans="1:1">
      <c r="A839" s="1"/>
    </row>
    <row r="840" spans="1:1">
      <c r="A840" s="1"/>
    </row>
    <row r="841" spans="1:1">
      <c r="A841" s="1"/>
    </row>
    <row r="842" spans="1:1">
      <c r="A842" s="1"/>
    </row>
    <row r="843" spans="1:1">
      <c r="A843" s="1"/>
    </row>
    <row r="844" spans="1:1">
      <c r="A844" s="1"/>
    </row>
    <row r="845" spans="1:1">
      <c r="A845" s="1"/>
    </row>
    <row r="846" spans="1:1">
      <c r="A846" s="1"/>
    </row>
    <row r="847" spans="1:1">
      <c r="A847" s="1"/>
    </row>
    <row r="848" spans="1:1">
      <c r="A848" s="1"/>
    </row>
    <row r="849" spans="1:1">
      <c r="A849" s="1"/>
    </row>
    <row r="850" spans="1:1">
      <c r="A850" s="1"/>
    </row>
    <row r="851" spans="1:1">
      <c r="A851" s="1"/>
    </row>
    <row r="852" spans="1:1">
      <c r="A852" s="1"/>
    </row>
    <row r="853" spans="1:1">
      <c r="A853" s="1"/>
    </row>
    <row r="854" spans="1:1">
      <c r="A854" s="1"/>
    </row>
    <row r="855" spans="1:1">
      <c r="A855" s="1"/>
    </row>
    <row r="856" spans="1:1">
      <c r="A856" s="1"/>
    </row>
    <row r="857" spans="1:1">
      <c r="A857" s="1"/>
    </row>
    <row r="858" spans="1:1">
      <c r="A858" s="1"/>
    </row>
    <row r="859" spans="1:1">
      <c r="A859" s="1"/>
    </row>
    <row r="860" spans="1:1">
      <c r="A860" s="1"/>
    </row>
    <row r="861" spans="1:1">
      <c r="A861" s="1"/>
    </row>
    <row r="862" spans="1:1">
      <c r="A862" s="1"/>
    </row>
    <row r="863" spans="1:1">
      <c r="A863" s="1"/>
    </row>
    <row r="864" spans="1:1">
      <c r="A864" s="1"/>
    </row>
    <row r="865" spans="1:1">
      <c r="A865" s="1"/>
    </row>
    <row r="866" spans="1:1">
      <c r="A866" s="1"/>
    </row>
    <row r="867" spans="1:1">
      <c r="A867" s="1"/>
    </row>
    <row r="868" spans="1:1">
      <c r="A868" s="1"/>
    </row>
    <row r="869" spans="1:1">
      <c r="A869" s="1"/>
    </row>
    <row r="870" spans="1:1">
      <c r="A870" s="1"/>
    </row>
    <row r="871" spans="1:1">
      <c r="A871" s="1"/>
    </row>
    <row r="872" spans="1:1">
      <c r="A872" s="1"/>
    </row>
    <row r="873" spans="1:1">
      <c r="A873" s="1"/>
    </row>
    <row r="874" spans="1:1">
      <c r="A874" s="1"/>
    </row>
    <row r="875" spans="1:1">
      <c r="A875" s="1"/>
    </row>
    <row r="876" spans="1:1">
      <c r="A876" s="1"/>
    </row>
    <row r="877" spans="1:1">
      <c r="A877" s="1"/>
    </row>
    <row r="878" spans="1:1">
      <c r="A878" s="1"/>
    </row>
    <row r="879" spans="1:1">
      <c r="A879" s="1"/>
    </row>
    <row r="880" spans="1:1">
      <c r="A880" s="1"/>
    </row>
    <row r="881" spans="1:1">
      <c r="A881" s="1"/>
    </row>
    <row r="882" spans="1:1">
      <c r="A882" s="1"/>
    </row>
    <row r="883" spans="1:1">
      <c r="A883" s="1"/>
    </row>
    <row r="884" spans="1:1">
      <c r="A884" s="1"/>
    </row>
    <row r="885" spans="1:1">
      <c r="A885" s="1"/>
    </row>
    <row r="886" spans="1:1">
      <c r="A886" s="1"/>
    </row>
    <row r="887" spans="1:1">
      <c r="A887" s="1"/>
    </row>
    <row r="888" spans="1:1">
      <c r="A888" s="1"/>
    </row>
    <row r="889" spans="1:1">
      <c r="A889" s="1"/>
    </row>
    <row r="890" spans="1:1">
      <c r="A890" s="1"/>
    </row>
    <row r="891" spans="1:1">
      <c r="A891" s="1"/>
    </row>
    <row r="892" spans="1:1">
      <c r="A892" s="1"/>
    </row>
    <row r="893" spans="1:1">
      <c r="A893" s="1"/>
    </row>
    <row r="894" spans="1:1">
      <c r="A894" s="1"/>
    </row>
    <row r="895" spans="1:1">
      <c r="A895" s="1"/>
    </row>
    <row r="896" spans="1:1">
      <c r="A896" s="1"/>
    </row>
    <row r="897" spans="1:1">
      <c r="A897" s="1"/>
    </row>
    <row r="898" spans="1:1">
      <c r="A898" s="1"/>
    </row>
    <row r="899" spans="1:1">
      <c r="A899" s="1"/>
    </row>
    <row r="900" spans="1:1">
      <c r="A900" s="1"/>
    </row>
    <row r="901" spans="1:1">
      <c r="A901" s="1"/>
    </row>
    <row r="902" spans="1:1">
      <c r="A902" s="1"/>
    </row>
    <row r="903" spans="1:1">
      <c r="A903" s="1"/>
    </row>
    <row r="904" spans="1:1">
      <c r="A904" s="1"/>
    </row>
    <row r="905" spans="1:1">
      <c r="A905" s="1"/>
    </row>
    <row r="906" spans="1:1">
      <c r="A906" s="1"/>
    </row>
    <row r="907" spans="1:1">
      <c r="A907" s="1"/>
    </row>
    <row r="908" spans="1:1">
      <c r="A908" s="1"/>
    </row>
    <row r="909" spans="1:1">
      <c r="A909" s="1"/>
    </row>
    <row r="910" spans="1:1">
      <c r="A910" s="1"/>
    </row>
    <row r="911" spans="1:1">
      <c r="A911" s="1"/>
    </row>
    <row r="912" spans="1:1">
      <c r="A912" s="1"/>
    </row>
    <row r="913" spans="1:1">
      <c r="A913" s="1"/>
    </row>
    <row r="914" spans="1:1">
      <c r="A914" s="1"/>
    </row>
    <row r="915" spans="1:1">
      <c r="A915" s="1"/>
    </row>
    <row r="916" spans="1:1">
      <c r="A916" s="1"/>
    </row>
    <row r="917" spans="1:1">
      <c r="A917" s="1"/>
    </row>
    <row r="918" spans="1:1">
      <c r="A918" s="1"/>
    </row>
    <row r="919" spans="1:1">
      <c r="A919" s="1"/>
    </row>
    <row r="920" spans="1:1">
      <c r="A920" s="1"/>
    </row>
    <row r="921" spans="1:1">
      <c r="A921" s="1"/>
    </row>
    <row r="922" spans="1:1">
      <c r="A922" s="1"/>
    </row>
    <row r="923" spans="1:1">
      <c r="A923" s="1"/>
    </row>
    <row r="924" spans="1:1">
      <c r="A924" s="1"/>
    </row>
    <row r="925" spans="1:1">
      <c r="A925" s="1"/>
    </row>
    <row r="926" spans="1:1">
      <c r="A926" s="1"/>
    </row>
    <row r="927" spans="1:1">
      <c r="A927" s="1"/>
    </row>
    <row r="928" spans="1:1">
      <c r="A928" s="1"/>
    </row>
    <row r="929" spans="1:1">
      <c r="A929" s="1"/>
    </row>
    <row r="930" spans="1:1">
      <c r="A930" s="1"/>
    </row>
    <row r="931" spans="1:1">
      <c r="A931" s="1"/>
    </row>
    <row r="932" spans="1:1">
      <c r="A932" s="1"/>
    </row>
    <row r="933" spans="1:1">
      <c r="A933" s="1"/>
    </row>
    <row r="934" spans="1:1">
      <c r="A934" s="1"/>
    </row>
    <row r="935" spans="1:1">
      <c r="A935" s="1"/>
    </row>
    <row r="936" spans="1:1">
      <c r="A936" s="1"/>
    </row>
    <row r="937" spans="1:1">
      <c r="A937" s="1"/>
    </row>
    <row r="938" spans="1:1">
      <c r="A938" s="1"/>
    </row>
    <row r="939" spans="1:1">
      <c r="A939" s="1"/>
    </row>
    <row r="940" spans="1:1">
      <c r="A940" s="1"/>
    </row>
    <row r="941" spans="1:1">
      <c r="A941" s="1"/>
    </row>
    <row r="942" spans="1:1">
      <c r="A942" s="1"/>
    </row>
    <row r="943" spans="1:1">
      <c r="A943" s="1"/>
    </row>
    <row r="944" spans="1:1">
      <c r="A944" s="1"/>
    </row>
    <row r="945" spans="1:1">
      <c r="A945" s="1"/>
    </row>
    <row r="946" spans="1:1">
      <c r="A946" s="1"/>
    </row>
    <row r="947" spans="1:1">
      <c r="A947" s="1"/>
    </row>
    <row r="948" spans="1:1">
      <c r="A948" s="1"/>
    </row>
    <row r="949" spans="1:1">
      <c r="A949" s="1"/>
    </row>
    <row r="950" spans="1:1">
      <c r="A950" s="1"/>
    </row>
    <row r="951" spans="1:1">
      <c r="A951" s="1"/>
    </row>
    <row r="952" spans="1:1">
      <c r="A952" s="1"/>
    </row>
    <row r="953" spans="1:1">
      <c r="A953" s="1"/>
    </row>
    <row r="954" spans="1:1">
      <c r="A954" s="1"/>
    </row>
    <row r="955" spans="1:1">
      <c r="A955" s="1"/>
    </row>
    <row r="956" spans="1:1">
      <c r="A956" s="1"/>
    </row>
    <row r="957" spans="1:1">
      <c r="A957" s="1"/>
    </row>
    <row r="958" spans="1:1">
      <c r="A958" s="1"/>
    </row>
    <row r="959" spans="1:1">
      <c r="A959" s="1"/>
    </row>
    <row r="960" spans="1:1">
      <c r="A960" s="1"/>
    </row>
    <row r="961" spans="1:1">
      <c r="A961" s="1"/>
    </row>
    <row r="962" spans="1:1">
      <c r="A962" s="1"/>
    </row>
    <row r="963" spans="1:1">
      <c r="A963" s="1"/>
    </row>
    <row r="964" spans="1:1">
      <c r="A964" s="1"/>
    </row>
    <row r="965" spans="1:1">
      <c r="A965" s="1"/>
    </row>
    <row r="966" spans="1:1">
      <c r="A966" s="1"/>
    </row>
    <row r="967" spans="1:1">
      <c r="A967" s="1"/>
    </row>
    <row r="968" spans="1:1">
      <c r="A968" s="1"/>
    </row>
    <row r="969" spans="1:1">
      <c r="A969" s="1"/>
    </row>
    <row r="970" spans="1:1">
      <c r="A970" s="1"/>
    </row>
    <row r="971" spans="1:1">
      <c r="A971" s="1"/>
    </row>
    <row r="972" spans="1:1">
      <c r="A972" s="1"/>
    </row>
    <row r="973" spans="1:1">
      <c r="A973" s="1"/>
    </row>
    <row r="974" spans="1:1">
      <c r="A974" s="1"/>
    </row>
    <row r="975" spans="1:1">
      <c r="A975" s="1"/>
    </row>
    <row r="976" spans="1:1">
      <c r="A976" s="1"/>
    </row>
    <row r="977" spans="1:1">
      <c r="A977" s="1"/>
    </row>
    <row r="978" spans="1:1">
      <c r="A978" s="1"/>
    </row>
    <row r="979" spans="1:1">
      <c r="A979" s="1"/>
    </row>
    <row r="980" spans="1:1">
      <c r="A980" s="1"/>
    </row>
    <row r="981" spans="1:1">
      <c r="A981" s="1"/>
    </row>
    <row r="982" spans="1:1">
      <c r="A982" s="1"/>
    </row>
    <row r="983" spans="1:1">
      <c r="A983" s="1"/>
    </row>
    <row r="984" spans="1:1">
      <c r="A984" s="1"/>
    </row>
    <row r="985" spans="1:1">
      <c r="A985" s="1"/>
    </row>
    <row r="986" spans="1:1">
      <c r="A986" s="1"/>
    </row>
    <row r="987" spans="1:1">
      <c r="A987" s="1"/>
    </row>
    <row r="988" spans="1:1">
      <c r="A988" s="1"/>
    </row>
    <row r="989" spans="1:1">
      <c r="A989" s="1"/>
    </row>
    <row r="990" spans="1:1">
      <c r="A990" s="1"/>
    </row>
    <row r="991" spans="1:1">
      <c r="A991" s="1"/>
    </row>
    <row r="992" spans="1:1">
      <c r="A992" s="1"/>
    </row>
    <row r="993" spans="1:1">
      <c r="A993" s="1"/>
    </row>
    <row r="994" spans="1:1">
      <c r="A994" s="1"/>
    </row>
    <row r="995" spans="1:1">
      <c r="A995" s="1"/>
    </row>
    <row r="996" spans="1:1">
      <c r="A996" s="1"/>
    </row>
    <row r="997" spans="1:1">
      <c r="A997" s="1"/>
    </row>
    <row r="998" spans="1:1">
      <c r="A998" s="1"/>
    </row>
    <row r="999" spans="1:1">
      <c r="A999" s="1"/>
    </row>
    <row r="1000" spans="1:1">
      <c r="A1000" s="1"/>
    </row>
    <row r="1001" spans="1:1">
      <c r="A1001" s="1"/>
    </row>
  </sheetData>
  <dataValidations count="3">
    <dataValidation type="list" allowBlank="1" showInputMessage="1" showErrorMessage="1" sqref="C2:C49 C293:C700 C290:C291 C51:C288">
      <formula1>CommissionDD!$E$30:$E$32</formula1>
    </dataValidation>
    <dataValidation errorStyle="warning" showInputMessage="1" showErrorMessage="1" error="Do not change values" sqref="A1:A288 A293:A1048576 A290:A291"/>
    <dataValidation type="list" allowBlank="1" showInputMessage="1" showErrorMessage="1" sqref="C50">
      <formula1>[2]CommissionDD!$E$30:$E$32</formula1>
    </dataValidation>
  </dataValidations>
  <pageMargins left="0.7" right="0.7" top="0.75" bottom="0.75" header="0.3" footer="0.3"/>
  <pageSetup paperSize="9" orientation="portrait" horizontalDpi="4294967293" verticalDpi="0" r:id="rId1"/>
  <legacyDrawing r:id="rId2"/>
</worksheet>
</file>

<file path=xl/worksheets/sheet9.xml><?xml version="1.0" encoding="utf-8"?>
<worksheet xmlns="http://schemas.openxmlformats.org/spreadsheetml/2006/main" xmlns:r="http://schemas.openxmlformats.org/officeDocument/2006/relationships">
  <sheetPr codeName="Sheet7"/>
  <dimension ref="A1:J53"/>
  <sheetViews>
    <sheetView zoomScaleNormal="100" workbookViewId="0"/>
  </sheetViews>
  <sheetFormatPr defaultColWidth="9.140625" defaultRowHeight="12.75"/>
  <cols>
    <col min="1" max="1" width="60.140625" style="2" customWidth="1"/>
    <col min="2" max="2" width="16.7109375" style="56" customWidth="1"/>
    <col min="3" max="4" width="16.7109375" style="2" customWidth="1"/>
    <col min="5" max="5" width="16.7109375" style="56" customWidth="1"/>
    <col min="6" max="7" width="16.7109375" style="2" customWidth="1"/>
    <col min="8" max="8" width="16.7109375" style="56" customWidth="1"/>
    <col min="9" max="10" width="16.7109375" style="2" customWidth="1"/>
    <col min="11" max="16384" width="9.140625" style="2"/>
  </cols>
  <sheetData>
    <row r="1" spans="1:10" ht="15">
      <c r="A1" s="45" t="s">
        <v>92</v>
      </c>
      <c r="B1" s="56" t="s">
        <v>59</v>
      </c>
      <c r="C1" s="2" t="s">
        <v>484</v>
      </c>
      <c r="I1" s="44"/>
      <c r="J1" s="83"/>
    </row>
    <row r="2" spans="1:10">
      <c r="A2" s="41" t="str">
        <f>TEXT(CommissionDD!$A$36, "mmmm yyyy")</f>
        <v>December 2013</v>
      </c>
      <c r="B2" s="56" t="s">
        <v>60</v>
      </c>
      <c r="C2" s="2" t="str">
        <f>LOOKUP(C1,Cus!$A2:'Cus'!$A1000,Cus!$F2:'Cus'!$F1000)</f>
        <v>Annie    Lochner</v>
      </c>
      <c r="E2" s="56" t="str">
        <f>LOOKUP(C1,Cus!$A2:'Cus'!$A1000,Cus!$G2:'Cus'!$G1000)</f>
        <v>Roux</v>
      </c>
      <c r="I2" s="44"/>
      <c r="J2" s="83"/>
    </row>
    <row r="3" spans="1:10">
      <c r="I3" s="44"/>
      <c r="J3" s="83"/>
    </row>
    <row r="4" spans="1:10">
      <c r="A4" s="41"/>
      <c r="I4" s="44"/>
      <c r="J4" s="83"/>
    </row>
    <row r="5" spans="1:10">
      <c r="I5" s="44"/>
      <c r="J5" s="83"/>
    </row>
    <row r="6" spans="1:10">
      <c r="A6" s="43" t="s">
        <v>252</v>
      </c>
      <c r="J6" s="83"/>
    </row>
    <row r="7" spans="1:10" s="40" customFormat="1" ht="51">
      <c r="A7" s="42" t="s">
        <v>61</v>
      </c>
      <c r="B7" s="57" t="s">
        <v>1308</v>
      </c>
      <c r="C7" s="40" t="s">
        <v>1307</v>
      </c>
      <c r="D7" s="40" t="s">
        <v>64</v>
      </c>
      <c r="E7" s="57" t="s">
        <v>1309</v>
      </c>
      <c r="F7" s="40" t="s">
        <v>1310</v>
      </c>
      <c r="G7" s="40" t="s">
        <v>1311</v>
      </c>
      <c r="H7" s="57" t="s">
        <v>1312</v>
      </c>
      <c r="I7" s="40" t="s">
        <v>1315</v>
      </c>
      <c r="J7" s="40" t="s">
        <v>1314</v>
      </c>
    </row>
    <row r="9" spans="1:10">
      <c r="A9" s="2" t="s">
        <v>101</v>
      </c>
      <c r="B9" s="56">
        <f>VLOOKUP($C$1,Cus!$A$2:'Cus'!$AH$1001,28,FALSE)</f>
        <v>2</v>
      </c>
      <c r="C9" s="3">
        <f>IF((VLOOKUP($C$1,Acc!$A$2:$L$1001,11,FALSE))&lt;=CommissionDD!$A$36,((VLOOKUP($C$1,Acc!$A$2:'Acc'!$L$1001,8,FALSE))*$B9),0)</f>
        <v>0</v>
      </c>
      <c r="D9" s="3">
        <f>CommissionDD!$C3*$C9</f>
        <v>0</v>
      </c>
      <c r="E9" s="58">
        <v>0</v>
      </c>
      <c r="F9" s="3">
        <f>IF(Acc!$K3&lt;=CommissionDD!$A$36,((VLOOKUP($C$1,Acc!$A$2:'Acc'!$L$1001,8,FALSE))*$E9),0)</f>
        <v>0</v>
      </c>
      <c r="G9" s="3">
        <f>CommissionDD!$C3*F9</f>
        <v>0</v>
      </c>
      <c r="H9" s="56">
        <f>$B9-$E9</f>
        <v>2</v>
      </c>
      <c r="I9" s="3">
        <f>IF($H$9&gt;=2,$C9-$F9,0)</f>
        <v>0</v>
      </c>
      <c r="J9" s="3">
        <f>D9-G9</f>
        <v>0</v>
      </c>
    </row>
    <row r="10" spans="1:10">
      <c r="A10" s="2" t="s">
        <v>102</v>
      </c>
      <c r="B10" s="56">
        <f>VLOOKUP($C$1,Cus!$A$2:'Cus'!$AH$1001,29,FALSE)</f>
        <v>1</v>
      </c>
      <c r="C10" s="3">
        <f>IF((VLOOKUP($C$1,Acc!$A$2:$L$1001,11,FALSE))&lt;=CommissionDD!$A$36,((VLOOKUP($C$1,Acc!$A$2:'Acc'!$L$1001,8,FALSE))*$B10),0)</f>
        <v>0</v>
      </c>
      <c r="D10" s="3">
        <f>CommissionDD!$C4*$C10</f>
        <v>0</v>
      </c>
      <c r="E10" s="58">
        <v>0</v>
      </c>
      <c r="F10" s="3">
        <f>IF(Acc!$K4&lt;=CommissionDD!$A$36,((VLOOKUP($C$1,Acc!$A$2:'Acc'!$L$1001,8,FALSE))*$E10),0)</f>
        <v>0</v>
      </c>
      <c r="G10" s="3">
        <f>CommissionDD!$C4*F10</f>
        <v>0</v>
      </c>
      <c r="H10" s="56">
        <f t="shared" ref="H10:H15" si="0">$B10-$E10</f>
        <v>1</v>
      </c>
      <c r="I10" s="3">
        <f t="shared" ref="I10:I15" si="1">IF($H$9&gt;=2,$C10-$F10,0)</f>
        <v>0</v>
      </c>
      <c r="J10" s="3">
        <f t="shared" ref="J10:J15" si="2">D10-G10</f>
        <v>0</v>
      </c>
    </row>
    <row r="11" spans="1:10">
      <c r="A11" s="2" t="s">
        <v>103</v>
      </c>
      <c r="B11" s="56">
        <f>VLOOKUP($C$1,Cus!$A$2:'Cus'!$AH$1001,30,FALSE)</f>
        <v>0</v>
      </c>
      <c r="C11" s="3">
        <f>IF((VLOOKUP($C$1,Acc!$A$2:$L$1001,11,FALSE))&lt;=CommissionDD!$A$36,((VLOOKUP($C$1,Acc!$A$2:'Acc'!$L$1001,8,FALSE))*$B11),0)</f>
        <v>0</v>
      </c>
      <c r="D11" s="3">
        <f>CommissionDD!$C5*$C11</f>
        <v>0</v>
      </c>
      <c r="E11" s="58">
        <v>0</v>
      </c>
      <c r="F11" s="3">
        <f>IF(Acc!$K5&lt;=CommissionDD!$A$36,((VLOOKUP($C$1,Acc!$A$2:'Acc'!$L$1001,8,FALSE))*$E11),0)</f>
        <v>0</v>
      </c>
      <c r="G11" s="3">
        <f>CommissionDD!$C5*F11</f>
        <v>0</v>
      </c>
      <c r="H11" s="56">
        <f t="shared" si="0"/>
        <v>0</v>
      </c>
      <c r="I11" s="3">
        <f t="shared" si="1"/>
        <v>0</v>
      </c>
      <c r="J11" s="3">
        <f t="shared" si="2"/>
        <v>0</v>
      </c>
    </row>
    <row r="12" spans="1:10">
      <c r="A12" s="2" t="s">
        <v>104</v>
      </c>
      <c r="B12" s="56">
        <f>VLOOKUP($C$1,Cus!$A$2:'Cus'!$AH$1001,31,FALSE)</f>
        <v>0</v>
      </c>
      <c r="C12" s="3">
        <f>IF((VLOOKUP($C$1,Acc!$A$2:$L$1001,11,FALSE))&lt;=CommissionDD!$A$36,((VLOOKUP($C$1,Acc!$A$2:'Acc'!$L$1001,8,FALSE))*$B12),0)</f>
        <v>0</v>
      </c>
      <c r="D12" s="3">
        <f>CommissionDD!$C6*$C12</f>
        <v>0</v>
      </c>
      <c r="E12" s="58">
        <v>0</v>
      </c>
      <c r="F12" s="3">
        <f>IF(Acc!$K6&lt;=CommissionDD!$A$36,((VLOOKUP($C$1,Acc!$A$2:'Acc'!$L$1001,8,FALSE))*$E12),0)</f>
        <v>0</v>
      </c>
      <c r="G12" s="3">
        <f>CommissionDD!$C6*F12</f>
        <v>0</v>
      </c>
      <c r="H12" s="56">
        <f t="shared" si="0"/>
        <v>0</v>
      </c>
      <c r="I12" s="3">
        <f t="shared" si="1"/>
        <v>0</v>
      </c>
      <c r="J12" s="3">
        <f t="shared" si="2"/>
        <v>0</v>
      </c>
    </row>
    <row r="13" spans="1:10">
      <c r="A13" s="2" t="s">
        <v>105</v>
      </c>
      <c r="B13" s="56">
        <f>VLOOKUP($C$1,Cus!$A$2:'Cus'!$AH$1001,32,FALSE)</f>
        <v>0</v>
      </c>
      <c r="C13" s="3">
        <f>IF((VLOOKUP($C$1,Acc!$A$2:$L$1001,11,FALSE))&lt;=CommissionDD!$A$36,((VLOOKUP($C$1,Acc!$A$2:'Acc'!$L$1001,8,FALSE))*$B13),0)</f>
        <v>0</v>
      </c>
      <c r="D13" s="3">
        <f>CommissionDD!$C7*$C13</f>
        <v>0</v>
      </c>
      <c r="E13" s="58">
        <v>0</v>
      </c>
      <c r="F13" s="3">
        <f>IF(Acc!$K7&lt;=CommissionDD!$A$36,((VLOOKUP($C$1,Acc!$A$2:'Acc'!$L$1001,8,FALSE))*$E13),0)</f>
        <v>0</v>
      </c>
      <c r="G13" s="3">
        <f>CommissionDD!$C7*F13</f>
        <v>0</v>
      </c>
      <c r="H13" s="56">
        <f t="shared" si="0"/>
        <v>0</v>
      </c>
      <c r="I13" s="3">
        <f t="shared" si="1"/>
        <v>0</v>
      </c>
      <c r="J13" s="3">
        <f t="shared" si="2"/>
        <v>0</v>
      </c>
    </row>
    <row r="14" spans="1:10">
      <c r="A14" s="2" t="s">
        <v>106</v>
      </c>
      <c r="B14" s="56">
        <f>VLOOKUP($C$1,Cus!$A$2:'Cus'!$AH$1001,33,FALSE)</f>
        <v>0</v>
      </c>
      <c r="C14" s="3">
        <f>IF((VLOOKUP($C$1,Acc!$A$2:$L$1001,11,FALSE))&lt;=CommissionDD!$A$36,((VLOOKUP($C$1,Acc!$A$2:'Acc'!$L$1001,8,FALSE))*$B14),0)</f>
        <v>0</v>
      </c>
      <c r="D14" s="3">
        <f>CommissionDD!$C8*$C14</f>
        <v>0</v>
      </c>
      <c r="E14" s="58">
        <v>0</v>
      </c>
      <c r="F14" s="3">
        <f>IF(Acc!$K8&lt;=CommissionDD!$A$36,((VLOOKUP($C$1,Acc!$A$2:'Acc'!$L$1001,8,FALSE))*$E14),0)</f>
        <v>0</v>
      </c>
      <c r="G14" s="3">
        <f>CommissionDD!$C8*F14</f>
        <v>0</v>
      </c>
      <c r="H14" s="56">
        <f t="shared" si="0"/>
        <v>0</v>
      </c>
      <c r="I14" s="3">
        <f t="shared" si="1"/>
        <v>0</v>
      </c>
      <c r="J14" s="3">
        <f t="shared" si="2"/>
        <v>0</v>
      </c>
    </row>
    <row r="15" spans="1:10">
      <c r="A15" s="2" t="s">
        <v>107</v>
      </c>
      <c r="B15" s="56">
        <f>VLOOKUP($C$1,Cus!$A$2:'Cus'!$AH$1001,34,FALSE)</f>
        <v>0</v>
      </c>
      <c r="C15" s="3">
        <f>IF((VLOOKUP($C$1,Acc!$A$2:$L$1001,11,FALSE))&lt;=CommissionDD!$A$36,((VLOOKUP($C$1,Acc!$A$2:'Acc'!$L$1001,8,FALSE))*$B15),0)</f>
        <v>0</v>
      </c>
      <c r="D15" s="3">
        <f>CommissionDD!$C9*$C15</f>
        <v>0</v>
      </c>
      <c r="E15" s="58">
        <v>0</v>
      </c>
      <c r="F15" s="3">
        <f>IF(Acc!$K9&lt;=CommissionDD!$A$36,((VLOOKUP($C$1,Acc!$A$2:'Acc'!$L$1001,8,FALSE))*$E15),0)</f>
        <v>0</v>
      </c>
      <c r="G15" s="3">
        <f>CommissionDD!$C9*F15</f>
        <v>0</v>
      </c>
      <c r="H15" s="56">
        <f t="shared" si="0"/>
        <v>0</v>
      </c>
      <c r="I15" s="3">
        <f t="shared" si="1"/>
        <v>0</v>
      </c>
      <c r="J15" s="3">
        <f t="shared" si="2"/>
        <v>0</v>
      </c>
    </row>
    <row r="17" spans="1:10">
      <c r="A17" s="8" t="s">
        <v>78</v>
      </c>
      <c r="B17" s="56">
        <f t="shared" ref="B17:J17" si="3">SUM(B9:B16)</f>
        <v>3</v>
      </c>
      <c r="C17" s="3">
        <f t="shared" si="3"/>
        <v>0</v>
      </c>
      <c r="D17" s="3">
        <f t="shared" si="3"/>
        <v>0</v>
      </c>
      <c r="E17" s="56">
        <f t="shared" si="3"/>
        <v>0</v>
      </c>
      <c r="F17" s="3">
        <f t="shared" si="3"/>
        <v>0</v>
      </c>
      <c r="G17" s="3">
        <f t="shared" si="3"/>
        <v>0</v>
      </c>
      <c r="H17" s="56">
        <f t="shared" si="3"/>
        <v>3</v>
      </c>
      <c r="I17" s="3">
        <f t="shared" si="3"/>
        <v>0</v>
      </c>
      <c r="J17" s="3">
        <f t="shared" si="3"/>
        <v>0</v>
      </c>
    </row>
    <row r="19" spans="1:10">
      <c r="A19" s="43" t="s">
        <v>253</v>
      </c>
    </row>
    <row r="20" spans="1:10" s="40" customFormat="1" ht="38.25">
      <c r="A20" s="42" t="s">
        <v>1306</v>
      </c>
      <c r="B20" s="57" t="s">
        <v>1317</v>
      </c>
      <c r="E20" s="57"/>
      <c r="H20" s="57"/>
      <c r="J20" s="40" t="s">
        <v>1316</v>
      </c>
    </row>
    <row r="22" spans="1:10">
      <c r="A22" s="2" t="s">
        <v>1257</v>
      </c>
      <c r="B22" s="56">
        <f>IF((SUM($B$9:$B9)&gt;=CommissionDD!$E14),1,0)</f>
        <v>0</v>
      </c>
      <c r="J22" s="3">
        <f>IF($B22=1,CommissionDD!$C14,0)</f>
        <v>0</v>
      </c>
    </row>
    <row r="23" spans="1:10">
      <c r="A23" s="2" t="s">
        <v>1258</v>
      </c>
      <c r="B23" s="56">
        <f>IF((SUM($B$9:$B10)&gt;=CommissionDD!$E15),1,0)</f>
        <v>0</v>
      </c>
      <c r="J23" s="3">
        <f>IF($B23=1,CommissionDD!$C15,0)</f>
        <v>0</v>
      </c>
    </row>
    <row r="24" spans="1:10">
      <c r="A24" s="2" t="s">
        <v>1259</v>
      </c>
      <c r="B24" s="56">
        <f>IF((SUM($B$9:$B11)&gt;=CommissionDD!$E16),1,0)</f>
        <v>0</v>
      </c>
      <c r="J24" s="3">
        <f>IF($B24=1,CommissionDD!$C16,0)</f>
        <v>0</v>
      </c>
    </row>
    <row r="25" spans="1:10">
      <c r="A25" s="2" t="s">
        <v>1256</v>
      </c>
      <c r="B25" s="56">
        <f>IF((SUM($B$9:$B12)&gt;=CommissionDD!$E17),1,0)</f>
        <v>0</v>
      </c>
      <c r="J25" s="3">
        <f>IF($B25=1,CommissionDD!$C17,0)</f>
        <v>0</v>
      </c>
    </row>
    <row r="26" spans="1:10">
      <c r="A26" s="2" t="s">
        <v>1260</v>
      </c>
      <c r="B26" s="56">
        <f>IF((SUM($B$9:$B13)&gt;=CommissionDD!$E18),1,0)</f>
        <v>0</v>
      </c>
      <c r="J26" s="3">
        <f>IF($B26=1,CommissionDD!$C18,0)</f>
        <v>0</v>
      </c>
    </row>
    <row r="27" spans="1:10">
      <c r="A27" s="2" t="s">
        <v>1261</v>
      </c>
      <c r="B27" s="56">
        <f>IF((SUM($B$9:$B13)&gt;=CommissionDD!$E19),1,0)</f>
        <v>0</v>
      </c>
      <c r="J27" s="3">
        <f>IF($B27=1,CommissionDD!$C19,0)</f>
        <v>0</v>
      </c>
    </row>
    <row r="28" spans="1:10">
      <c r="A28" s="2" t="s">
        <v>1262</v>
      </c>
      <c r="B28" s="56">
        <f>IF((SUM($B$9:$B13)&gt;=CommissionDD!$E20),1,0)</f>
        <v>0</v>
      </c>
      <c r="J28" s="3">
        <f>IF($B28=1,CommissionDD!$C20,0)</f>
        <v>0</v>
      </c>
    </row>
    <row r="29" spans="1:10">
      <c r="A29" s="2" t="s">
        <v>1252</v>
      </c>
      <c r="B29" s="56">
        <f>IF((SUM($B$9:$B14)&gt;=CommissionDD!$E21),1,0)</f>
        <v>0</v>
      </c>
      <c r="J29" s="3">
        <f>IF($B29=1,CommissionDD!$C21,0)</f>
        <v>0</v>
      </c>
    </row>
    <row r="30" spans="1:10">
      <c r="A30" s="2" t="s">
        <v>1265</v>
      </c>
      <c r="B30" s="56">
        <f>IF((SUM($B$9:$B$15)&gt;=CommissionDD!$E22),1,0)</f>
        <v>0</v>
      </c>
      <c r="J30" s="3">
        <f>IF($B30=1,CommissionDD!$C22,0)</f>
        <v>0</v>
      </c>
    </row>
    <row r="31" spans="1:10">
      <c r="A31" s="2" t="s">
        <v>1264</v>
      </c>
      <c r="B31" s="56">
        <f>IF((SUM($B$9:$B$15)&gt;=CommissionDD!$E23),1,0)</f>
        <v>0</v>
      </c>
      <c r="J31" s="3">
        <f>IF($B31=1,CommissionDD!$C23,0)</f>
        <v>0</v>
      </c>
    </row>
    <row r="32" spans="1:10">
      <c r="A32" s="2" t="s">
        <v>1263</v>
      </c>
      <c r="B32" s="56">
        <f>IF((SUM($B$9:$B$15)&gt;=CommissionDD!$E24),1,0)</f>
        <v>0</v>
      </c>
      <c r="J32" s="3">
        <f>IF($B32=1,CommissionDD!$C24,0)</f>
        <v>0</v>
      </c>
    </row>
    <row r="33" spans="1:10">
      <c r="A33" s="2" t="s">
        <v>1253</v>
      </c>
      <c r="B33" s="56">
        <f>IF((SUM($B$9:$B$15)&gt;=CommissionDD!$E25),1,0)</f>
        <v>0</v>
      </c>
      <c r="J33" s="3">
        <f>IF($B33=1,CommissionDD!$C25,0)</f>
        <v>0</v>
      </c>
    </row>
    <row r="35" spans="1:10">
      <c r="A35" s="8" t="s">
        <v>78</v>
      </c>
      <c r="B35" s="56">
        <f>SUM(B22:B34)</f>
        <v>0</v>
      </c>
      <c r="C35" s="3"/>
      <c r="D35" s="3"/>
      <c r="F35" s="3"/>
      <c r="G35" s="3"/>
      <c r="I35" s="3"/>
      <c r="J35" s="3">
        <f t="shared" ref="J35" si="4">SUM(J22:J34)</f>
        <v>0</v>
      </c>
    </row>
    <row r="37" spans="1:10">
      <c r="A37" s="43" t="s">
        <v>254</v>
      </c>
    </row>
    <row r="38" spans="1:10" s="40" customFormat="1" ht="38.25">
      <c r="A38" s="42"/>
      <c r="B38" s="57"/>
      <c r="E38" s="57"/>
      <c r="H38" s="57"/>
      <c r="I38" s="40" t="s">
        <v>1319</v>
      </c>
      <c r="J38" s="40" t="s">
        <v>1313</v>
      </c>
    </row>
    <row r="39" spans="1:10">
      <c r="A39" s="2" t="s">
        <v>84</v>
      </c>
      <c r="I39" s="3">
        <f>IF((VLOOKUP($C$1,Acc!$A$2:$L$1001,7,FALSE))&lt;=(VLOOKUP($C$1,Acc!$A$2:$L$1001,11,FALSE)),(VLOOKUP($C$1,Acc!$A$2:$L$1001,5,FALSE)),0)</f>
        <v>750</v>
      </c>
      <c r="J39" s="3">
        <f>20%*$I39</f>
        <v>150</v>
      </c>
    </row>
    <row r="41" spans="1:10">
      <c r="A41" s="8" t="s">
        <v>78</v>
      </c>
      <c r="I41" s="3">
        <f>SUM(I39:I40)</f>
        <v>750</v>
      </c>
      <c r="J41" s="3">
        <f>SUM(J39:J40)</f>
        <v>150</v>
      </c>
    </row>
    <row r="43" spans="1:10">
      <c r="A43" s="43" t="s">
        <v>255</v>
      </c>
    </row>
    <row r="44" spans="1:10" s="40" customFormat="1" ht="38.25">
      <c r="B44" s="57"/>
      <c r="E44" s="57"/>
      <c r="H44" s="57"/>
      <c r="J44" s="40" t="s">
        <v>86</v>
      </c>
    </row>
    <row r="45" spans="1:10">
      <c r="A45" s="10" t="s">
        <v>1318</v>
      </c>
      <c r="J45" s="37">
        <v>0</v>
      </c>
    </row>
    <row r="46" spans="1:10">
      <c r="A46" s="10"/>
      <c r="J46" s="37">
        <v>0</v>
      </c>
    </row>
    <row r="47" spans="1:10">
      <c r="A47" s="10"/>
      <c r="J47" s="37">
        <v>0</v>
      </c>
    </row>
    <row r="49" spans="1:10">
      <c r="A49" s="8" t="s">
        <v>78</v>
      </c>
      <c r="J49" s="3">
        <f>SUM(J45:J48)</f>
        <v>0</v>
      </c>
    </row>
    <row r="51" spans="1:10" ht="38.25">
      <c r="A51" s="43" t="s">
        <v>87</v>
      </c>
    </row>
    <row r="52" spans="1:10" s="40" customFormat="1" ht="38.25">
      <c r="B52" s="57"/>
      <c r="E52" s="57"/>
      <c r="H52" s="57"/>
      <c r="J52" s="40" t="s">
        <v>87</v>
      </c>
    </row>
    <row r="53" spans="1:10">
      <c r="A53" s="2" t="s">
        <v>1320</v>
      </c>
      <c r="J53" s="3">
        <f>(SUM(J17,J35,J41))-J49</f>
        <v>150</v>
      </c>
    </row>
  </sheetData>
  <mergeCells count="1">
    <mergeCell ref="J1:J6"/>
  </mergeCells>
  <dataValidations count="1">
    <dataValidation type="list" allowBlank="1" showInputMessage="1" showErrorMessage="1" sqref="C1">
      <formula1>Cus!$A$2:$A$1000</formula1>
    </dataValidation>
  </dataValidations>
  <pageMargins left="0.70866141732283472" right="0.70866141732283472" top="0.74803149606299213" bottom="0.74803149606299213" header="0.31496062992125984" footer="0.31496062992125984"/>
  <pageSetup paperSize="9" scale="50" orientation="landscape" horizontalDpi="4294967293" verticalDpi="0" r:id="rId1"/>
  <drawing r:id="rId2"/>
  <legacyDrawing r:id="rId3"/>
</worksheet>
</file>

<file path=xl/worksheets/sheet10.xml><?xml version="1.0" encoding="utf-8"?>
<worksheet xmlns="http://schemas.openxmlformats.org/spreadsheetml/2006/main" xmlns:r="http://schemas.openxmlformats.org/officeDocument/2006/relationships">
  <sheetPr codeName="Sheet11"/>
  <dimension ref="A1:L88"/>
  <sheetViews>
    <sheetView zoomScaleNormal="100" workbookViewId="0"/>
  </sheetViews>
  <sheetFormatPr defaultColWidth="9.140625" defaultRowHeight="12.75"/>
  <cols>
    <col min="1" max="1" width="30.7109375" style="2" customWidth="1"/>
    <col min="2" max="2" width="19.28515625" style="56" customWidth="1"/>
    <col min="3" max="4" width="13.7109375" style="2" customWidth="1"/>
    <col min="5" max="5" width="13.7109375" style="56" customWidth="1"/>
    <col min="6" max="7" width="13.7109375" style="2" customWidth="1"/>
    <col min="8" max="8" width="13.7109375" style="56" customWidth="1"/>
    <col min="9" max="9" width="13.7109375" style="2" customWidth="1"/>
    <col min="10" max="10" width="13.7109375" style="56" customWidth="1"/>
    <col min="11" max="11" width="13.7109375" style="2" customWidth="1"/>
    <col min="12" max="12" width="19.28515625" style="2" customWidth="1"/>
    <col min="13" max="16384" width="9.140625" style="2"/>
  </cols>
  <sheetData>
    <row r="1" spans="1:12" ht="15">
      <c r="A1" s="45" t="s">
        <v>97</v>
      </c>
      <c r="B1" s="56" t="s">
        <v>59</v>
      </c>
      <c r="C1" s="2" t="s">
        <v>484</v>
      </c>
      <c r="I1" s="44"/>
      <c r="K1" s="44"/>
      <c r="L1" s="83"/>
    </row>
    <row r="2" spans="1:12">
      <c r="A2" s="41" t="str">
        <f>TEXT(CommissionDD!$A$36, "mmmm yyyy")</f>
        <v>December 2013</v>
      </c>
      <c r="B2" s="56" t="s">
        <v>60</v>
      </c>
      <c r="C2" s="2" t="str">
        <f>LOOKUP(C1,Cus!$A2:'Cus'!$A1000,Cus!$F2:'Cus'!$F1000)</f>
        <v>Annie    Lochner</v>
      </c>
      <c r="E2" s="56" t="str">
        <f>LOOKUP(C1,Cus!$A2:'Cus'!$A1000,Cus!$G2:'Cus'!$G1000)</f>
        <v>Roux</v>
      </c>
      <c r="I2" s="44"/>
      <c r="K2" s="44"/>
      <c r="L2" s="83"/>
    </row>
    <row r="3" spans="1:12">
      <c r="I3" s="44"/>
      <c r="K3" s="44"/>
      <c r="L3" s="83"/>
    </row>
    <row r="4" spans="1:12">
      <c r="A4" s="41"/>
      <c r="I4" s="44"/>
      <c r="K4" s="44"/>
      <c r="L4" s="83"/>
    </row>
    <row r="5" spans="1:12">
      <c r="I5" s="44"/>
      <c r="K5" s="44"/>
      <c r="L5" s="83"/>
    </row>
    <row r="6" spans="1:12">
      <c r="A6" s="43" t="s">
        <v>256</v>
      </c>
      <c r="L6" s="83"/>
    </row>
    <row r="7" spans="1:12" s="40" customFormat="1" ht="25.5">
      <c r="A7" s="42"/>
      <c r="B7" s="57" t="s">
        <v>1334</v>
      </c>
      <c r="C7" s="40" t="s">
        <v>1361</v>
      </c>
      <c r="D7" s="40" t="s">
        <v>1362</v>
      </c>
      <c r="E7" s="40" t="s">
        <v>1363</v>
      </c>
      <c r="F7" s="40" t="s">
        <v>1364</v>
      </c>
      <c r="G7" s="40" t="s">
        <v>1365</v>
      </c>
      <c r="H7" s="40" t="s">
        <v>1366</v>
      </c>
      <c r="I7" s="40" t="s">
        <v>1367</v>
      </c>
      <c r="J7" s="40" t="s">
        <v>1366</v>
      </c>
      <c r="K7" s="40" t="s">
        <v>1367</v>
      </c>
    </row>
    <row r="9" spans="1:12">
      <c r="A9" s="2" t="s">
        <v>1326</v>
      </c>
      <c r="B9" s="56">
        <f>SUM($C9:$I9)</f>
        <v>3</v>
      </c>
      <c r="C9" s="56">
        <f>VLOOKUP($C$1,Cus!$A$2:'Cus'!$AH$1001,28,FALSE)</f>
        <v>2</v>
      </c>
      <c r="D9" s="56">
        <f>VLOOKUP($C$1,Cus!$A$2:'Cus'!$AH$1001,29,FALSE)</f>
        <v>1</v>
      </c>
      <c r="E9" s="56">
        <f>VLOOKUP($C$1,Cus!$A$2:'Cus'!$AH$1001,30,FALSE)</f>
        <v>0</v>
      </c>
      <c r="F9" s="56">
        <f>VLOOKUP($C$1,Cus!$A$2:'Cus'!$AH$1001,31,FALSE)</f>
        <v>0</v>
      </c>
      <c r="G9" s="56">
        <f>VLOOKUP($C$1,Cus!$A$2:'Cus'!$AH$1001,32,FALSE)</f>
        <v>0</v>
      </c>
      <c r="H9" s="56">
        <f>VLOOKUP($C$1,Cus!$A$2:'Cus'!$AH$1001,33,FALSE)</f>
        <v>0</v>
      </c>
      <c r="I9" s="56">
        <f>VLOOKUP($C$1,Cus!$A$2:'Cus'!$AH$1001,34,FALSE)</f>
        <v>0</v>
      </c>
      <c r="J9" s="56">
        <f>VLOOKUP($C$1,Cus!$A$2:'Cus'!$AH$1001,33,FALSE)</f>
        <v>0</v>
      </c>
      <c r="K9" s="56">
        <f>VLOOKUP($C$1,Cus!$A$2:'Cus'!$AH$1001,34,FALSE)</f>
        <v>0</v>
      </c>
    </row>
    <row r="10" spans="1:12">
      <c r="C10" s="3"/>
      <c r="D10" s="3"/>
      <c r="E10" s="58"/>
      <c r="F10" s="3"/>
      <c r="G10" s="3"/>
      <c r="H10" s="3"/>
      <c r="I10" s="3"/>
      <c r="J10" s="3"/>
      <c r="K10" s="3"/>
      <c r="L10" s="3"/>
    </row>
    <row r="11" spans="1:12">
      <c r="A11" s="42" t="s">
        <v>1335</v>
      </c>
      <c r="C11" s="56"/>
      <c r="D11" s="56"/>
      <c r="F11" s="56"/>
      <c r="G11" s="56"/>
      <c r="I11" s="56"/>
      <c r="K11" s="56"/>
      <c r="L11" s="56"/>
    </row>
    <row r="12" spans="1:12">
      <c r="A12" s="2" t="s">
        <v>1336</v>
      </c>
      <c r="B12" s="56">
        <f>SUM($C12:$I12)</f>
        <v>3</v>
      </c>
      <c r="C12" s="56">
        <v>2</v>
      </c>
      <c r="D12" s="56">
        <v>1</v>
      </c>
      <c r="E12" s="56">
        <v>0</v>
      </c>
      <c r="F12" s="56">
        <v>0</v>
      </c>
      <c r="G12" s="56">
        <v>0</v>
      </c>
      <c r="H12" s="56">
        <v>0</v>
      </c>
      <c r="I12" s="56">
        <v>0</v>
      </c>
      <c r="J12" s="56">
        <v>0</v>
      </c>
      <c r="K12" s="56">
        <v>0</v>
      </c>
      <c r="L12" s="56"/>
    </row>
    <row r="13" spans="1:12">
      <c r="A13" s="2" t="s">
        <v>1337</v>
      </c>
      <c r="B13" s="56">
        <f>SUM($C13:$I13)</f>
        <v>3</v>
      </c>
      <c r="C13" s="56">
        <v>2</v>
      </c>
      <c r="D13" s="56">
        <v>1</v>
      </c>
      <c r="E13" s="56">
        <v>0</v>
      </c>
      <c r="F13" s="56">
        <v>0</v>
      </c>
      <c r="G13" s="56">
        <v>0</v>
      </c>
      <c r="H13" s="56">
        <v>0</v>
      </c>
      <c r="I13" s="56">
        <v>0</v>
      </c>
      <c r="J13" s="56">
        <v>0</v>
      </c>
      <c r="K13" s="56">
        <v>0</v>
      </c>
      <c r="L13" s="56"/>
    </row>
    <row r="14" spans="1:12">
      <c r="A14" s="2" t="s">
        <v>1339</v>
      </c>
      <c r="B14" s="56">
        <f>SUM($C14:$I14)</f>
        <v>0</v>
      </c>
      <c r="C14" s="56">
        <v>0</v>
      </c>
      <c r="D14" s="56">
        <v>0</v>
      </c>
      <c r="E14" s="56">
        <v>0</v>
      </c>
      <c r="F14" s="56">
        <v>0</v>
      </c>
      <c r="G14" s="56">
        <v>0</v>
      </c>
      <c r="H14" s="56">
        <v>0</v>
      </c>
      <c r="I14" s="56">
        <v>0</v>
      </c>
      <c r="J14" s="56">
        <v>0</v>
      </c>
      <c r="K14" s="56">
        <v>0</v>
      </c>
      <c r="L14" s="56"/>
    </row>
    <row r="15" spans="1:12">
      <c r="A15" s="2" t="s">
        <v>1338</v>
      </c>
      <c r="B15" s="56">
        <f>SUM($C15:$I15)</f>
        <v>0</v>
      </c>
      <c r="C15" s="56">
        <v>0</v>
      </c>
      <c r="D15" s="56">
        <v>0</v>
      </c>
      <c r="E15" s="56">
        <v>0</v>
      </c>
      <c r="F15" s="56">
        <v>0</v>
      </c>
      <c r="G15" s="56">
        <v>0</v>
      </c>
      <c r="H15" s="56">
        <v>0</v>
      </c>
      <c r="I15" s="56">
        <v>0</v>
      </c>
      <c r="J15" s="56">
        <v>0</v>
      </c>
      <c r="K15" s="56">
        <v>0</v>
      </c>
      <c r="L15" s="56"/>
    </row>
    <row r="17" spans="1:12">
      <c r="A17" s="43" t="s">
        <v>101</v>
      </c>
    </row>
    <row r="18" spans="1:12" s="40" customFormat="1" ht="38.25">
      <c r="A18" s="42" t="s">
        <v>1340</v>
      </c>
      <c r="B18" s="57" t="s">
        <v>6</v>
      </c>
      <c r="C18" s="40" t="s">
        <v>1342</v>
      </c>
      <c r="D18" s="40" t="s">
        <v>1341</v>
      </c>
      <c r="E18" s="57" t="s">
        <v>6</v>
      </c>
      <c r="F18" s="40" t="s">
        <v>1342</v>
      </c>
      <c r="G18" s="40" t="s">
        <v>1343</v>
      </c>
      <c r="H18" s="57" t="s">
        <v>1357</v>
      </c>
      <c r="I18" s="40" t="s">
        <v>49</v>
      </c>
      <c r="J18" s="40" t="s">
        <v>1368</v>
      </c>
      <c r="K18" s="40" t="s">
        <v>1359</v>
      </c>
      <c r="L18" s="40" t="s">
        <v>1358</v>
      </c>
    </row>
    <row r="19" spans="1:12">
      <c r="A19" s="2" t="s">
        <v>386</v>
      </c>
      <c r="B19" s="75" t="str">
        <f>VLOOKUP($A19,Cus!$A$2:'Cus'!$AH$1001,5,FALSE)</f>
        <v>MC</v>
      </c>
      <c r="C19" s="75" t="str">
        <f>VLOOKUP($A19,Cus!$A$2:'Cus'!$AH$1001,7,FALSE)</f>
        <v>Ncheche</v>
      </c>
      <c r="D19" s="2" t="str">
        <f t="shared" ref="D19:D20" si="0">$C$1</f>
        <v>K0000231</v>
      </c>
      <c r="E19" s="75" t="str">
        <f>VLOOKUP($D19,Cus!$A$2:'Cus'!$AH$1001,5,FALSE)</f>
        <v>AL</v>
      </c>
      <c r="F19" s="75" t="str">
        <f>VLOOKUP($D19,Cus!$A$2:'Cus'!$AH$1001,7,FALSE)</f>
        <v>Roux</v>
      </c>
      <c r="G19" s="73">
        <f>VLOOKUP($A19,Cus!$A$2:'Cus'!$AH$1001,24,FALSE)</f>
        <v>41622</v>
      </c>
      <c r="H19" s="3">
        <f>IF((VLOOKUP($C$1,Acc!$A$2:$L$1001,11,FALSE))&lt;=CommissionDD!$A$36,((VLOOKUP($A19,Acc!$A$2:'Acc'!$L$1001,8,FALSE))),0)</f>
        <v>0</v>
      </c>
      <c r="I19" s="3">
        <f>CommissionDD!$C$3*$H19</f>
        <v>0</v>
      </c>
      <c r="J19" s="72">
        <v>1</v>
      </c>
      <c r="K19" s="80">
        <f>IF($J19=0,0,$H19)</f>
        <v>0</v>
      </c>
      <c r="L19" s="80">
        <f>IF($J19="N",0,$I19)</f>
        <v>0</v>
      </c>
    </row>
    <row r="20" spans="1:12">
      <c r="A20" s="2" t="s">
        <v>428</v>
      </c>
      <c r="B20" s="75" t="str">
        <f>VLOOKUP($A20,Cus!$A$2:'Cus'!$AH$1001,5,FALSE)</f>
        <v>KD</v>
      </c>
      <c r="C20" s="75" t="str">
        <f>VLOOKUP($A20,Cus!$A$2:'Cus'!$AH$1001,7,FALSE)</f>
        <v>Maruping</v>
      </c>
      <c r="D20" s="2" t="str">
        <f t="shared" si="0"/>
        <v>K0000231</v>
      </c>
      <c r="E20" s="75" t="str">
        <f>VLOOKUP($D20,Cus!$A$2:'Cus'!$AH$1001,5,FALSE)</f>
        <v>AL</v>
      </c>
      <c r="F20" s="75" t="str">
        <f>VLOOKUP($D20,Cus!$A$2:'Cus'!$AH$1001,7,FALSE)</f>
        <v>Roux</v>
      </c>
      <c r="G20" s="73">
        <f>VLOOKUP($A20,Cus!$A$2:'Cus'!$AH$1001,24,FALSE)</f>
        <v>41640</v>
      </c>
      <c r="H20" s="3">
        <f>IF((VLOOKUP($C$1,Acc!$A$2:$L$1001,11,FALSE))&lt;=CommissionDD!$A$36,((VLOOKUP($A20,Acc!$A$2:'Acc'!$L$1001,8,FALSE))),0)</f>
        <v>0</v>
      </c>
      <c r="I20" s="3">
        <f>CommissionDD!$C$3*$H20</f>
        <v>0</v>
      </c>
      <c r="J20" s="72">
        <v>1</v>
      </c>
      <c r="K20" s="80">
        <f t="shared" ref="K20" si="1">IF($J20=0,0,$H20)</f>
        <v>0</v>
      </c>
      <c r="L20" s="80">
        <f t="shared" ref="L20" si="2">IF($J20="N",0,$I20)</f>
        <v>0</v>
      </c>
    </row>
    <row r="21" spans="1:12" ht="15">
      <c r="A21" s="53"/>
      <c r="B21" s="75"/>
      <c r="C21" s="75"/>
      <c r="E21" s="75"/>
      <c r="F21" s="75"/>
      <c r="G21" s="73"/>
      <c r="H21" s="7"/>
      <c r="I21" s="73"/>
      <c r="J21" s="3"/>
      <c r="K21" s="73"/>
      <c r="L21" s="74"/>
    </row>
    <row r="22" spans="1:12">
      <c r="A22" s="77" t="s">
        <v>1326</v>
      </c>
      <c r="B22" s="72">
        <f>COUNTA($B$19:$B$21)</f>
        <v>2</v>
      </c>
      <c r="C22" s="75"/>
      <c r="E22" s="75"/>
      <c r="F22" s="75"/>
      <c r="G22" s="81" t="s">
        <v>1360</v>
      </c>
      <c r="H22" s="3">
        <f>SUM(H$19:H$20)</f>
        <v>0</v>
      </c>
      <c r="I22" s="3">
        <f>SUM(I$19:I$20)</f>
        <v>0</v>
      </c>
      <c r="J22" s="56">
        <f>SUM(J$19:J$20)</f>
        <v>2</v>
      </c>
      <c r="K22" s="3">
        <f>IF($J$22&gt;=2,(SUM(K$19:K$20)),0)</f>
        <v>0</v>
      </c>
      <c r="L22" s="3">
        <f>SUM(L$19:L$20)</f>
        <v>0</v>
      </c>
    </row>
    <row r="23" spans="1:12" ht="15">
      <c r="A23" s="53"/>
      <c r="B23" s="75"/>
      <c r="C23" s="75"/>
      <c r="G23" s="73"/>
      <c r="H23" s="73"/>
      <c r="I23" s="74"/>
      <c r="J23" s="73"/>
      <c r="K23" s="74"/>
      <c r="L23" s="3"/>
    </row>
    <row r="24" spans="1:12">
      <c r="A24" s="5"/>
      <c r="C24" s="75"/>
      <c r="I24" s="74"/>
      <c r="J24" s="73"/>
      <c r="K24" s="81" t="s">
        <v>1360</v>
      </c>
      <c r="L24" s="80">
        <f>IF($B24=1,CommissionDD!$C$14,0)</f>
        <v>0</v>
      </c>
    </row>
    <row r="25" spans="1:12">
      <c r="L25" s="3"/>
    </row>
    <row r="26" spans="1:12">
      <c r="A26" s="43" t="s">
        <v>102</v>
      </c>
    </row>
    <row r="27" spans="1:12" s="40" customFormat="1" ht="38.25">
      <c r="A27" s="42" t="s">
        <v>1340</v>
      </c>
      <c r="B27" s="57" t="s">
        <v>6</v>
      </c>
      <c r="C27" s="40" t="s">
        <v>1342</v>
      </c>
      <c r="D27" s="40" t="s">
        <v>1341</v>
      </c>
      <c r="E27" s="57" t="s">
        <v>6</v>
      </c>
      <c r="F27" s="40" t="s">
        <v>1342</v>
      </c>
      <c r="G27" s="40" t="s">
        <v>1343</v>
      </c>
      <c r="H27" s="57" t="s">
        <v>1357</v>
      </c>
      <c r="I27" s="40" t="s">
        <v>49</v>
      </c>
      <c r="J27" s="40" t="s">
        <v>1368</v>
      </c>
      <c r="K27" s="40" t="s">
        <v>1359</v>
      </c>
      <c r="L27" s="40" t="s">
        <v>1358</v>
      </c>
    </row>
    <row r="28" spans="1:12">
      <c r="A28" s="10" t="s">
        <v>427</v>
      </c>
      <c r="B28" s="75" t="str">
        <f>VLOOKUP($A28,Cus!$A$2:'Cus'!$AH$1001,5,FALSE)</f>
        <v>W</v>
      </c>
      <c r="C28" s="75" t="str">
        <f>VLOOKUP($A28,Cus!$A$2:'Cus'!$AH$1001,7,FALSE)</f>
        <v>Monaheng</v>
      </c>
      <c r="D28" s="2" t="s">
        <v>428</v>
      </c>
      <c r="E28" s="75" t="str">
        <f>VLOOKUP($D28,Cus!$A$2:'Cus'!$AH$1001,5,FALSE)</f>
        <v>KD</v>
      </c>
      <c r="F28" s="75" t="str">
        <f>VLOOKUP($D28,Cus!$A$2:'Cus'!$AH$1001,7,FALSE)</f>
        <v>Maruping</v>
      </c>
      <c r="G28" s="73">
        <f>VLOOKUP($A28,Cus!$A$2:'Cus'!$AH$1001,24,FALSE)</f>
        <v>41662</v>
      </c>
      <c r="H28" s="3">
        <f>IF((VLOOKUP($C$1,Acc!$A$2:$L$1001,11,FALSE))&lt;=CommissionDD!$A$36,((VLOOKUP($A28,Acc!$A$2:'Acc'!$L$1001,8,FALSE))),0)</f>
        <v>0</v>
      </c>
      <c r="I28" s="3">
        <f>CommissionDD!$C$4*$H28</f>
        <v>0</v>
      </c>
      <c r="J28" s="72">
        <v>1</v>
      </c>
      <c r="K28" s="80">
        <f>IF($J28=0,0,$H28)</f>
        <v>0</v>
      </c>
      <c r="L28" s="80">
        <f t="shared" ref="L28" si="3">IF($J28="N",0,$I28)</f>
        <v>0</v>
      </c>
    </row>
    <row r="30" spans="1:12">
      <c r="A30" s="77" t="s">
        <v>1326</v>
      </c>
      <c r="B30" s="72">
        <f>COUNTA($B$28:$B$29)</f>
        <v>1</v>
      </c>
      <c r="C30" s="75"/>
      <c r="E30" s="75"/>
      <c r="F30" s="75"/>
      <c r="G30" s="81" t="s">
        <v>1360</v>
      </c>
      <c r="H30" s="3">
        <f>SUM(H$28:H$29)</f>
        <v>0</v>
      </c>
      <c r="I30" s="3">
        <f>SUM(I$28:I$29)</f>
        <v>0</v>
      </c>
      <c r="J30" s="56">
        <f>SUM(J$28:J$29)</f>
        <v>1</v>
      </c>
      <c r="K30" s="3">
        <f>IF($J$22&gt;=2,(SUM(K$28:K$29)))</f>
        <v>0</v>
      </c>
      <c r="L30" s="3">
        <f>SUM(L$28:L$29)</f>
        <v>0</v>
      </c>
    </row>
    <row r="31" spans="1:12" ht="15">
      <c r="A31" s="53"/>
      <c r="B31" s="75"/>
      <c r="C31" s="75"/>
      <c r="G31" s="73"/>
      <c r="H31" s="73"/>
      <c r="I31" s="74"/>
      <c r="J31" s="73"/>
      <c r="K31" s="74"/>
      <c r="L31" s="3"/>
    </row>
    <row r="32" spans="1:12">
      <c r="A32" s="43" t="s">
        <v>103</v>
      </c>
    </row>
    <row r="33" spans="1:12" s="40" customFormat="1" ht="38.25">
      <c r="A33" s="42" t="s">
        <v>1340</v>
      </c>
      <c r="B33" s="57" t="s">
        <v>6</v>
      </c>
      <c r="C33" s="40" t="s">
        <v>1342</v>
      </c>
      <c r="D33" s="40" t="s">
        <v>1341</v>
      </c>
      <c r="E33" s="57" t="s">
        <v>6</v>
      </c>
      <c r="F33" s="40" t="s">
        <v>1342</v>
      </c>
      <c r="G33" s="40" t="s">
        <v>1343</v>
      </c>
      <c r="H33" s="57" t="s">
        <v>1357</v>
      </c>
      <c r="I33" s="40" t="s">
        <v>49</v>
      </c>
      <c r="J33" s="40" t="s">
        <v>1368</v>
      </c>
      <c r="K33" s="40" t="s">
        <v>1359</v>
      </c>
      <c r="L33" s="40" t="s">
        <v>1358</v>
      </c>
    </row>
    <row r="34" spans="1:12">
      <c r="A34" s="10" t="s">
        <v>1318</v>
      </c>
      <c r="B34" s="75"/>
      <c r="C34" s="75"/>
      <c r="G34" s="73"/>
      <c r="H34" s="73"/>
      <c r="I34" s="74"/>
      <c r="J34" s="73"/>
      <c r="K34" s="74"/>
      <c r="L34" s="3"/>
    </row>
    <row r="36" spans="1:12">
      <c r="A36" s="77" t="s">
        <v>1326</v>
      </c>
      <c r="B36" s="72">
        <f>COUNTA($B34:$B35)</f>
        <v>0</v>
      </c>
      <c r="C36" s="75"/>
      <c r="E36" s="75"/>
      <c r="F36" s="75"/>
      <c r="G36" s="81" t="s">
        <v>1360</v>
      </c>
      <c r="H36" s="3">
        <f>SUM(H34:H35)</f>
        <v>0</v>
      </c>
      <c r="I36" s="3">
        <f>SUM(I34:I35)</f>
        <v>0</v>
      </c>
      <c r="J36" s="56">
        <f>SUM(J34:J35)</f>
        <v>0</v>
      </c>
      <c r="K36" s="3">
        <f>IF($J$22&gt;=2,(SUM(K34:K35)))</f>
        <v>0</v>
      </c>
      <c r="L36" s="3">
        <f>SUM(L34:L35)</f>
        <v>0</v>
      </c>
    </row>
    <row r="38" spans="1:12">
      <c r="A38" s="43" t="s">
        <v>104</v>
      </c>
    </row>
    <row r="39" spans="1:12" s="40" customFormat="1" ht="38.25">
      <c r="A39" s="42" t="s">
        <v>1340</v>
      </c>
      <c r="B39" s="57" t="s">
        <v>6</v>
      </c>
      <c r="C39" s="40" t="s">
        <v>1342</v>
      </c>
      <c r="D39" s="40" t="s">
        <v>1341</v>
      </c>
      <c r="E39" s="57" t="s">
        <v>6</v>
      </c>
      <c r="F39" s="40" t="s">
        <v>1342</v>
      </c>
      <c r="G39" s="40" t="s">
        <v>1343</v>
      </c>
      <c r="H39" s="57" t="s">
        <v>1357</v>
      </c>
      <c r="I39" s="40" t="s">
        <v>49</v>
      </c>
      <c r="J39" s="40" t="s">
        <v>1368</v>
      </c>
      <c r="K39" s="40" t="s">
        <v>1359</v>
      </c>
      <c r="L39" s="40" t="s">
        <v>1358</v>
      </c>
    </row>
    <row r="40" spans="1:12">
      <c r="A40" s="10" t="s">
        <v>1318</v>
      </c>
      <c r="B40" s="75"/>
      <c r="C40" s="75"/>
      <c r="G40" s="73"/>
      <c r="H40" s="73"/>
      <c r="I40" s="74"/>
      <c r="J40" s="73"/>
      <c r="K40" s="74"/>
      <c r="L40" s="3"/>
    </row>
    <row r="42" spans="1:12">
      <c r="A42" s="77" t="s">
        <v>1326</v>
      </c>
      <c r="B42" s="72">
        <f>COUNTA($B40:$B41)</f>
        <v>0</v>
      </c>
      <c r="C42" s="75"/>
      <c r="E42" s="75"/>
      <c r="F42" s="75"/>
      <c r="G42" s="81" t="s">
        <v>1360</v>
      </c>
      <c r="H42" s="3">
        <f>SUM(H40:H41)</f>
        <v>0</v>
      </c>
      <c r="I42" s="3">
        <f>SUM(I40:I41)</f>
        <v>0</v>
      </c>
      <c r="J42" s="56">
        <f>SUM(J40:J41)</f>
        <v>0</v>
      </c>
      <c r="K42" s="3">
        <f>IF($J$22&gt;=2,(SUM(K40:K41)))</f>
        <v>0</v>
      </c>
      <c r="L42" s="3">
        <f>SUM(L40:L41)</f>
        <v>0</v>
      </c>
    </row>
    <row r="44" spans="1:12">
      <c r="A44" s="43" t="s">
        <v>105</v>
      </c>
    </row>
    <row r="45" spans="1:12" s="40" customFormat="1" ht="38.25">
      <c r="A45" s="42" t="s">
        <v>1340</v>
      </c>
      <c r="B45" s="57" t="s">
        <v>6</v>
      </c>
      <c r="C45" s="40" t="s">
        <v>1342</v>
      </c>
      <c r="D45" s="40" t="s">
        <v>1341</v>
      </c>
      <c r="E45" s="57" t="s">
        <v>6</v>
      </c>
      <c r="F45" s="40" t="s">
        <v>1342</v>
      </c>
      <c r="G45" s="40" t="s">
        <v>1343</v>
      </c>
      <c r="H45" s="57" t="s">
        <v>1357</v>
      </c>
      <c r="I45" s="40" t="s">
        <v>49</v>
      </c>
      <c r="J45" s="40" t="s">
        <v>1368</v>
      </c>
      <c r="K45" s="40" t="s">
        <v>1359</v>
      </c>
      <c r="L45" s="40" t="s">
        <v>1358</v>
      </c>
    </row>
    <row r="46" spans="1:12">
      <c r="A46" s="10" t="s">
        <v>1318</v>
      </c>
      <c r="B46" s="75"/>
      <c r="C46" s="75"/>
      <c r="G46" s="73"/>
      <c r="H46" s="73"/>
      <c r="I46" s="74"/>
      <c r="J46" s="73"/>
      <c r="K46" s="74"/>
      <c r="L46" s="3"/>
    </row>
    <row r="48" spans="1:12">
      <c r="A48" s="77" t="s">
        <v>1326</v>
      </c>
      <c r="B48" s="72">
        <f>COUNTA($B46:$B47)</f>
        <v>0</v>
      </c>
      <c r="C48" s="75"/>
      <c r="E48" s="75"/>
      <c r="F48" s="75"/>
      <c r="G48" s="81" t="s">
        <v>1360</v>
      </c>
      <c r="H48" s="3">
        <f>SUM(H46:H47)</f>
        <v>0</v>
      </c>
      <c r="I48" s="3">
        <f>SUM(I46:I47)</f>
        <v>0</v>
      </c>
      <c r="J48" s="56">
        <f>SUM(J46:J47)</f>
        <v>0</v>
      </c>
      <c r="K48" s="3">
        <f>IF($J$22&gt;=2,(SUM(K46:K47)))</f>
        <v>0</v>
      </c>
      <c r="L48" s="3">
        <f>SUM(L46:L47)</f>
        <v>0</v>
      </c>
    </row>
    <row r="50" spans="1:12">
      <c r="A50" s="43" t="s">
        <v>106</v>
      </c>
    </row>
    <row r="51" spans="1:12" s="40" customFormat="1" ht="38.25">
      <c r="A51" s="42" t="s">
        <v>1340</v>
      </c>
      <c r="B51" s="57" t="s">
        <v>6</v>
      </c>
      <c r="C51" s="40" t="s">
        <v>1342</v>
      </c>
      <c r="D51" s="40" t="s">
        <v>1341</v>
      </c>
      <c r="E51" s="57" t="s">
        <v>6</v>
      </c>
      <c r="F51" s="40" t="s">
        <v>1342</v>
      </c>
      <c r="G51" s="40" t="s">
        <v>1343</v>
      </c>
      <c r="H51" s="57" t="s">
        <v>1357</v>
      </c>
      <c r="I51" s="40" t="s">
        <v>49</v>
      </c>
      <c r="J51" s="40" t="s">
        <v>1368</v>
      </c>
      <c r="K51" s="40" t="s">
        <v>1359</v>
      </c>
      <c r="L51" s="40" t="s">
        <v>1358</v>
      </c>
    </row>
    <row r="52" spans="1:12">
      <c r="A52" s="10" t="s">
        <v>1318</v>
      </c>
      <c r="B52" s="75"/>
      <c r="C52" s="75"/>
      <c r="G52" s="73"/>
      <c r="H52" s="73"/>
      <c r="I52" s="74"/>
      <c r="J52" s="73"/>
      <c r="K52" s="74"/>
      <c r="L52" s="3"/>
    </row>
    <row r="54" spans="1:12">
      <c r="A54" s="77" t="s">
        <v>1326</v>
      </c>
      <c r="B54" s="72">
        <f>COUNTA($B52:$B53)</f>
        <v>0</v>
      </c>
      <c r="C54" s="75"/>
      <c r="E54" s="75"/>
      <c r="F54" s="75"/>
      <c r="G54" s="81" t="s">
        <v>1360</v>
      </c>
      <c r="H54" s="3">
        <f>SUM(H52:H53)</f>
        <v>0</v>
      </c>
      <c r="I54" s="3">
        <f>SUM(I52:I53)</f>
        <v>0</v>
      </c>
      <c r="J54" s="56">
        <f>SUM(J52:J53)</f>
        <v>0</v>
      </c>
      <c r="K54" s="3">
        <f>IF($J$22&gt;=2,(SUM(K52:K53)))</f>
        <v>0</v>
      </c>
      <c r="L54" s="3">
        <f>SUM(L52:L53)</f>
        <v>0</v>
      </c>
    </row>
    <row r="56" spans="1:12">
      <c r="A56" s="43" t="s">
        <v>107</v>
      </c>
    </row>
    <row r="57" spans="1:12" s="40" customFormat="1" ht="38.25">
      <c r="A57" s="42" t="s">
        <v>1340</v>
      </c>
      <c r="B57" s="57" t="s">
        <v>6</v>
      </c>
      <c r="C57" s="40" t="s">
        <v>1342</v>
      </c>
      <c r="D57" s="40" t="s">
        <v>1341</v>
      </c>
      <c r="E57" s="57" t="s">
        <v>6</v>
      </c>
      <c r="F57" s="40" t="s">
        <v>1342</v>
      </c>
      <c r="G57" s="40" t="s">
        <v>1343</v>
      </c>
      <c r="H57" s="57" t="s">
        <v>1357</v>
      </c>
      <c r="I57" s="40" t="s">
        <v>49</v>
      </c>
      <c r="J57" s="40" t="s">
        <v>1368</v>
      </c>
      <c r="K57" s="40" t="s">
        <v>1359</v>
      </c>
      <c r="L57" s="40" t="s">
        <v>1358</v>
      </c>
    </row>
    <row r="58" spans="1:12">
      <c r="A58" s="10" t="s">
        <v>1318</v>
      </c>
      <c r="B58" s="75"/>
      <c r="C58" s="75"/>
      <c r="G58" s="73"/>
      <c r="H58" s="73"/>
      <c r="I58" s="74"/>
      <c r="J58" s="73"/>
      <c r="K58" s="74"/>
      <c r="L58" s="3"/>
    </row>
    <row r="60" spans="1:12">
      <c r="A60" s="77" t="s">
        <v>1326</v>
      </c>
      <c r="B60" s="72">
        <f>COUNTA($B58:$B59)</f>
        <v>0</v>
      </c>
      <c r="C60" s="75"/>
      <c r="E60" s="75"/>
      <c r="F60" s="75"/>
      <c r="G60" s="81" t="s">
        <v>1360</v>
      </c>
      <c r="H60" s="3">
        <f>SUM(H58:H59)</f>
        <v>0</v>
      </c>
      <c r="I60" s="3">
        <f>SUM(I58:I59)</f>
        <v>0</v>
      </c>
      <c r="J60" s="56">
        <f>SUM(J58:J59)</f>
        <v>0</v>
      </c>
      <c r="K60" s="3">
        <f>IF($J$22&gt;=2,(SUM(K58:K59)))</f>
        <v>0</v>
      </c>
      <c r="L60" s="3">
        <f>SUM(L58:L59)</f>
        <v>0</v>
      </c>
    </row>
    <row r="62" spans="1:12">
      <c r="A62" s="43" t="s">
        <v>1370</v>
      </c>
      <c r="J62" s="2"/>
    </row>
    <row r="63" spans="1:12" s="40" customFormat="1" ht="38.25">
      <c r="A63" s="42" t="s">
        <v>1371</v>
      </c>
      <c r="B63" s="57" t="s">
        <v>1317</v>
      </c>
      <c r="E63" s="57"/>
      <c r="H63" s="57"/>
      <c r="L63" s="40" t="s">
        <v>1316</v>
      </c>
    </row>
    <row r="64" spans="1:12">
      <c r="A64" s="2" t="s">
        <v>1257</v>
      </c>
      <c r="B64" s="56">
        <f>IF((SUM($J$22)&gt;=CommissionDD!$E14),1,0)</f>
        <v>0</v>
      </c>
      <c r="L64" s="3">
        <f>IF($B64=1,CommissionDD!$C14,0)</f>
        <v>0</v>
      </c>
    </row>
    <row r="65" spans="1:12">
      <c r="A65" s="2" t="s">
        <v>1258</v>
      </c>
      <c r="B65" s="56">
        <f>IF((SUM($J$22,$J$30)&gt;=CommissionDD!$E15),1,0)</f>
        <v>0</v>
      </c>
      <c r="L65" s="3">
        <f>IF($B65=1,CommissionDD!$C15,0)</f>
        <v>0</v>
      </c>
    </row>
    <row r="66" spans="1:12">
      <c r="A66" s="2" t="s">
        <v>1259</v>
      </c>
      <c r="B66" s="56">
        <f>IF((SUM($J$22,$J$30,$J$36)&gt;=CommissionDD!$E16),1,0)</f>
        <v>0</v>
      </c>
      <c r="L66" s="3">
        <f>IF($B66=1,CommissionDD!$C16,0)</f>
        <v>0</v>
      </c>
    </row>
    <row r="67" spans="1:12">
      <c r="A67" s="2" t="s">
        <v>1256</v>
      </c>
      <c r="B67" s="56">
        <f>IF((SUM($J$22,$J$30,$J$36,$J$42)&gt;=CommissionDD!$E17),1,0)</f>
        <v>0</v>
      </c>
      <c r="L67" s="3">
        <f>IF($B67=1,CommissionDD!$C17,0)</f>
        <v>0</v>
      </c>
    </row>
    <row r="68" spans="1:12">
      <c r="A68" s="2" t="s">
        <v>1260</v>
      </c>
      <c r="B68" s="56">
        <f>IF((SUM($J$22,$J$30,$J$36,$J$42,$J$48)&gt;=CommissionDD!$E18),1,0)</f>
        <v>0</v>
      </c>
      <c r="L68" s="3">
        <f>IF($B68=1,CommissionDD!$C18,0)</f>
        <v>0</v>
      </c>
    </row>
    <row r="69" spans="1:12">
      <c r="A69" s="2" t="s">
        <v>1261</v>
      </c>
      <c r="B69" s="56">
        <f>IF((SUM($J$22,$J$30,$J$36,$J$42,$J$48)&gt;=CommissionDD!$E19),1,0)</f>
        <v>0</v>
      </c>
      <c r="L69" s="3">
        <f>IF($B69=1,CommissionDD!$C19,0)</f>
        <v>0</v>
      </c>
    </row>
    <row r="70" spans="1:12">
      <c r="A70" s="2" t="s">
        <v>1262</v>
      </c>
      <c r="B70" s="56">
        <f>IF((SUM($J$22,$J$30,$J$36,$J$42,$J$48)&gt;=CommissionDD!$E20),1,0)</f>
        <v>0</v>
      </c>
      <c r="L70" s="3">
        <f>IF($B70=1,CommissionDD!$C20,0)</f>
        <v>0</v>
      </c>
    </row>
    <row r="71" spans="1:12">
      <c r="A71" s="2" t="s">
        <v>1252</v>
      </c>
      <c r="B71" s="56">
        <f>IF((SUM($J$22,$J$30,$J$36,$J$42,$J$48,$J$54)&gt;=CommissionDD!$E21),1,0)</f>
        <v>0</v>
      </c>
      <c r="L71" s="3">
        <f>IF($B71=1,CommissionDD!$C21,0)</f>
        <v>0</v>
      </c>
    </row>
    <row r="72" spans="1:12">
      <c r="A72" s="2" t="s">
        <v>1265</v>
      </c>
      <c r="B72" s="56">
        <f>IF((SUM($J$22,$J$30,$J$36,$J$42,$J$48,$J$54,$J$60)&gt;=CommissionDD!$E22),1,0)</f>
        <v>0</v>
      </c>
      <c r="L72" s="3">
        <f>IF($B72=1,CommissionDD!$C22,0)</f>
        <v>0</v>
      </c>
    </row>
    <row r="73" spans="1:12">
      <c r="A73" s="2" t="s">
        <v>1264</v>
      </c>
      <c r="B73" s="56">
        <f>IF((SUM($J$22,$J$30,$J$36,$J$42,$J$48,$J$54,$J$60)&gt;=CommissionDD!$E23),1,0)</f>
        <v>0</v>
      </c>
      <c r="L73" s="3">
        <f>IF($B73=1,CommissionDD!$C23,0)</f>
        <v>0</v>
      </c>
    </row>
    <row r="74" spans="1:12">
      <c r="A74" s="2" t="s">
        <v>1263</v>
      </c>
      <c r="B74" s="56">
        <f>IF((SUM($J$22,$J$30,$J$36,$J$42,$J$48,$J$54,$J$60)&gt;=CommissionDD!$E24),1,0)</f>
        <v>0</v>
      </c>
      <c r="L74" s="3">
        <f>IF($B74=1,CommissionDD!$C24,0)</f>
        <v>0</v>
      </c>
    </row>
    <row r="75" spans="1:12">
      <c r="A75" s="2" t="s">
        <v>1253</v>
      </c>
      <c r="B75" s="56">
        <f>IF((SUM($J$22,$J$30,$J$36,$J$42,$J$48,$J$54,$J$60)&gt;=CommissionDD!$E25),1,0)</f>
        <v>0</v>
      </c>
      <c r="L75" s="3">
        <f>IF($B75=1,CommissionDD!$C25,0)</f>
        <v>0</v>
      </c>
    </row>
    <row r="76" spans="1:12">
      <c r="J76" s="2"/>
    </row>
    <row r="77" spans="1:12">
      <c r="A77" s="8" t="s">
        <v>78</v>
      </c>
      <c r="C77" s="3"/>
      <c r="D77" s="3"/>
      <c r="F77" s="3"/>
      <c r="G77" s="3"/>
      <c r="I77" s="3"/>
      <c r="L77" s="3">
        <f>SUM($L$64:$L$76)</f>
        <v>0</v>
      </c>
    </row>
    <row r="78" spans="1:12">
      <c r="A78" s="8"/>
      <c r="C78" s="3"/>
      <c r="D78" s="3"/>
      <c r="F78" s="3"/>
      <c r="G78" s="3"/>
      <c r="I78" s="3"/>
      <c r="L78" s="3"/>
    </row>
    <row r="79" spans="1:12" s="40" customFormat="1" ht="38.25">
      <c r="A79" s="42" t="s">
        <v>1373</v>
      </c>
      <c r="B79" s="57" t="s">
        <v>1374</v>
      </c>
      <c r="E79" s="57"/>
      <c r="H79" s="57"/>
      <c r="L79" s="40" t="s">
        <v>1316</v>
      </c>
    </row>
    <row r="80" spans="1:12">
      <c r="A80" s="2" t="s">
        <v>1372</v>
      </c>
      <c r="B80" s="3">
        <f>IF((VLOOKUP($C$1,Acc!$A$2:$L$1001,7,FALSE))&gt;=(VLOOKUP($C$1,Acc!$A$2:$L$1001,11,FALSE)),(VLOOKUP($C$1,Acc!$A$2:$L$1001,5,FALSE)),0)</f>
        <v>0</v>
      </c>
      <c r="L80" s="3">
        <f>20%*$B$80</f>
        <v>0</v>
      </c>
    </row>
    <row r="81" spans="1:12">
      <c r="J81" s="2"/>
    </row>
    <row r="82" spans="1:12">
      <c r="A82" s="8" t="s">
        <v>78</v>
      </c>
      <c r="C82" s="3"/>
      <c r="D82" s="3"/>
      <c r="F82" s="3"/>
      <c r="G82" s="3"/>
      <c r="I82" s="3"/>
      <c r="L82" s="3">
        <f>SUM($L$80)</f>
        <v>0</v>
      </c>
    </row>
    <row r="83" spans="1:12">
      <c r="B83" s="2"/>
      <c r="E83" s="2"/>
      <c r="H83" s="2"/>
      <c r="J83" s="2"/>
    </row>
    <row r="84" spans="1:12">
      <c r="A84" s="43" t="s">
        <v>1320</v>
      </c>
    </row>
    <row r="85" spans="1:12" s="40" customFormat="1" ht="25.5">
      <c r="A85" s="42"/>
      <c r="B85" s="57"/>
      <c r="E85" s="57"/>
      <c r="H85" s="57" t="s">
        <v>1357</v>
      </c>
      <c r="I85" s="40" t="s">
        <v>49</v>
      </c>
      <c r="J85" s="40" t="s">
        <v>68</v>
      </c>
      <c r="K85" s="40" t="s">
        <v>1359</v>
      </c>
      <c r="L85" s="40" t="s">
        <v>1358</v>
      </c>
    </row>
    <row r="86" spans="1:12">
      <c r="A86" s="77" t="s">
        <v>1326</v>
      </c>
      <c r="B86" s="72">
        <f>SUM(B$22,B$30,B$36,B$42,B$48,B$54,B$60)</f>
        <v>3</v>
      </c>
      <c r="C86" s="75"/>
      <c r="E86" s="75"/>
      <c r="F86" s="75"/>
      <c r="G86" s="81" t="s">
        <v>1360</v>
      </c>
      <c r="H86" s="80">
        <f>SUM(H$22,H$30,H$36,H$42,H$48,H$54,H$60)</f>
        <v>0</v>
      </c>
      <c r="I86" s="80">
        <f>SUM(I$22,I$30,I$36,I$42,I$48,I$54,I$60)</f>
        <v>0</v>
      </c>
      <c r="J86" s="72">
        <f>SUM(J$22,J$30,J$36,J$42,J$48,J$54,J$60)</f>
        <v>3</v>
      </c>
      <c r="K86" s="80">
        <f>SUM(K$22,K$30,K$36,K$42,K$48,K$54,K$60)</f>
        <v>0</v>
      </c>
      <c r="L86" s="80">
        <f>SUM(L$22,L$30,L$36,L$42,L$48,L$54,L$60,L$77,L$82)</f>
        <v>0</v>
      </c>
    </row>
    <row r="88" spans="1:12">
      <c r="B88" s="2"/>
      <c r="E88" s="2"/>
      <c r="H88" s="2"/>
      <c r="J88" s="2"/>
    </row>
  </sheetData>
  <mergeCells count="1">
    <mergeCell ref="L1:L6"/>
  </mergeCells>
  <dataValidations count="1">
    <dataValidation type="list" allowBlank="1" showInputMessage="1" showErrorMessage="1" sqref="C1">
      <formula1>Cus!$A$2:$A$1000</formula1>
    </dataValidation>
  </dataValidations>
  <pageMargins left="0.70866141732283472" right="0.70866141732283472" top="0.74803149606299213" bottom="0.74803149606299213" header="0.31496062992125984" footer="0.31496062992125984"/>
  <pageSetup paperSize="9" scale="60" fitToWidth="0" fitToHeight="0" orientation="landscape" horizontalDpi="4294967293" verticalDpi="0" r:id="rId1"/>
  <drawing r:id="rId2"/>
</worksheet>
</file>

<file path=xl/worksheets/sheet11.xml><?xml version="1.0" encoding="utf-8"?>
<worksheet xmlns="http://schemas.openxmlformats.org/spreadsheetml/2006/main" xmlns:r="http://schemas.openxmlformats.org/officeDocument/2006/relationships">
  <sheetPr codeName="Sheet10"/>
  <dimension ref="A1:J58"/>
  <sheetViews>
    <sheetView zoomScaleNormal="100" workbookViewId="0">
      <selection activeCell="A19" sqref="A19"/>
    </sheetView>
  </sheetViews>
  <sheetFormatPr defaultColWidth="9.140625" defaultRowHeight="12.75"/>
  <cols>
    <col min="1" max="1" width="19.28515625" style="2" customWidth="1"/>
    <col min="2" max="2" width="19.28515625" style="56" customWidth="1"/>
    <col min="3" max="4" width="19.28515625" style="2" customWidth="1"/>
    <col min="5" max="5" width="19.28515625" style="56" customWidth="1"/>
    <col min="6" max="7" width="19.28515625" style="2" customWidth="1"/>
    <col min="8" max="8" width="19.28515625" style="56" customWidth="1"/>
    <col min="9" max="10" width="19.28515625" style="2" customWidth="1"/>
    <col min="11" max="16384" width="9.140625" style="2"/>
  </cols>
  <sheetData>
    <row r="1" spans="1:10" ht="18.75" customHeight="1">
      <c r="A1" s="45" t="s">
        <v>199</v>
      </c>
      <c r="B1" s="56" t="s">
        <v>59</v>
      </c>
      <c r="C1" s="2" t="s">
        <v>484</v>
      </c>
      <c r="I1" s="44"/>
      <c r="J1" s="83"/>
    </row>
    <row r="2" spans="1:10">
      <c r="A2" s="41" t="str">
        <f>TEXT(CommissionDD!$A$36, "mmmm yyyy")</f>
        <v>December 2013</v>
      </c>
      <c r="B2" s="56" t="s">
        <v>60</v>
      </c>
      <c r="C2" s="2" t="str">
        <f>LOOKUP(C1,Cus!$A2:'Cus'!$A1000,Cus!$F2:'Cus'!$F1000)</f>
        <v>Annie    Lochner</v>
      </c>
      <c r="E2" s="56" t="str">
        <f>LOOKUP(C1,Cus!$A2:'Cus'!$A1000,Cus!$G2:'Cus'!$G1000)</f>
        <v>Roux</v>
      </c>
      <c r="I2" s="44"/>
      <c r="J2" s="83"/>
    </row>
    <row r="3" spans="1:10">
      <c r="I3" s="44"/>
      <c r="J3" s="83"/>
    </row>
    <row r="4" spans="1:10">
      <c r="A4" s="41"/>
      <c r="I4" s="44"/>
      <c r="J4" s="83"/>
    </row>
    <row r="5" spans="1:10">
      <c r="I5" s="44"/>
      <c r="J5" s="83"/>
    </row>
    <row r="6" spans="1:10">
      <c r="A6" s="43" t="s">
        <v>256</v>
      </c>
      <c r="J6" s="83"/>
    </row>
    <row r="7" spans="1:10" s="40" customFormat="1" ht="25.5">
      <c r="A7" s="42"/>
      <c r="B7" s="57" t="s">
        <v>1334</v>
      </c>
      <c r="C7" s="40" t="s">
        <v>1327</v>
      </c>
      <c r="D7" s="40" t="s">
        <v>1328</v>
      </c>
      <c r="E7" s="40" t="s">
        <v>1329</v>
      </c>
      <c r="F7" s="40" t="s">
        <v>1330</v>
      </c>
      <c r="G7" s="40" t="s">
        <v>1331</v>
      </c>
      <c r="H7" s="40" t="s">
        <v>1332</v>
      </c>
      <c r="I7" s="40" t="s">
        <v>1333</v>
      </c>
    </row>
    <row r="9" spans="1:10">
      <c r="A9" s="2" t="s">
        <v>1326</v>
      </c>
      <c r="B9" s="56">
        <f>SUM($C9:$I9)</f>
        <v>3</v>
      </c>
      <c r="C9" s="56">
        <f>VLOOKUP($C$1,Cus!$A$2:'Cus'!$AH$1001,28,FALSE)</f>
        <v>2</v>
      </c>
      <c r="D9" s="56">
        <f>VLOOKUP($C$1,Cus!$A$2:'Cus'!$AH$1001,29,FALSE)</f>
        <v>1</v>
      </c>
      <c r="E9" s="56">
        <f>VLOOKUP($C$1,Cus!$A$2:'Cus'!$AH$1001,30,FALSE)</f>
        <v>0</v>
      </c>
      <c r="F9" s="56">
        <f>VLOOKUP($C$1,Cus!$A$2:'Cus'!$AH$1001,31,FALSE)</f>
        <v>0</v>
      </c>
      <c r="G9" s="56">
        <f>VLOOKUP($C$1,Cus!$A$2:'Cus'!$AH$1001,32,FALSE)</f>
        <v>0</v>
      </c>
      <c r="H9" s="56">
        <f>VLOOKUP($C$1,Cus!$A$2:'Cus'!$AH$1001,33,FALSE)</f>
        <v>0</v>
      </c>
      <c r="I9" s="56">
        <f>VLOOKUP($C$1,Cus!$A$2:'Cus'!$AH$1001,34,FALSE)</f>
        <v>0</v>
      </c>
    </row>
    <row r="10" spans="1:10">
      <c r="C10" s="3"/>
      <c r="D10" s="3"/>
      <c r="E10" s="58"/>
      <c r="F10" s="3"/>
      <c r="G10" s="3"/>
      <c r="H10" s="3"/>
      <c r="I10" s="3"/>
      <c r="J10" s="3"/>
    </row>
    <row r="11" spans="1:10">
      <c r="A11" s="42" t="s">
        <v>1335</v>
      </c>
      <c r="C11" s="56"/>
      <c r="D11" s="56"/>
      <c r="F11" s="56"/>
      <c r="G11" s="56"/>
      <c r="I11" s="56"/>
      <c r="J11" s="56"/>
    </row>
    <row r="12" spans="1:10">
      <c r="A12" s="2" t="s">
        <v>1336</v>
      </c>
      <c r="B12" s="56">
        <f>SUM($C12:$I12)</f>
        <v>3</v>
      </c>
      <c r="C12" s="56">
        <v>2</v>
      </c>
      <c r="D12" s="56">
        <v>1</v>
      </c>
      <c r="E12" s="56">
        <v>0</v>
      </c>
      <c r="F12" s="56">
        <v>0</v>
      </c>
      <c r="G12" s="56">
        <v>0</v>
      </c>
      <c r="H12" s="56">
        <v>0</v>
      </c>
      <c r="I12" s="56">
        <v>0</v>
      </c>
      <c r="J12" s="56"/>
    </row>
    <row r="13" spans="1:10">
      <c r="A13" s="2" t="s">
        <v>1337</v>
      </c>
      <c r="B13" s="56">
        <f>SUM($C13:$I13)</f>
        <v>3</v>
      </c>
      <c r="C13" s="56">
        <v>2</v>
      </c>
      <c r="D13" s="56">
        <v>1</v>
      </c>
      <c r="E13" s="56">
        <v>0</v>
      </c>
      <c r="F13" s="56">
        <v>0</v>
      </c>
      <c r="G13" s="56">
        <v>0</v>
      </c>
      <c r="H13" s="56">
        <v>0</v>
      </c>
      <c r="I13" s="56">
        <v>0</v>
      </c>
      <c r="J13" s="56"/>
    </row>
    <row r="14" spans="1:10">
      <c r="A14" s="2" t="s">
        <v>1339</v>
      </c>
      <c r="B14" s="56">
        <f>SUM($C14:$I14)</f>
        <v>0</v>
      </c>
      <c r="C14" s="56">
        <v>0</v>
      </c>
      <c r="D14" s="56">
        <v>0</v>
      </c>
      <c r="E14" s="56">
        <v>0</v>
      </c>
      <c r="F14" s="56">
        <v>0</v>
      </c>
      <c r="G14" s="56">
        <v>0</v>
      </c>
      <c r="H14" s="56">
        <v>0</v>
      </c>
      <c r="I14" s="56">
        <v>0</v>
      </c>
      <c r="J14" s="56"/>
    </row>
    <row r="15" spans="1:10">
      <c r="A15" s="2" t="s">
        <v>1338</v>
      </c>
      <c r="B15" s="56">
        <f>SUM($C15:$I15)</f>
        <v>0</v>
      </c>
      <c r="C15" s="56">
        <v>0</v>
      </c>
      <c r="D15" s="56">
        <v>0</v>
      </c>
      <c r="E15" s="56">
        <v>0</v>
      </c>
      <c r="F15" s="56">
        <v>0</v>
      </c>
      <c r="G15" s="56">
        <v>0</v>
      </c>
      <c r="H15" s="56">
        <v>0</v>
      </c>
      <c r="I15" s="56">
        <v>0</v>
      </c>
      <c r="J15" s="56"/>
    </row>
    <row r="17" spans="1:10">
      <c r="A17" s="43" t="s">
        <v>101</v>
      </c>
    </row>
    <row r="18" spans="1:10" s="40" customFormat="1" ht="38.25">
      <c r="A18" s="42" t="s">
        <v>1340</v>
      </c>
      <c r="B18" s="57" t="s">
        <v>6</v>
      </c>
      <c r="C18" s="40" t="s">
        <v>1342</v>
      </c>
      <c r="D18" s="40" t="s">
        <v>1341</v>
      </c>
      <c r="E18" s="57" t="s">
        <v>6</v>
      </c>
      <c r="F18" s="40" t="s">
        <v>1342</v>
      </c>
      <c r="G18" s="40" t="s">
        <v>1343</v>
      </c>
      <c r="H18" s="57" t="s">
        <v>1344</v>
      </c>
      <c r="I18" s="40" t="s">
        <v>1354</v>
      </c>
      <c r="J18" s="40" t="s">
        <v>1345</v>
      </c>
    </row>
    <row r="19" spans="1:10">
      <c r="A19" s="2" t="s">
        <v>386</v>
      </c>
      <c r="B19" s="75" t="str">
        <f>VLOOKUP($A19,Cus!$A$2:'Cus'!$AH$1001,5,FALSE)</f>
        <v>MC</v>
      </c>
      <c r="C19" s="75" t="str">
        <f>VLOOKUP($A19,Cus!$A$2:'Cus'!$AH$1001,7,FALSE)</f>
        <v>Ncheche</v>
      </c>
      <c r="D19" s="2" t="str">
        <f t="shared" ref="D19:D20" si="0">$C$1</f>
        <v>K0000231</v>
      </c>
      <c r="E19" s="75" t="str">
        <f>VLOOKUP($D19,Cus!$A$2:'Cus'!$AH$1001,5,FALSE)</f>
        <v>AL</v>
      </c>
      <c r="F19" s="75" t="str">
        <f>VLOOKUP($D19,Cus!$A$2:'Cus'!$AH$1001,7,FALSE)</f>
        <v>Roux</v>
      </c>
      <c r="G19" s="73">
        <f>VLOOKUP($A19,Cus!$A$2:'Cus'!$AH$1001,24,FALSE)</f>
        <v>41622</v>
      </c>
      <c r="H19" s="76">
        <f t="shared" ref="H19:H20" si="1">DATE(YEAR($G19),MONTH($G19),DAY($G19))</f>
        <v>41622</v>
      </c>
      <c r="I19" s="73">
        <f>VLOOKUP($A19,Acc!$A$2:'Acc'!$L$1001,11,FALSE)</f>
        <v>41711</v>
      </c>
      <c r="J19" s="74" t="s">
        <v>1346</v>
      </c>
    </row>
    <row r="20" spans="1:10">
      <c r="A20" s="10" t="s">
        <v>428</v>
      </c>
      <c r="B20" s="75" t="str">
        <f>VLOOKUP($A20,Cus!$A$2:'Cus'!$AH$1001,5,FALSE)</f>
        <v>KD</v>
      </c>
      <c r="C20" s="75" t="str">
        <f>VLOOKUP($A20,Cus!$A$2:'Cus'!$AH$1001,7,FALSE)</f>
        <v>Maruping</v>
      </c>
      <c r="D20" s="2" t="str">
        <f t="shared" si="0"/>
        <v>K0000231</v>
      </c>
      <c r="E20" s="75" t="str">
        <f>VLOOKUP($D20,Cus!$A$2:'Cus'!$AH$1001,5,FALSE)</f>
        <v>AL</v>
      </c>
      <c r="F20" s="75" t="str">
        <f>VLOOKUP($D20,Cus!$A$2:'Cus'!$AH$1001,7,FALSE)</f>
        <v>Roux</v>
      </c>
      <c r="G20" s="73">
        <f>VLOOKUP($A20,Cus!$A$2:'Cus'!$AH$1001,24,FALSE)</f>
        <v>41640</v>
      </c>
      <c r="H20" s="76">
        <f t="shared" si="1"/>
        <v>41640</v>
      </c>
      <c r="I20" s="73">
        <f>VLOOKUP($A20,Acc!$A$2:'Acc'!$L$1001,11,FALSE)</f>
        <v>41729</v>
      </c>
      <c r="J20" s="74" t="s">
        <v>1346</v>
      </c>
    </row>
    <row r="21" spans="1:10" ht="15">
      <c r="A21" s="53"/>
      <c r="B21" s="75"/>
      <c r="C21" s="75"/>
      <c r="G21" s="73"/>
      <c r="H21" s="73"/>
      <c r="I21" s="74"/>
      <c r="J21" s="3"/>
    </row>
    <row r="22" spans="1:10">
      <c r="A22" s="77" t="s">
        <v>1326</v>
      </c>
      <c r="B22" s="72">
        <f>COUNTA($B$19:$B$21)</f>
        <v>2</v>
      </c>
      <c r="C22" s="75"/>
      <c r="G22" s="73"/>
      <c r="H22" s="73"/>
      <c r="I22" s="74"/>
      <c r="J22" s="3"/>
    </row>
    <row r="23" spans="1:10">
      <c r="J23" s="3"/>
    </row>
    <row r="24" spans="1:10">
      <c r="A24" s="43" t="s">
        <v>1348</v>
      </c>
    </row>
    <row r="25" spans="1:10" s="40" customFormat="1" ht="38.25">
      <c r="A25" s="42" t="s">
        <v>1340</v>
      </c>
      <c r="B25" s="57" t="s">
        <v>6</v>
      </c>
      <c r="C25" s="40" t="s">
        <v>1342</v>
      </c>
      <c r="D25" s="40" t="s">
        <v>1341</v>
      </c>
      <c r="E25" s="57" t="s">
        <v>6</v>
      </c>
      <c r="F25" s="40" t="s">
        <v>1342</v>
      </c>
      <c r="G25" s="40" t="s">
        <v>1343</v>
      </c>
      <c r="H25" s="57" t="s">
        <v>1344</v>
      </c>
      <c r="I25" s="40" t="s">
        <v>1354</v>
      </c>
      <c r="J25" s="40" t="s">
        <v>1345</v>
      </c>
    </row>
    <row r="26" spans="1:10">
      <c r="A26" s="10" t="s">
        <v>427</v>
      </c>
      <c r="B26" s="75" t="str">
        <f>VLOOKUP($A26,Cus!$A$2:'Cus'!$AH$1001,5,FALSE)</f>
        <v>W</v>
      </c>
      <c r="C26" s="75" t="str">
        <f>VLOOKUP($A26,Cus!$A$2:'Cus'!$AH$1001,7,FALSE)</f>
        <v>Monaheng</v>
      </c>
      <c r="D26" s="2" t="s">
        <v>428</v>
      </c>
      <c r="E26" s="75" t="str">
        <f>VLOOKUP($D26,Cus!$A$2:'Cus'!$AH$1001,5,FALSE)</f>
        <v>KD</v>
      </c>
      <c r="F26" s="75" t="str">
        <f>VLOOKUP($D26,Cus!$A$2:'Cus'!$AH$1001,7,FALSE)</f>
        <v>Maruping</v>
      </c>
      <c r="G26" s="73">
        <f>VLOOKUP($A26,Cus!$A$2:'Cus'!$AH$1001,24,FALSE)</f>
        <v>41662</v>
      </c>
      <c r="H26" s="76">
        <f>DATE(YEAR($G26),MONTH($G26),DAY($G26))</f>
        <v>41662</v>
      </c>
      <c r="I26" s="73">
        <f>VLOOKUP($A26,Acc!$A$2:'Acc'!$L$1001,11,FALSE)</f>
        <v>41757</v>
      </c>
      <c r="J26" s="74" t="s">
        <v>1346</v>
      </c>
    </row>
    <row r="28" spans="1:10">
      <c r="A28" s="77" t="s">
        <v>1326</v>
      </c>
      <c r="B28" s="72">
        <f>COUNTA($B$26:$B$27)</f>
        <v>1</v>
      </c>
      <c r="C28" s="75"/>
      <c r="G28" s="73"/>
      <c r="H28" s="73"/>
      <c r="I28" s="74"/>
      <c r="J28" s="3"/>
    </row>
    <row r="30" spans="1:10">
      <c r="A30" s="43" t="s">
        <v>1349</v>
      </c>
    </row>
    <row r="31" spans="1:10" s="40" customFormat="1" ht="38.25">
      <c r="A31" s="42" t="s">
        <v>1340</v>
      </c>
      <c r="B31" s="57" t="s">
        <v>6</v>
      </c>
      <c r="C31" s="40" t="s">
        <v>1342</v>
      </c>
      <c r="D31" s="40" t="s">
        <v>1341</v>
      </c>
      <c r="E31" s="57" t="s">
        <v>6</v>
      </c>
      <c r="F31" s="40" t="s">
        <v>1342</v>
      </c>
      <c r="G31" s="40" t="s">
        <v>1343</v>
      </c>
      <c r="H31" s="57" t="s">
        <v>1344</v>
      </c>
      <c r="I31" s="40" t="s">
        <v>1345</v>
      </c>
    </row>
    <row r="32" spans="1:10">
      <c r="A32" s="10" t="s">
        <v>1318</v>
      </c>
      <c r="B32" s="75"/>
      <c r="C32" s="75"/>
      <c r="G32" s="73"/>
      <c r="H32" s="73"/>
      <c r="I32" s="74"/>
      <c r="J32" s="3"/>
    </row>
    <row r="34" spans="1:10">
      <c r="A34" s="77" t="s">
        <v>1326</v>
      </c>
      <c r="B34" s="72">
        <v>0</v>
      </c>
      <c r="C34" s="75"/>
      <c r="G34" s="73"/>
      <c r="H34" s="73"/>
      <c r="I34" s="74"/>
      <c r="J34" s="3"/>
    </row>
    <row r="36" spans="1:10">
      <c r="A36" s="43" t="s">
        <v>1350</v>
      </c>
    </row>
    <row r="37" spans="1:10" s="40" customFormat="1" ht="38.25">
      <c r="A37" s="42" t="s">
        <v>1340</v>
      </c>
      <c r="B37" s="57" t="s">
        <v>6</v>
      </c>
      <c r="C37" s="40" t="s">
        <v>1342</v>
      </c>
      <c r="D37" s="40" t="s">
        <v>1341</v>
      </c>
      <c r="E37" s="57" t="s">
        <v>6</v>
      </c>
      <c r="F37" s="40" t="s">
        <v>1342</v>
      </c>
      <c r="G37" s="40" t="s">
        <v>1343</v>
      </c>
      <c r="H37" s="57" t="s">
        <v>1344</v>
      </c>
      <c r="I37" s="40" t="s">
        <v>1345</v>
      </c>
    </row>
    <row r="38" spans="1:10">
      <c r="A38" s="10" t="s">
        <v>1318</v>
      </c>
      <c r="B38" s="75"/>
      <c r="C38" s="75"/>
      <c r="G38" s="73"/>
      <c r="H38" s="73"/>
      <c r="I38" s="74"/>
      <c r="J38" s="3"/>
    </row>
    <row r="40" spans="1:10">
      <c r="A40" s="77" t="s">
        <v>1326</v>
      </c>
      <c r="B40" s="72">
        <v>0</v>
      </c>
      <c r="C40" s="75"/>
      <c r="G40" s="73"/>
      <c r="H40" s="73"/>
      <c r="I40" s="74"/>
      <c r="J40" s="3"/>
    </row>
    <row r="42" spans="1:10">
      <c r="A42" s="43" t="s">
        <v>1351</v>
      </c>
    </row>
    <row r="43" spans="1:10" s="40" customFormat="1" ht="38.25">
      <c r="A43" s="42" t="s">
        <v>1340</v>
      </c>
      <c r="B43" s="57" t="s">
        <v>6</v>
      </c>
      <c r="C43" s="40" t="s">
        <v>1342</v>
      </c>
      <c r="D43" s="40" t="s">
        <v>1341</v>
      </c>
      <c r="E43" s="57" t="s">
        <v>6</v>
      </c>
      <c r="F43" s="40" t="s">
        <v>1342</v>
      </c>
      <c r="G43" s="40" t="s">
        <v>1343</v>
      </c>
      <c r="H43" s="57" t="s">
        <v>1344</v>
      </c>
      <c r="I43" s="40" t="s">
        <v>1345</v>
      </c>
    </row>
    <row r="44" spans="1:10">
      <c r="A44" s="10" t="s">
        <v>1318</v>
      </c>
      <c r="B44" s="75"/>
      <c r="C44" s="75"/>
      <c r="G44" s="73"/>
      <c r="H44" s="73"/>
      <c r="I44" s="74"/>
      <c r="J44" s="3"/>
    </row>
    <row r="46" spans="1:10">
      <c r="A46" s="77" t="s">
        <v>1326</v>
      </c>
      <c r="B46" s="72">
        <v>0</v>
      </c>
      <c r="C46" s="75"/>
      <c r="G46" s="73"/>
      <c r="H46" s="73"/>
      <c r="I46" s="74"/>
      <c r="J46" s="3"/>
    </row>
    <row r="48" spans="1:10">
      <c r="A48" s="43" t="s">
        <v>1352</v>
      </c>
    </row>
    <row r="49" spans="1:10" s="40" customFormat="1" ht="38.25">
      <c r="A49" s="42" t="s">
        <v>1340</v>
      </c>
      <c r="B49" s="57" t="s">
        <v>6</v>
      </c>
      <c r="C49" s="40" t="s">
        <v>1342</v>
      </c>
      <c r="D49" s="40" t="s">
        <v>1341</v>
      </c>
      <c r="E49" s="57" t="s">
        <v>6</v>
      </c>
      <c r="F49" s="40" t="s">
        <v>1342</v>
      </c>
      <c r="G49" s="40" t="s">
        <v>1343</v>
      </c>
      <c r="H49" s="57" t="s">
        <v>1344</v>
      </c>
      <c r="I49" s="40" t="s">
        <v>1345</v>
      </c>
    </row>
    <row r="50" spans="1:10">
      <c r="A50" s="10" t="s">
        <v>1318</v>
      </c>
      <c r="B50" s="75"/>
      <c r="C50" s="75"/>
      <c r="G50" s="73"/>
      <c r="H50" s="73"/>
      <c r="I50" s="74"/>
      <c r="J50" s="3"/>
    </row>
    <row r="52" spans="1:10">
      <c r="A52" s="77" t="s">
        <v>1326</v>
      </c>
      <c r="B52" s="72">
        <v>0</v>
      </c>
      <c r="C52" s="75"/>
      <c r="G52" s="73"/>
      <c r="H52" s="73"/>
      <c r="I52" s="74"/>
      <c r="J52" s="3"/>
    </row>
    <row r="54" spans="1:10">
      <c r="A54" s="43" t="s">
        <v>1353</v>
      </c>
    </row>
    <row r="55" spans="1:10" s="40" customFormat="1" ht="38.25">
      <c r="A55" s="42" t="s">
        <v>1340</v>
      </c>
      <c r="B55" s="57" t="s">
        <v>6</v>
      </c>
      <c r="C55" s="40" t="s">
        <v>1342</v>
      </c>
      <c r="D55" s="40" t="s">
        <v>1341</v>
      </c>
      <c r="E55" s="57" t="s">
        <v>6</v>
      </c>
      <c r="F55" s="40" t="s">
        <v>1342</v>
      </c>
      <c r="G55" s="40" t="s">
        <v>1343</v>
      </c>
      <c r="H55" s="57" t="s">
        <v>1344</v>
      </c>
      <c r="I55" s="40" t="s">
        <v>1345</v>
      </c>
    </row>
    <row r="56" spans="1:10">
      <c r="A56" s="10" t="s">
        <v>1318</v>
      </c>
      <c r="B56" s="75"/>
      <c r="C56" s="75"/>
      <c r="G56" s="73"/>
      <c r="H56" s="73"/>
      <c r="I56" s="74"/>
      <c r="J56" s="3"/>
    </row>
    <row r="58" spans="1:10">
      <c r="A58" s="77" t="s">
        <v>1326</v>
      </c>
      <c r="B58" s="72">
        <v>0</v>
      </c>
      <c r="C58" s="75"/>
      <c r="G58" s="73"/>
      <c r="H58" s="73"/>
      <c r="I58" s="74"/>
      <c r="J58" s="3"/>
    </row>
  </sheetData>
  <sortState ref="A20:I28">
    <sortCondition ref="A19"/>
  </sortState>
  <mergeCells count="1">
    <mergeCell ref="J1:J6"/>
  </mergeCells>
  <dataValidations count="2">
    <dataValidation type="list" allowBlank="1" showInputMessage="1" showErrorMessage="1" sqref="C1">
      <formula1>Cus!$A$2:$A$1000</formula1>
    </dataValidation>
    <dataValidation type="custom" errorStyle="warning" allowBlank="1" showInputMessage="1" showErrorMessage="1" error="Do not change values" sqref="A20">
      <formula1>"A2"</formula1>
    </dataValidation>
  </dataValidations>
  <pageMargins left="0.70866141732283472" right="0.70866141732283472" top="0.74803149606299213" bottom="0.74803149606299213" header="0.31496062992125984" footer="0.31496062992125984"/>
  <pageSetup paperSize="9" scale="60" orientation="landscape" horizontalDpi="4294967293" verticalDpi="0" r:id="rId1"/>
  <drawing r:id="rId2"/>
</worksheet>
</file>

<file path=xl/worksheets/sheet12.xml><?xml version="1.0" encoding="utf-8"?>
<worksheet xmlns="http://schemas.openxmlformats.org/spreadsheetml/2006/main" xmlns:r="http://schemas.openxmlformats.org/officeDocument/2006/relationships">
  <sheetPr codeName="Sheet8"/>
  <dimension ref="A1:J53"/>
  <sheetViews>
    <sheetView workbookViewId="0">
      <selection activeCell="A2" sqref="A2"/>
    </sheetView>
  </sheetViews>
  <sheetFormatPr defaultColWidth="9.140625" defaultRowHeight="12.75"/>
  <cols>
    <col min="1" max="1" width="60.140625" style="2" customWidth="1"/>
    <col min="2" max="10" width="16.7109375" style="2" customWidth="1"/>
    <col min="11" max="16384" width="9.140625" style="2"/>
  </cols>
  <sheetData>
    <row r="1" spans="1:10" ht="15">
      <c r="A1" s="45" t="s">
        <v>97</v>
      </c>
      <c r="B1" s="2" t="s">
        <v>59</v>
      </c>
      <c r="C1" s="2" t="s">
        <v>55</v>
      </c>
      <c r="I1" s="44"/>
      <c r="J1" s="83"/>
    </row>
    <row r="2" spans="1:10">
      <c r="A2" s="41" t="str">
        <f ca="1">TEXT(TODAY(), "mmmm yyyy")</f>
        <v>February 2014</v>
      </c>
      <c r="B2" s="2" t="s">
        <v>60</v>
      </c>
      <c r="C2" s="2" t="str">
        <f>LOOKUP(C1,Cus!$A2:'Cus'!$A1000,Cus!$F2:'Cus'!$F1000)</f>
        <v>Peter Peterus Ramangena</v>
      </c>
      <c r="E2" s="2" t="str">
        <f>LOOKUP(C1,Cus!$A2:'Cus'!$A1000,Cus!$G2:'Cus'!$G1000)</f>
        <v>Mohoje</v>
      </c>
      <c r="I2" s="44"/>
      <c r="J2" s="83"/>
    </row>
    <row r="3" spans="1:10">
      <c r="I3" s="44"/>
      <c r="J3" s="83"/>
    </row>
    <row r="4" spans="1:10">
      <c r="A4" s="41"/>
      <c r="I4" s="44"/>
      <c r="J4" s="83"/>
    </row>
    <row r="5" spans="1:10">
      <c r="I5" s="44"/>
      <c r="J5" s="83"/>
    </row>
    <row r="6" spans="1:10">
      <c r="A6" s="43" t="s">
        <v>252</v>
      </c>
      <c r="J6" s="83"/>
    </row>
    <row r="7" spans="1:10" s="40" customFormat="1" ht="38.25">
      <c r="A7" s="42" t="s">
        <v>61</v>
      </c>
      <c r="B7" s="40" t="s">
        <v>63</v>
      </c>
      <c r="C7" s="40" t="s">
        <v>62</v>
      </c>
      <c r="D7" s="40" t="s">
        <v>64</v>
      </c>
      <c r="E7" s="40" t="s">
        <v>65</v>
      </c>
      <c r="F7" s="40" t="s">
        <v>66</v>
      </c>
      <c r="G7" s="40" t="s">
        <v>67</v>
      </c>
      <c r="H7" s="40" t="s">
        <v>68</v>
      </c>
      <c r="I7" s="40" t="s">
        <v>69</v>
      </c>
      <c r="J7" s="40" t="s">
        <v>70</v>
      </c>
    </row>
    <row r="9" spans="1:10">
      <c r="A9" s="2" t="s">
        <v>101</v>
      </c>
      <c r="B9" s="2">
        <f>LOOKUP(C1,Cus!$A$2:'Cus'!$A$100,Cus!$AB$2:'Cus'!$AB$100)</f>
        <v>7</v>
      </c>
      <c r="C9" s="3">
        <f ca="1">IF(Acc!$K2&lt;=TODAY(),Acc!$H2*B9,0)</f>
        <v>2765</v>
      </c>
      <c r="D9" s="3">
        <f ca="1">CommissionDD!$C3*C9</f>
        <v>331.8</v>
      </c>
      <c r="E9" s="10">
        <v>0</v>
      </c>
      <c r="F9" s="3">
        <f ca="1">IF(Acc!$K2&lt;=TODAY(),Acc!$H2*E9,0)</f>
        <v>0</v>
      </c>
      <c r="G9" s="3">
        <f ca="1">CommissionDD!$C3*F9</f>
        <v>0</v>
      </c>
      <c r="H9" s="2">
        <f>B9-E9</f>
        <v>7</v>
      </c>
      <c r="I9" s="3">
        <f ca="1">C9-F9</f>
        <v>2765</v>
      </c>
      <c r="J9" s="3">
        <f ca="1">D9-G9</f>
        <v>331.8</v>
      </c>
    </row>
    <row r="10" spans="1:10">
      <c r="A10" s="2" t="s">
        <v>102</v>
      </c>
      <c r="B10" s="2">
        <f>LOOKUP(C1,Cus!$A$2:'Cus'!$A$100,Cus!$AC$2:'Cus'!$AC$100)</f>
        <v>17</v>
      </c>
      <c r="C10" s="3">
        <f ca="1">IF(Acc!$K3&lt;=TODAY(),Acc!$H3*B10,0)</f>
        <v>6715</v>
      </c>
      <c r="D10" s="3">
        <f ca="1">CommissionDD!$C4*C10</f>
        <v>1745.9</v>
      </c>
      <c r="E10" s="10">
        <v>0</v>
      </c>
      <c r="F10" s="3">
        <f ca="1">IF(Acc!$K3&lt;=TODAY(),Acc!$H3*E10,0)</f>
        <v>0</v>
      </c>
      <c r="G10" s="3">
        <f ca="1">CommissionDD!$C4*F10</f>
        <v>0</v>
      </c>
      <c r="H10" s="2">
        <f t="shared" ref="H10:J15" si="0">B10-E10</f>
        <v>17</v>
      </c>
      <c r="I10" s="3">
        <f t="shared" ca="1" si="0"/>
        <v>6715</v>
      </c>
      <c r="J10" s="3">
        <f t="shared" ca="1" si="0"/>
        <v>1745.9</v>
      </c>
    </row>
    <row r="11" spans="1:10">
      <c r="A11" s="2" t="s">
        <v>103</v>
      </c>
      <c r="B11" s="2">
        <f>LOOKUP(C1,Cus!$A$2:'Cus'!$A$100,Cus!$AD$2:'Cus'!$AD$100)</f>
        <v>3</v>
      </c>
      <c r="C11" s="3">
        <f ca="1">IF(Acc!$K4&lt;=TODAY(),Acc!$H4*B11,0)</f>
        <v>1185</v>
      </c>
      <c r="D11" s="3">
        <f ca="1">CommissionDD!$C5*C11</f>
        <v>177.75</v>
      </c>
      <c r="E11" s="10">
        <v>0</v>
      </c>
      <c r="F11" s="3">
        <f ca="1">IF(Acc!$K4&lt;=TODAY(),Acc!$H4*E11,0)</f>
        <v>0</v>
      </c>
      <c r="G11" s="3">
        <f ca="1">CommissionDD!$C5*F11</f>
        <v>0</v>
      </c>
      <c r="H11" s="2">
        <f t="shared" si="0"/>
        <v>3</v>
      </c>
      <c r="I11" s="3">
        <f t="shared" ca="1" si="0"/>
        <v>1185</v>
      </c>
      <c r="J11" s="3">
        <f t="shared" ca="1" si="0"/>
        <v>177.75</v>
      </c>
    </row>
    <row r="12" spans="1:10">
      <c r="A12" s="2" t="s">
        <v>104</v>
      </c>
      <c r="B12" s="2">
        <f>LOOKUP(C1,Cus!$A$2:'Cus'!$A$100,Cus!$AE$2:'Cus'!$AE$100)</f>
        <v>2</v>
      </c>
      <c r="C12" s="3">
        <f ca="1">IF(Acc!$K5&lt;=TODAY(),Acc!$H5*B12,0)</f>
        <v>0</v>
      </c>
      <c r="D12" s="3">
        <f ca="1">CommissionDD!$C6*C12</f>
        <v>0</v>
      </c>
      <c r="E12" s="10">
        <v>0</v>
      </c>
      <c r="F12" s="3">
        <f ca="1">IF(Acc!$K5&lt;=TODAY(),Acc!$H5*E12,0)</f>
        <v>0</v>
      </c>
      <c r="G12" s="3">
        <f ca="1">CommissionDD!$C6*F12</f>
        <v>0</v>
      </c>
      <c r="H12" s="2">
        <f t="shared" si="0"/>
        <v>2</v>
      </c>
      <c r="I12" s="3">
        <f t="shared" ca="1" si="0"/>
        <v>0</v>
      </c>
      <c r="J12" s="3">
        <f t="shared" ca="1" si="0"/>
        <v>0</v>
      </c>
    </row>
    <row r="13" spans="1:10">
      <c r="A13" s="2" t="s">
        <v>105</v>
      </c>
      <c r="B13" s="2">
        <f>LOOKUP(C1,Cus!$A$2:'Cus'!$A$100,Cus!$AF$2:'Cus'!$AF$100)</f>
        <v>1</v>
      </c>
      <c r="C13" s="3">
        <f ca="1">IF(Acc!$K6&lt;=TODAY(),Acc!$H6*B13,0)</f>
        <v>0</v>
      </c>
      <c r="D13" s="3">
        <f ca="1">CommissionDD!$C7*C13</f>
        <v>0</v>
      </c>
      <c r="E13" s="10">
        <v>0</v>
      </c>
      <c r="F13" s="3">
        <f ca="1">IF(Acc!$K6&lt;=TODAY(),Acc!$H6*E13,0)</f>
        <v>0</v>
      </c>
      <c r="G13" s="3">
        <f ca="1">CommissionDD!$C7*F13</f>
        <v>0</v>
      </c>
      <c r="H13" s="2">
        <f t="shared" si="0"/>
        <v>1</v>
      </c>
      <c r="I13" s="3">
        <f t="shared" ca="1" si="0"/>
        <v>0</v>
      </c>
      <c r="J13" s="3">
        <f t="shared" ca="1" si="0"/>
        <v>0</v>
      </c>
    </row>
    <row r="14" spans="1:10">
      <c r="A14" s="2" t="s">
        <v>106</v>
      </c>
      <c r="B14" s="2">
        <f>LOOKUP(C1,Cus!$A$2:'Cus'!$A$100,Cus!$AG$2:'Cus'!$AG$100)</f>
        <v>0</v>
      </c>
      <c r="C14" s="3">
        <f ca="1">IF(Acc!$K7&lt;=TODAY(),Acc!$H7*B14,0)</f>
        <v>0</v>
      </c>
      <c r="D14" s="3">
        <f ca="1">CommissionDD!$C8*C14</f>
        <v>0</v>
      </c>
      <c r="E14" s="10">
        <v>0</v>
      </c>
      <c r="F14" s="3">
        <f ca="1">IF(Acc!$K7&lt;=TODAY(),Acc!$H7*E14,0)</f>
        <v>0</v>
      </c>
      <c r="G14" s="3">
        <f ca="1">CommissionDD!$C8*F14</f>
        <v>0</v>
      </c>
      <c r="H14" s="2">
        <f t="shared" si="0"/>
        <v>0</v>
      </c>
      <c r="I14" s="3">
        <f t="shared" ca="1" si="0"/>
        <v>0</v>
      </c>
      <c r="J14" s="3">
        <f t="shared" ca="1" si="0"/>
        <v>0</v>
      </c>
    </row>
    <row r="15" spans="1:10">
      <c r="A15" s="2" t="s">
        <v>107</v>
      </c>
      <c r="B15" s="2">
        <f>LOOKUP(C1,Cus!$A$2:'Cus'!$A$100,Cus!$AH$2:'Cus'!$AH$100)</f>
        <v>0</v>
      </c>
      <c r="C15" s="3">
        <f ca="1">IF(Acc!$K8&lt;=TODAY(),Acc!$H8*B15,0)</f>
        <v>0</v>
      </c>
      <c r="D15" s="3">
        <f ca="1">CommissionDD!$C9*C15</f>
        <v>0</v>
      </c>
      <c r="E15" s="10">
        <v>0</v>
      </c>
      <c r="F15" s="3">
        <f ca="1">IF(Acc!$K8&lt;=TODAY(),Acc!$H8*E15,0)</f>
        <v>0</v>
      </c>
      <c r="G15" s="3">
        <f ca="1">CommissionDD!$C9*F15</f>
        <v>0</v>
      </c>
      <c r="H15" s="2">
        <f t="shared" si="0"/>
        <v>0</v>
      </c>
      <c r="I15" s="3">
        <f t="shared" ca="1" si="0"/>
        <v>0</v>
      </c>
      <c r="J15" s="3">
        <f t="shared" ca="1" si="0"/>
        <v>0</v>
      </c>
    </row>
    <row r="17" spans="1:10">
      <c r="A17" s="8" t="s">
        <v>78</v>
      </c>
      <c r="B17" s="2">
        <f t="shared" ref="B17:J17" si="1">SUM(B9:B16)</f>
        <v>30</v>
      </c>
      <c r="C17" s="3">
        <f t="shared" ca="1" si="1"/>
        <v>10665</v>
      </c>
      <c r="D17" s="3">
        <f t="shared" ca="1" si="1"/>
        <v>2255.4500000000003</v>
      </c>
      <c r="E17" s="2">
        <f t="shared" si="1"/>
        <v>0</v>
      </c>
      <c r="F17" s="3">
        <f t="shared" ca="1" si="1"/>
        <v>0</v>
      </c>
      <c r="G17" s="3">
        <f t="shared" ca="1" si="1"/>
        <v>0</v>
      </c>
      <c r="H17" s="2">
        <f t="shared" si="1"/>
        <v>30</v>
      </c>
      <c r="I17" s="3">
        <f t="shared" ca="1" si="1"/>
        <v>10665</v>
      </c>
      <c r="J17" s="3">
        <f t="shared" ca="1" si="1"/>
        <v>2255.4500000000003</v>
      </c>
    </row>
    <row r="19" spans="1:10">
      <c r="A19" s="43" t="s">
        <v>253</v>
      </c>
    </row>
    <row r="20" spans="1:10" s="40" customFormat="1" ht="38.25">
      <c r="A20" s="42" t="s">
        <v>61</v>
      </c>
      <c r="B20" s="40" t="s">
        <v>63</v>
      </c>
      <c r="C20" s="40" t="s">
        <v>62</v>
      </c>
      <c r="D20" s="40" t="s">
        <v>64</v>
      </c>
      <c r="E20" s="40" t="s">
        <v>65</v>
      </c>
      <c r="F20" s="40" t="s">
        <v>66</v>
      </c>
      <c r="G20" s="40" t="s">
        <v>67</v>
      </c>
      <c r="H20" s="40" t="s">
        <v>68</v>
      </c>
      <c r="I20" s="40" t="s">
        <v>69</v>
      </c>
      <c r="J20" s="40" t="s">
        <v>70</v>
      </c>
    </row>
    <row r="22" spans="1:10">
      <c r="A22" s="2" t="s">
        <v>71</v>
      </c>
    </row>
    <row r="23" spans="1:10">
      <c r="A23" s="2" t="s">
        <v>72</v>
      </c>
    </row>
    <row r="24" spans="1:10">
      <c r="A24" s="2" t="s">
        <v>73</v>
      </c>
    </row>
    <row r="25" spans="1:10">
      <c r="A25" s="2" t="s">
        <v>74</v>
      </c>
    </row>
    <row r="26" spans="1:10">
      <c r="A26" s="2" t="s">
        <v>75</v>
      </c>
    </row>
    <row r="27" spans="1:10">
      <c r="A27" s="2" t="s">
        <v>76</v>
      </c>
    </row>
    <row r="28" spans="1:10">
      <c r="A28" s="2" t="s">
        <v>77</v>
      </c>
    </row>
    <row r="29" spans="1:10">
      <c r="A29" s="2" t="s">
        <v>79</v>
      </c>
    </row>
    <row r="30" spans="1:10">
      <c r="A30" s="2" t="s">
        <v>80</v>
      </c>
    </row>
    <row r="31" spans="1:10">
      <c r="A31" s="2" t="s">
        <v>81</v>
      </c>
    </row>
    <row r="32" spans="1:10">
      <c r="A32" s="2" t="s">
        <v>82</v>
      </c>
    </row>
    <row r="33" spans="1:10">
      <c r="A33" s="2" t="s">
        <v>83</v>
      </c>
    </row>
    <row r="35" spans="1:10">
      <c r="A35" s="8" t="s">
        <v>78</v>
      </c>
      <c r="B35" s="2">
        <f>SUM(B22:B34)</f>
        <v>0</v>
      </c>
      <c r="C35" s="3">
        <f t="shared" ref="C35:D35" si="2">SUM(C22:C34)</f>
        <v>0</v>
      </c>
      <c r="D35" s="3">
        <f t="shared" si="2"/>
        <v>0</v>
      </c>
      <c r="E35" s="2">
        <f>SUM(E22:E34)</f>
        <v>0</v>
      </c>
      <c r="F35" s="3">
        <f t="shared" ref="F35:G35" si="3">SUM(F22:F34)</f>
        <v>0</v>
      </c>
      <c r="G35" s="3">
        <f t="shared" si="3"/>
        <v>0</v>
      </c>
      <c r="H35" s="2">
        <f>SUM(H22:H34)</f>
        <v>0</v>
      </c>
      <c r="I35" s="3">
        <f t="shared" ref="I35:J35" si="4">SUM(I22:I34)</f>
        <v>0</v>
      </c>
      <c r="J35" s="3">
        <f t="shared" si="4"/>
        <v>0</v>
      </c>
    </row>
    <row r="37" spans="1:10">
      <c r="A37" s="43" t="s">
        <v>254</v>
      </c>
    </row>
    <row r="38" spans="1:10" s="40" customFormat="1" ht="38.25">
      <c r="A38" s="42"/>
      <c r="I38" s="40" t="s">
        <v>85</v>
      </c>
      <c r="J38" s="40" t="s">
        <v>70</v>
      </c>
    </row>
    <row r="39" spans="1:10">
      <c r="A39" s="2" t="s">
        <v>84</v>
      </c>
      <c r="I39" s="3">
        <f ca="1">IF(Acc!$G2&gt;=TODAY(),0,(VLOOKUP($C1,Acc!$A2:'Acc'!$L1000,5,)))</f>
        <v>1500</v>
      </c>
      <c r="J39" s="3">
        <f ca="1">20%*I39</f>
        <v>300</v>
      </c>
    </row>
    <row r="41" spans="1:10">
      <c r="A41" s="8" t="s">
        <v>78</v>
      </c>
      <c r="I41" s="3">
        <f ca="1">SUM(I39:I40)</f>
        <v>1500</v>
      </c>
      <c r="J41" s="3">
        <f ca="1">SUM(J39:J40)</f>
        <v>300</v>
      </c>
    </row>
    <row r="43" spans="1:10">
      <c r="A43" s="43" t="s">
        <v>255</v>
      </c>
    </row>
    <row r="44" spans="1:10" s="40" customFormat="1" ht="38.25">
      <c r="J44" s="40" t="s">
        <v>86</v>
      </c>
    </row>
    <row r="45" spans="1:10">
      <c r="A45" s="10"/>
      <c r="J45" s="37">
        <v>0</v>
      </c>
    </row>
    <row r="46" spans="1:10">
      <c r="A46" s="10"/>
      <c r="J46" s="37">
        <v>0</v>
      </c>
    </row>
    <row r="47" spans="1:10">
      <c r="A47" s="10"/>
      <c r="J47" s="37">
        <v>0</v>
      </c>
    </row>
    <row r="49" spans="1:10">
      <c r="A49" s="8" t="s">
        <v>78</v>
      </c>
      <c r="J49" s="3">
        <f>SUM(J45:J48)</f>
        <v>0</v>
      </c>
    </row>
    <row r="51" spans="1:10" ht="38.25">
      <c r="A51" s="43" t="s">
        <v>87</v>
      </c>
    </row>
    <row r="52" spans="1:10" s="40" customFormat="1" ht="38.25">
      <c r="J52" s="40" t="s">
        <v>87</v>
      </c>
    </row>
    <row r="53" spans="1:10">
      <c r="A53" s="2" t="s">
        <v>88</v>
      </c>
      <c r="J53" s="3">
        <f ca="1">(SUM(J17,J35,J41))-J49</f>
        <v>2555.4500000000003</v>
      </c>
    </row>
  </sheetData>
  <mergeCells count="1">
    <mergeCell ref="J1:J6"/>
  </mergeCells>
  <dataValidations count="1">
    <dataValidation type="list" allowBlank="1" showInputMessage="1" showErrorMessage="1" sqref="C1">
      <formula1>Cus!$A$2:$A$1000</formula1>
    </dataValidation>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Dropdowns</vt:lpstr>
      <vt:lpstr>CommissionDD</vt:lpstr>
      <vt:lpstr>Comms</vt:lpstr>
      <vt:lpstr>TransLog</vt:lpstr>
      <vt:lpstr>Rships</vt:lpstr>
      <vt:lpstr>Failed Transactions</vt:lpstr>
      <vt:lpstr>Cus</vt:lpstr>
      <vt:lpstr>Acc</vt:lpstr>
      <vt:lpstr>SummaryCommissionStatement</vt:lpstr>
      <vt:lpstr>CommissionStatement</vt:lpstr>
      <vt:lpstr>HierarchyStatement</vt:lpstr>
      <vt:lpstr>DetailedCommissionStatement</vt:lpstr>
      <vt:lpstr>CommissionStatement!Print_Area</vt:lpstr>
      <vt:lpstr>HierarchyStatement!Print_Area</vt:lpstr>
      <vt:lpstr>SummaryCommissionStatement!Print_Area</vt:lpstr>
    </vt:vector>
  </TitlesOfParts>
  <Company>Hewlett-Packard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Kagiso Mutlaneng</dc:creator>
  <cp:lastModifiedBy>Kagiso Mutlaneng</cp:lastModifiedBy>
  <cp:lastPrinted>2014-01-20T15:58:26Z</cp:lastPrinted>
  <dcterms:created xsi:type="dcterms:W3CDTF">2013-10-25T11:49:12Z</dcterms:created>
  <dcterms:modified xsi:type="dcterms:W3CDTF">2014-02-09T14:47:56Z</dcterms:modified>
</cp:coreProperties>
</file>